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dmin\Downloads\Treadwell\Numbers 5.7.26\"/>
    </mc:Choice>
  </mc:AlternateContent>
  <xr:revisionPtr revIDLastSave="0" documentId="13_ncr:1_{DB804E0B-B8D1-B747-89BB-72E97ECD8A5F}" xr6:coauthVersionLast="47" xr6:coauthVersionMax="47" xr10:uidLastSave="{00000000-0000-0000-0000-000000000000}"/>
  <bookViews>
    <workbookView xWindow="28680" yWindow="-120" windowWidth="21840" windowHeight="13020" tabRatio="690" xr2:uid="{00000000-000D-0000-FFFF-FFFF00000000}"/>
  </bookViews>
  <sheets>
    <sheet name="Epoxy" sheetId="14" r:id="rId1"/>
    <sheet name="Polish" sheetId="1" r:id="rId2"/>
    <sheet name="Gyp (USG 1-8&quot;)" sheetId="15" r:id="rId3"/>
    <sheet name="Takeoff" sheetId="2" r:id="rId4"/>
    <sheet name="Seal" sheetId="13" r:id="rId5"/>
    <sheet name="Seal (+Jnts)" sheetId="19" r:id="rId6"/>
    <sheet name="Epoxy blank" sheetId="5" r:id="rId7"/>
    <sheet name="Stnd Alts" sheetId="8" r:id="rId8"/>
    <sheet name="Leveling" sheetId="12" r:id="rId9"/>
    <sheet name="Gyp (USG N12ULTRA)" sheetId="16" r:id="rId10"/>
    <sheet name="Gyp (USG N25 1-4&quot;)" sheetId="18" r:id="rId11"/>
    <sheet name="Gyp (GWorx SC190)" sheetId="17" r:id="rId12"/>
    <sheet name="Specs+Dwgs+Addn" sheetId="3" r:id="rId13"/>
    <sheet name="Gyp (FR)" sheetId="9" r:id="rId14"/>
    <sheet name="validation" sheetId="6" r:id="rId15"/>
    <sheet name="Unit Layouts" sheetId="10" r:id="rId16"/>
  </sheets>
  <definedNames>
    <definedName name="Accelera_Clear_SATIN_additional_topcoat">Epoxy!$T$170</definedName>
    <definedName name="Accelera_ClearEXT">Epoxy!$T$168</definedName>
    <definedName name="Accelera_PgmntEXT">Epoxy!$T$169</definedName>
    <definedName name="AT_Clear_Satin_w_Grit">Epoxy!$T$158</definedName>
    <definedName name="AT_ClearGloss_wGrit">Epoxy!$T$159</definedName>
    <definedName name="AT_ClearSatin_wGrit">Epoxy!$O$24</definedName>
    <definedName name="AT_Pgmt_Gloss_w_Grit">Epoxy!$T$161</definedName>
    <definedName name="AT_Pgmt_Satin_w_Grit">Epoxy!$T$160</definedName>
    <definedName name="ColorFast">Epoxy!$T$164</definedName>
    <definedName name="CoveRez">Epoxy!$T$152</definedName>
    <definedName name="Elast_O_Coat_Clear">Epoxy!$T$147</definedName>
    <definedName name="Fiberglass_Mat">Epoxy!$W$151</definedName>
    <definedName name="Gard_No_Sag">Epoxy!$T$150</definedName>
    <definedName name="GardReg">Epoxy!$T$149</definedName>
    <definedName name="Glaze4">Epoxy!$T$153</definedName>
    <definedName name="HP_Block_Filler_Primer">Epoxy!$T$174</definedName>
    <definedName name="HP_Eggshell_Topcoat">Epoxy!$T$175</definedName>
    <definedName name="HP_Gripper_Primer">Epoxy!$T$173</definedName>
    <definedName name="HP_Satin_Topcoat">Epoxy!$T$176</definedName>
    <definedName name="MACROFlake">Epoxy!$W$146</definedName>
    <definedName name="MD">Epoxy!$T$163</definedName>
    <definedName name="microFlake">Epoxy!$W$147</definedName>
    <definedName name="MVP">Epoxy!$T$146</definedName>
    <definedName name="NovolacGard">Epoxy!$T$155</definedName>
    <definedName name="OPF">Epoxy!$T$151</definedName>
    <definedName name="_xlnm.Print_Area" localSheetId="0">Epoxy!$A$1:$H$88</definedName>
    <definedName name="_xlnm.Print_Area" localSheetId="6">'Epoxy blank'!$A$1:$H$85</definedName>
    <definedName name="_xlnm.Print_Area" localSheetId="13">'Gyp (FR)'!$A$3:$I$87</definedName>
    <definedName name="_xlnm.Print_Area" localSheetId="11">'Gyp (GWorx SC190)'!$A$3:$I$87</definedName>
    <definedName name="_xlnm.Print_Area" localSheetId="2">'Gyp (USG 1-8")'!$A$3:$I$87</definedName>
    <definedName name="_xlnm.Print_Area" localSheetId="9">'Gyp (USG N12ULTRA)'!$A$3:$I$87</definedName>
    <definedName name="_xlnm.Print_Area" localSheetId="10">'Gyp (USG N25 1-4")'!$A$3:$I$87</definedName>
    <definedName name="_xlnm.Print_Area" localSheetId="8">Leveling!$A$1:$H$84</definedName>
    <definedName name="_xlnm.Print_Area" localSheetId="1">Polish!$A$1:$H$82</definedName>
    <definedName name="_xlnm.Print_Area" localSheetId="4">Seal!$A$1:$H$82</definedName>
    <definedName name="_xlnm.Print_Area" localSheetId="5">'Seal (+Jnts)'!$A$1:$H$82</definedName>
    <definedName name="Q11_25a">Epoxy!$W$149</definedName>
    <definedName name="Q28_40s">Epoxy!$W$148</definedName>
    <definedName name="ShopFloor">Epoxy!$T$154</definedName>
    <definedName name="Silica">Epoxy!$W$145</definedName>
    <definedName name="SL">Epoxy!$T$162</definedName>
    <definedName name="TF_Reg">Epoxy!$T$165</definedName>
    <definedName name="WB">Epoxy!$T$145</definedName>
    <definedName name="WR">Epoxy!$T$167</definedName>
    <definedName name="ZincCoveCap">Epoxy!$W$150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R44" i="15" l="1"/>
  <c r="R43" i="15"/>
  <c r="R42" i="15"/>
  <c r="R44" i="16"/>
  <c r="R43" i="16"/>
  <c r="R42" i="16"/>
  <c r="R44" i="18"/>
  <c r="R43" i="18"/>
  <c r="R42" i="18"/>
  <c r="Q39" i="9"/>
  <c r="Q38" i="9"/>
  <c r="Q37" i="9"/>
  <c r="B6" i="13"/>
  <c r="R44" i="17"/>
  <c r="R43" i="17"/>
  <c r="R42" i="17"/>
  <c r="B9" i="13"/>
  <c r="B8" i="13"/>
  <c r="B3" i="13"/>
  <c r="B2" i="13"/>
  <c r="B1" i="13"/>
  <c r="X149" i="14"/>
  <c r="X148" i="14"/>
  <c r="W149" i="14"/>
  <c r="W148" i="14"/>
  <c r="X146" i="14"/>
  <c r="X147" i="14"/>
  <c r="W147" i="14"/>
  <c r="W146" i="14"/>
  <c r="C51" i="1"/>
  <c r="D107" i="8"/>
  <c r="R107" i="8"/>
  <c r="K107" i="8"/>
  <c r="G103" i="8"/>
  <c r="D105" i="8"/>
  <c r="D106" i="8"/>
  <c r="L53" i="19"/>
  <c r="J53" i="19"/>
  <c r="L53" i="13"/>
  <c r="J53" i="13"/>
  <c r="L58" i="5"/>
  <c r="J58" i="5"/>
  <c r="L57" i="12"/>
  <c r="J57" i="12"/>
  <c r="M61" i="9"/>
  <c r="M55" i="9"/>
  <c r="M61" i="17"/>
  <c r="M55" i="17"/>
  <c r="M61" i="18"/>
  <c r="M55" i="18"/>
  <c r="M61" i="16"/>
  <c r="M55" i="16"/>
  <c r="M61" i="15"/>
  <c r="M55" i="15"/>
  <c r="L53" i="1"/>
  <c r="J53" i="1"/>
  <c r="X163" i="14"/>
  <c r="X162" i="14"/>
  <c r="W163" i="14"/>
  <c r="W162" i="14"/>
  <c r="W161" i="14"/>
  <c r="W160" i="14"/>
  <c r="W159" i="14"/>
  <c r="W158" i="14"/>
  <c r="W153" i="14"/>
  <c r="Y153" i="14"/>
  <c r="D38" i="5"/>
  <c r="W145" i="14"/>
  <c r="W151" i="14"/>
  <c r="W150" i="14"/>
  <c r="L61" i="14"/>
  <c r="W189" i="14" l="1"/>
  <c r="W188" i="14"/>
  <c r="U174" i="14"/>
  <c r="U173" i="14"/>
  <c r="U178" i="14"/>
  <c r="U164" i="14"/>
  <c r="U167" i="14"/>
  <c r="W195" i="14"/>
  <c r="U166" i="14"/>
  <c r="U165" i="14"/>
  <c r="W194" i="14"/>
  <c r="U163" i="14"/>
  <c r="U162" i="14"/>
  <c r="U170" i="14"/>
  <c r="W191" i="14"/>
  <c r="W190" i="14"/>
  <c r="U169" i="14"/>
  <c r="U168" i="14"/>
  <c r="U176" i="14"/>
  <c r="U175" i="14"/>
  <c r="U160" i="14"/>
  <c r="U158" i="14"/>
  <c r="U161" i="14"/>
  <c r="U159" i="14"/>
  <c r="X159" i="14" s="1"/>
  <c r="W187" i="14"/>
  <c r="U157" i="14"/>
  <c r="U156" i="14"/>
  <c r="U155" i="14"/>
  <c r="U151" i="14"/>
  <c r="U150" i="14"/>
  <c r="U149" i="14"/>
  <c r="U154" i="14"/>
  <c r="U153" i="14"/>
  <c r="U152" i="14"/>
  <c r="U148" i="14"/>
  <c r="U147" i="14"/>
  <c r="U146" i="14"/>
  <c r="U145" i="14"/>
  <c r="Y130" i="14"/>
  <c r="Y129" i="14"/>
  <c r="W129" i="14"/>
  <c r="AP295" i="14"/>
  <c r="AP294" i="14"/>
  <c r="AP250" i="14"/>
  <c r="AP249" i="14"/>
  <c r="AP242" i="14"/>
  <c r="AP241" i="14"/>
  <c r="AP234" i="14"/>
  <c r="AP233" i="14"/>
  <c r="P250" i="14"/>
  <c r="P249" i="14"/>
  <c r="P241" i="14"/>
  <c r="P242" i="14"/>
  <c r="P234" i="14"/>
  <c r="P233" i="14"/>
  <c r="AP313" i="14"/>
  <c r="AP312" i="14"/>
  <c r="AP305" i="14"/>
  <c r="AP304" i="14"/>
  <c r="AP218" i="14"/>
  <c r="AP217" i="14"/>
  <c r="AP210" i="14"/>
  <c r="AP209" i="14"/>
  <c r="AP202" i="14"/>
  <c r="AP201" i="14"/>
  <c r="AP225" i="14"/>
  <c r="AP194" i="14"/>
  <c r="P218" i="14"/>
  <c r="P217" i="14"/>
  <c r="P202" i="14"/>
  <c r="P201" i="14"/>
  <c r="P225" i="14"/>
  <c r="P210" i="14"/>
  <c r="P209" i="14"/>
  <c r="P194" i="14"/>
  <c r="I192" i="14"/>
  <c r="Y149" i="14"/>
  <c r="Y148" i="14"/>
  <c r="Y147" i="14"/>
  <c r="D5" i="13"/>
  <c r="D5" i="19" s="1"/>
  <c r="C46" i="19" s="1"/>
  <c r="C53" i="9"/>
  <c r="C53" i="17"/>
  <c r="C53" i="18"/>
  <c r="C53" i="16"/>
  <c r="D5" i="12"/>
  <c r="C50" i="12" s="1"/>
  <c r="D50" i="12" s="1"/>
  <c r="D5" i="5"/>
  <c r="C51" i="5" s="1"/>
  <c r="D5" i="1"/>
  <c r="C46" i="1" s="1"/>
  <c r="C54" i="14"/>
  <c r="W154" i="14"/>
  <c r="E37" i="9"/>
  <c r="E34" i="9"/>
  <c r="E31" i="9"/>
  <c r="E30" i="9"/>
  <c r="E37" i="15"/>
  <c r="E34" i="15"/>
  <c r="E37" i="17"/>
  <c r="E34" i="17"/>
  <c r="E31" i="17"/>
  <c r="E30" i="17"/>
  <c r="E34" i="18"/>
  <c r="E37" i="18"/>
  <c r="E31" i="18"/>
  <c r="E30" i="18"/>
  <c r="E34" i="16"/>
  <c r="E37" i="16"/>
  <c r="E31" i="16"/>
  <c r="E30" i="16"/>
  <c r="E31" i="15"/>
  <c r="E30" i="15"/>
  <c r="B51" i="15"/>
  <c r="E53" i="9"/>
  <c r="E53" i="17"/>
  <c r="E53" i="18"/>
  <c r="E53" i="16"/>
  <c r="B42" i="1"/>
  <c r="B37" i="1"/>
  <c r="B38" i="1"/>
  <c r="K10" i="15"/>
  <c r="K10" i="16"/>
  <c r="K10" i="17"/>
  <c r="B35" i="17"/>
  <c r="K10" i="18"/>
  <c r="C12" i="8"/>
  <c r="C46" i="13" l="1"/>
  <c r="AH83" i="5"/>
  <c r="AG83" i="5"/>
  <c r="AF83" i="5"/>
  <c r="AB83" i="5"/>
  <c r="AI81" i="5"/>
  <c r="AI83" i="5" s="1"/>
  <c r="AE81" i="5"/>
  <c r="AE83" i="5" s="1"/>
  <c r="AD81" i="5"/>
  <c r="AD83" i="5" s="1"/>
  <c r="AC81" i="5"/>
  <c r="AC83" i="5" s="1"/>
  <c r="AD79" i="5"/>
  <c r="AC77" i="5"/>
  <c r="AE77" i="5" s="1"/>
  <c r="AA77" i="5"/>
  <c r="AI74" i="5"/>
  <c r="AH74" i="5"/>
  <c r="AG74" i="5"/>
  <c r="AD74" i="5"/>
  <c r="AC74" i="5"/>
  <c r="AB74" i="5"/>
  <c r="AI72" i="5"/>
  <c r="AH72" i="5"/>
  <c r="AG72" i="5"/>
  <c r="AF72" i="5"/>
  <c r="AF74" i="5" s="1"/>
  <c r="AE72" i="5"/>
  <c r="AE74" i="5" s="1"/>
  <c r="AC72" i="5"/>
  <c r="AD70" i="5"/>
  <c r="AC68" i="5"/>
  <c r="AE68" i="5" s="1"/>
  <c r="AA68" i="5"/>
  <c r="AI65" i="5"/>
  <c r="AH65" i="5"/>
  <c r="AG65" i="5"/>
  <c r="AF65" i="5"/>
  <c r="AE65" i="5"/>
  <c r="AD65" i="5"/>
  <c r="AC65" i="5"/>
  <c r="AB65" i="5"/>
  <c r="AB66" i="5" s="1"/>
  <c r="AB61" i="5" s="1"/>
  <c r="AC61" i="5" s="1"/>
  <c r="AI63" i="5"/>
  <c r="AE63" i="5"/>
  <c r="AC63" i="5"/>
  <c r="AD61" i="5"/>
  <c r="AE59" i="5"/>
  <c r="AC59" i="5"/>
  <c r="AA59" i="5"/>
  <c r="AH56" i="5"/>
  <c r="AE56" i="5"/>
  <c r="AD56" i="5"/>
  <c r="AC56" i="5"/>
  <c r="AB56" i="5"/>
  <c r="AB57" i="5" s="1"/>
  <c r="AB52" i="5" s="1"/>
  <c r="AC52" i="5" s="1"/>
  <c r="AI54" i="5"/>
  <c r="AI56" i="5" s="1"/>
  <c r="AG54" i="5"/>
  <c r="AG56" i="5" s="1"/>
  <c r="AF54" i="5"/>
  <c r="AF56" i="5" s="1"/>
  <c r="AE54" i="5"/>
  <c r="AD54" i="5"/>
  <c r="AC54" i="5"/>
  <c r="AD52" i="5"/>
  <c r="AE50" i="5"/>
  <c r="AC50" i="5"/>
  <c r="AA50" i="5"/>
  <c r="AH46" i="5"/>
  <c r="AG46" i="5"/>
  <c r="AF46" i="5"/>
  <c r="AB46" i="5"/>
  <c r="AI44" i="5"/>
  <c r="AI46" i="5" s="1"/>
  <c r="AG44" i="5"/>
  <c r="AE44" i="5"/>
  <c r="AE46" i="5" s="1"/>
  <c r="AD44" i="5"/>
  <c r="AD46" i="5" s="1"/>
  <c r="AC44" i="5"/>
  <c r="AC46" i="5" s="1"/>
  <c r="AD42" i="5"/>
  <c r="AC40" i="5"/>
  <c r="AE40" i="5" s="1"/>
  <c r="AA40" i="5"/>
  <c r="S56" i="5"/>
  <c r="R56" i="5"/>
  <c r="Q56" i="5"/>
  <c r="P56" i="5"/>
  <c r="W55" i="5"/>
  <c r="W54" i="5"/>
  <c r="W56" i="5" s="1"/>
  <c r="V54" i="5"/>
  <c r="V56" i="5" s="1"/>
  <c r="U54" i="5"/>
  <c r="U56" i="5" s="1"/>
  <c r="T54" i="5"/>
  <c r="T56" i="5" s="1"/>
  <c r="S54" i="5"/>
  <c r="R54" i="5"/>
  <c r="Q54" i="5"/>
  <c r="R52" i="5"/>
  <c r="Q50" i="5"/>
  <c r="S50" i="5" s="1"/>
  <c r="O50" i="5"/>
  <c r="O49" i="5"/>
  <c r="O48" i="5"/>
  <c r="O38" i="5"/>
  <c r="Q40" i="5"/>
  <c r="S40" i="5" s="1"/>
  <c r="O40" i="5"/>
  <c r="L40" i="5"/>
  <c r="L35" i="5"/>
  <c r="L36" i="5"/>
  <c r="L37" i="5"/>
  <c r="L39" i="5"/>
  <c r="L38" i="5"/>
  <c r="O39" i="5"/>
  <c r="E49" i="5"/>
  <c r="B49" i="5"/>
  <c r="E44" i="1"/>
  <c r="E44" i="13" s="1"/>
  <c r="E44" i="19" s="1"/>
  <c r="B44" i="1"/>
  <c r="B44" i="13" s="1"/>
  <c r="B44" i="19" s="1"/>
  <c r="B39" i="5"/>
  <c r="B10" i="5"/>
  <c r="B9" i="5"/>
  <c r="B8" i="5"/>
  <c r="B7" i="5"/>
  <c r="B6" i="5"/>
  <c r="B4" i="5"/>
  <c r="B3" i="5"/>
  <c r="B2" i="5"/>
  <c r="B1" i="5"/>
  <c r="E8" i="15"/>
  <c r="E7" i="15"/>
  <c r="X161" i="14"/>
  <c r="X158" i="14"/>
  <c r="X153" i="14"/>
  <c r="I2" i="1"/>
  <c r="J2" i="1"/>
  <c r="K2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B9" i="1"/>
  <c r="B8" i="1"/>
  <c r="B3" i="1"/>
  <c r="B2" i="1"/>
  <c r="B1" i="1"/>
  <c r="B6" i="1"/>
  <c r="D6" i="1"/>
  <c r="D89" i="15"/>
  <c r="D90" i="15"/>
  <c r="D86" i="17"/>
  <c r="D89" i="16"/>
  <c r="D90" i="16"/>
  <c r="D90" i="18"/>
  <c r="D89" i="18"/>
  <c r="D86" i="18"/>
  <c r="D86" i="16"/>
  <c r="D86" i="15"/>
  <c r="A1" i="15"/>
  <c r="A1" i="18"/>
  <c r="A1" i="17"/>
  <c r="A1" i="16"/>
  <c r="E77" i="19"/>
  <c r="E78" i="19"/>
  <c r="A77" i="19"/>
  <c r="B78" i="19"/>
  <c r="C77" i="19"/>
  <c r="B77" i="19"/>
  <c r="D77" i="19" s="1"/>
  <c r="C21" i="19"/>
  <c r="C20" i="19"/>
  <c r="C23" i="19"/>
  <c r="C22" i="19"/>
  <c r="B23" i="19"/>
  <c r="D23" i="19" s="1"/>
  <c r="B22" i="19"/>
  <c r="D22" i="19" s="1"/>
  <c r="A23" i="19"/>
  <c r="A22" i="19"/>
  <c r="A21" i="19"/>
  <c r="A17" i="19"/>
  <c r="A18" i="19"/>
  <c r="B18" i="19"/>
  <c r="C18" i="19"/>
  <c r="C17" i="19"/>
  <c r="E18" i="19"/>
  <c r="B29" i="19" s="1"/>
  <c r="D29" i="19" s="1"/>
  <c r="L42" i="13"/>
  <c r="L41" i="13"/>
  <c r="L40" i="13"/>
  <c r="O42" i="13"/>
  <c r="M42" i="13"/>
  <c r="O41" i="13"/>
  <c r="M41" i="13"/>
  <c r="O40" i="13"/>
  <c r="M40" i="13"/>
  <c r="N38" i="13"/>
  <c r="P42" i="13" s="1"/>
  <c r="N35" i="13"/>
  <c r="N34" i="13"/>
  <c r="N33" i="13"/>
  <c r="N32" i="13"/>
  <c r="N31" i="13"/>
  <c r="O42" i="19"/>
  <c r="O40" i="19"/>
  <c r="O41" i="19"/>
  <c r="M42" i="19"/>
  <c r="M41" i="19"/>
  <c r="M40" i="19"/>
  <c r="E19" i="19"/>
  <c r="J20" i="19" s="1"/>
  <c r="A54" i="19"/>
  <c r="A53" i="19"/>
  <c r="A52" i="19"/>
  <c r="B54" i="19"/>
  <c r="B53" i="19"/>
  <c r="B52" i="19"/>
  <c r="C54" i="19"/>
  <c r="D54" i="19" s="1"/>
  <c r="C53" i="19"/>
  <c r="D53" i="19" s="1"/>
  <c r="D52" i="19"/>
  <c r="C51" i="19"/>
  <c r="C47" i="19"/>
  <c r="E40" i="19"/>
  <c r="C44" i="19"/>
  <c r="B40" i="19"/>
  <c r="A40" i="19"/>
  <c r="B38" i="19"/>
  <c r="A38" i="19"/>
  <c r="B37" i="19"/>
  <c r="A37" i="19"/>
  <c r="H58" i="19" s="1"/>
  <c r="C37" i="19"/>
  <c r="C38" i="19" s="1"/>
  <c r="D38" i="19" s="1"/>
  <c r="K38" i="19" s="1"/>
  <c r="I2" i="19"/>
  <c r="I3" i="19"/>
  <c r="I4" i="19"/>
  <c r="I5" i="19"/>
  <c r="I6" i="19"/>
  <c r="H3" i="19"/>
  <c r="H4" i="19"/>
  <c r="H5" i="19"/>
  <c r="H6" i="19"/>
  <c r="H2" i="19"/>
  <c r="G3" i="19"/>
  <c r="G4" i="19"/>
  <c r="G5" i="19"/>
  <c r="G6" i="19"/>
  <c r="G2" i="19"/>
  <c r="B13" i="19"/>
  <c r="B12" i="19"/>
  <c r="B10" i="19"/>
  <c r="B9" i="19"/>
  <c r="B8" i="19"/>
  <c r="B7" i="19"/>
  <c r="B6" i="19"/>
  <c r="B74" i="19" s="1"/>
  <c r="B5" i="19"/>
  <c r="B68" i="19" s="1"/>
  <c r="B4" i="19"/>
  <c r="B58" i="19" s="1"/>
  <c r="D58" i="19" s="1"/>
  <c r="B3" i="19"/>
  <c r="B2" i="19"/>
  <c r="B1" i="19"/>
  <c r="H68" i="19"/>
  <c r="D60" i="19"/>
  <c r="H55" i="19"/>
  <c r="L48" i="19"/>
  <c r="J48" i="19"/>
  <c r="A42" i="19"/>
  <c r="D30" i="19"/>
  <c r="T29" i="19"/>
  <c r="S29" i="19"/>
  <c r="R29" i="19"/>
  <c r="Q29" i="19"/>
  <c r="P29" i="19"/>
  <c r="O29" i="19"/>
  <c r="T28" i="19"/>
  <c r="S28" i="19"/>
  <c r="R28" i="19"/>
  <c r="Q28" i="19"/>
  <c r="P28" i="19"/>
  <c r="O28" i="19"/>
  <c r="T27" i="19"/>
  <c r="S27" i="19"/>
  <c r="R27" i="19"/>
  <c r="Q27" i="19"/>
  <c r="P27" i="19"/>
  <c r="O27" i="19"/>
  <c r="D27" i="19"/>
  <c r="T26" i="19"/>
  <c r="S26" i="19"/>
  <c r="R26" i="19"/>
  <c r="Q26" i="19"/>
  <c r="P26" i="19"/>
  <c r="O26" i="19"/>
  <c r="D26" i="19"/>
  <c r="D25" i="19"/>
  <c r="D18" i="19"/>
  <c r="V15" i="19"/>
  <c r="W10" i="19"/>
  <c r="V10" i="19"/>
  <c r="U10" i="19"/>
  <c r="T10" i="19"/>
  <c r="S10" i="19"/>
  <c r="R10" i="19"/>
  <c r="Q10" i="19"/>
  <c r="H87" i="18"/>
  <c r="E82" i="18"/>
  <c r="I73" i="18"/>
  <c r="E66" i="18"/>
  <c r="W62" i="18"/>
  <c r="W61" i="18"/>
  <c r="L61" i="18"/>
  <c r="W60" i="18"/>
  <c r="E60" i="18"/>
  <c r="W59" i="18"/>
  <c r="E59" i="18"/>
  <c r="W58" i="18"/>
  <c r="P58" i="18"/>
  <c r="U58" i="18" s="1"/>
  <c r="U59" i="18" s="1"/>
  <c r="W57" i="18"/>
  <c r="U57" i="18"/>
  <c r="R57" i="18"/>
  <c r="P57" i="18"/>
  <c r="I57" i="18"/>
  <c r="E57" i="18"/>
  <c r="W56" i="18"/>
  <c r="H56" i="18"/>
  <c r="W55" i="18"/>
  <c r="L55" i="18"/>
  <c r="W54" i="18"/>
  <c r="W53" i="18"/>
  <c r="W52" i="18"/>
  <c r="CZ51" i="18"/>
  <c r="CY51" i="18"/>
  <c r="CU51" i="18"/>
  <c r="CX51" i="18" s="1"/>
  <c r="DH51" i="18" s="1"/>
  <c r="DI51" i="18" s="1"/>
  <c r="CR51" i="18"/>
  <c r="DB51" i="18" s="1"/>
  <c r="DC51" i="18" s="1"/>
  <c r="BJ51" i="18"/>
  <c r="BI51" i="18"/>
  <c r="BH51" i="18"/>
  <c r="BR51" i="18" s="1"/>
  <c r="BS51" i="18" s="1"/>
  <c r="BX51" i="18" s="1"/>
  <c r="BE51" i="18"/>
  <c r="BB51" i="18"/>
  <c r="BL51" i="18" s="1"/>
  <c r="BM51" i="18" s="1"/>
  <c r="W51" i="18"/>
  <c r="A51" i="18"/>
  <c r="DE50" i="18"/>
  <c r="CY50" i="18"/>
  <c r="CZ50" i="18" s="1"/>
  <c r="CU50" i="18"/>
  <c r="CR50" i="18"/>
  <c r="DB50" i="18" s="1"/>
  <c r="DC50" i="18" s="1"/>
  <c r="BO50" i="18"/>
  <c r="BP50" i="18" s="1"/>
  <c r="BM50" i="18"/>
  <c r="BI50" i="18"/>
  <c r="BJ50" i="18" s="1"/>
  <c r="BE50" i="18"/>
  <c r="BB50" i="18"/>
  <c r="BL50" i="18" s="1"/>
  <c r="DB49" i="18"/>
  <c r="DC49" i="18" s="1"/>
  <c r="CY49" i="18"/>
  <c r="CZ49" i="18" s="1"/>
  <c r="CR49" i="18"/>
  <c r="CU49" i="18" s="1"/>
  <c r="BL49" i="18"/>
  <c r="BM49" i="18" s="1"/>
  <c r="BI49" i="18"/>
  <c r="BJ49" i="18" s="1"/>
  <c r="BB49" i="18"/>
  <c r="BE49" i="18" s="1"/>
  <c r="C49" i="18"/>
  <c r="DE48" i="18"/>
  <c r="DF48" i="18" s="1"/>
  <c r="DK48" i="18" s="1"/>
  <c r="DM48" i="18" s="1"/>
  <c r="DC48" i="18"/>
  <c r="DB48" i="18"/>
  <c r="CZ48" i="18"/>
  <c r="CY48" i="18"/>
  <c r="CU48" i="18"/>
  <c r="CX48" i="18" s="1"/>
  <c r="DH48" i="18" s="1"/>
  <c r="DI48" i="18" s="1"/>
  <c r="CR48" i="18"/>
  <c r="BX48" i="18"/>
  <c r="BO48" i="18"/>
  <c r="BP48" i="18" s="1"/>
  <c r="BM48" i="18"/>
  <c r="BL48" i="18"/>
  <c r="BJ48" i="18"/>
  <c r="BU48" i="18" s="1"/>
  <c r="BW48" i="18" s="1"/>
  <c r="BI48" i="18"/>
  <c r="BB48" i="18"/>
  <c r="BE48" i="18" s="1"/>
  <c r="BH48" i="18" s="1"/>
  <c r="BR48" i="18" s="1"/>
  <c r="BS48" i="18" s="1"/>
  <c r="R48" i="18"/>
  <c r="C48" i="18"/>
  <c r="A48" i="18"/>
  <c r="R47" i="18"/>
  <c r="G47" i="18"/>
  <c r="C47" i="18"/>
  <c r="DE46" i="18"/>
  <c r="DF46" i="18" s="1"/>
  <c r="DB46" i="18"/>
  <c r="DC46" i="18" s="1"/>
  <c r="CZ46" i="18"/>
  <c r="CY46" i="18"/>
  <c r="CR46" i="18"/>
  <c r="CU46" i="18" s="1"/>
  <c r="BL46" i="18"/>
  <c r="BM46" i="18" s="1"/>
  <c r="BJ46" i="18"/>
  <c r="BI46" i="18"/>
  <c r="BB46" i="18"/>
  <c r="BE46" i="18" s="1"/>
  <c r="R46" i="18"/>
  <c r="C46" i="18"/>
  <c r="CZ45" i="18"/>
  <c r="CY45" i="18"/>
  <c r="CR45" i="18"/>
  <c r="CU45" i="18" s="1"/>
  <c r="BJ45" i="18"/>
  <c r="BI45" i="18"/>
  <c r="BB45" i="18"/>
  <c r="BE45" i="18" s="1"/>
  <c r="E45" i="18"/>
  <c r="DB44" i="18"/>
  <c r="DC44" i="18" s="1"/>
  <c r="CY44" i="18"/>
  <c r="CZ44" i="18" s="1"/>
  <c r="CR44" i="18"/>
  <c r="CU44" i="18" s="1"/>
  <c r="BL44" i="18"/>
  <c r="BM44" i="18" s="1"/>
  <c r="BI44" i="18"/>
  <c r="BJ44" i="18" s="1"/>
  <c r="BE44" i="18"/>
  <c r="BB44" i="18"/>
  <c r="P44" i="18"/>
  <c r="CY43" i="18"/>
  <c r="CZ43" i="18" s="1"/>
  <c r="CU43" i="18"/>
  <c r="CR43" i="18"/>
  <c r="DB43" i="18" s="1"/>
  <c r="DC43" i="18" s="1"/>
  <c r="BO43" i="18"/>
  <c r="BJ43" i="18"/>
  <c r="BI43" i="18"/>
  <c r="BH43" i="18"/>
  <c r="BR43" i="18" s="1"/>
  <c r="BS43" i="18" s="1"/>
  <c r="BX43" i="18" s="1"/>
  <c r="BY43" i="18" s="1"/>
  <c r="BE43" i="18"/>
  <c r="BU43" i="18" s="1"/>
  <c r="BW43" i="18" s="1"/>
  <c r="BB43" i="18"/>
  <c r="BL43" i="18" s="1"/>
  <c r="BM43" i="18" s="1"/>
  <c r="BP43" i="18" s="1"/>
  <c r="P43" i="18"/>
  <c r="DB42" i="18"/>
  <c r="DC42" i="18" s="1"/>
  <c r="CZ42" i="18"/>
  <c r="CY42" i="18"/>
  <c r="CR42" i="18"/>
  <c r="CU42" i="18" s="1"/>
  <c r="BL42" i="18"/>
  <c r="BM42" i="18" s="1"/>
  <c r="BI42" i="18"/>
  <c r="BJ42" i="18" s="1"/>
  <c r="BB42" i="18"/>
  <c r="BE42" i="18" s="1"/>
  <c r="P42" i="18"/>
  <c r="DE41" i="18"/>
  <c r="DC41" i="18"/>
  <c r="DB41" i="18"/>
  <c r="CZ41" i="18"/>
  <c r="CY41" i="18"/>
  <c r="CR41" i="18"/>
  <c r="CU41" i="18" s="1"/>
  <c r="BM41" i="18"/>
  <c r="BL41" i="18"/>
  <c r="BJ41" i="18"/>
  <c r="BI41" i="18"/>
  <c r="BB41" i="18"/>
  <c r="BE41" i="18" s="1"/>
  <c r="BO41" i="18" s="1"/>
  <c r="BP41" i="18" s="1"/>
  <c r="CY40" i="18"/>
  <c r="CZ40" i="18" s="1"/>
  <c r="CR40" i="18"/>
  <c r="BI40" i="18"/>
  <c r="BJ40" i="18" s="1"/>
  <c r="BB40" i="18"/>
  <c r="P40" i="18"/>
  <c r="D36" i="18" s="1"/>
  <c r="CZ39" i="18"/>
  <c r="CY39" i="18"/>
  <c r="CU39" i="18"/>
  <c r="DE39" i="18" s="1"/>
  <c r="DF39" i="18" s="1"/>
  <c r="CR39" i="18"/>
  <c r="DB39" i="18" s="1"/>
  <c r="DC39" i="18" s="1"/>
  <c r="BJ39" i="18"/>
  <c r="BI39" i="18"/>
  <c r="BE39" i="18"/>
  <c r="BO39" i="18" s="1"/>
  <c r="BB39" i="18"/>
  <c r="BL39" i="18" s="1"/>
  <c r="BM39" i="18" s="1"/>
  <c r="P39" i="18"/>
  <c r="CZ38" i="18"/>
  <c r="CY38" i="18"/>
  <c r="CU38" i="18"/>
  <c r="DE38" i="18" s="1"/>
  <c r="DF38" i="18" s="1"/>
  <c r="CR38" i="18"/>
  <c r="DB38" i="18" s="1"/>
  <c r="DC38" i="18" s="1"/>
  <c r="BJ38" i="18"/>
  <c r="BU38" i="18" s="1"/>
  <c r="BW38" i="18" s="1"/>
  <c r="BI38" i="18"/>
  <c r="BE38" i="18"/>
  <c r="BO38" i="18" s="1"/>
  <c r="BB38" i="18"/>
  <c r="BL38" i="18" s="1"/>
  <c r="BM38" i="18" s="1"/>
  <c r="T38" i="18"/>
  <c r="P38" i="18"/>
  <c r="P47" i="18" s="1"/>
  <c r="CY37" i="18"/>
  <c r="CZ37" i="18" s="1"/>
  <c r="CR37" i="18"/>
  <c r="BI37" i="18"/>
  <c r="BJ37" i="18" s="1"/>
  <c r="BB37" i="18"/>
  <c r="BL37" i="18" s="1"/>
  <c r="BM37" i="18" s="1"/>
  <c r="P37" i="18"/>
  <c r="DI36" i="18"/>
  <c r="DB36" i="18"/>
  <c r="DC36" i="18" s="1"/>
  <c r="CZ36" i="18"/>
  <c r="CY36" i="18"/>
  <c r="CX36" i="18"/>
  <c r="DH36" i="18" s="1"/>
  <c r="CU36" i="18"/>
  <c r="DE36" i="18" s="1"/>
  <c r="CR36" i="18"/>
  <c r="BL36" i="18"/>
  <c r="BM36" i="18" s="1"/>
  <c r="BP36" i="18" s="1"/>
  <c r="BI36" i="18"/>
  <c r="BJ36" i="18" s="1"/>
  <c r="BU36" i="18" s="1"/>
  <c r="BW36" i="18" s="1"/>
  <c r="BH36" i="18"/>
  <c r="BR36" i="18" s="1"/>
  <c r="BS36" i="18" s="1"/>
  <c r="BX36" i="18" s="1"/>
  <c r="BY36" i="18" s="1"/>
  <c r="BE36" i="18"/>
  <c r="BO36" i="18" s="1"/>
  <c r="BB36" i="18"/>
  <c r="H36" i="18"/>
  <c r="CY35" i="18"/>
  <c r="CZ35" i="18" s="1"/>
  <c r="CR35" i="18"/>
  <c r="DB35" i="18" s="1"/>
  <c r="DC35" i="18" s="1"/>
  <c r="BP35" i="18"/>
  <c r="BO35" i="18"/>
  <c r="BM35" i="18"/>
  <c r="BL35" i="18"/>
  <c r="BI35" i="18"/>
  <c r="BJ35" i="18" s="1"/>
  <c r="BE35" i="18"/>
  <c r="BB35" i="18"/>
  <c r="CZ34" i="18"/>
  <c r="CY34" i="18"/>
  <c r="CR34" i="18"/>
  <c r="BU34" i="18"/>
  <c r="BW34" i="18" s="1"/>
  <c r="BJ34" i="18"/>
  <c r="BI34" i="18"/>
  <c r="BE34" i="18"/>
  <c r="BB34" i="18"/>
  <c r="BL34" i="18" s="1"/>
  <c r="BM34" i="18" s="1"/>
  <c r="CY33" i="18"/>
  <c r="CZ33" i="18" s="1"/>
  <c r="CU33" i="18"/>
  <c r="DE33" i="18" s="1"/>
  <c r="DF33" i="18" s="1"/>
  <c r="CR33" i="18"/>
  <c r="DB33" i="18" s="1"/>
  <c r="DC33" i="18" s="1"/>
  <c r="BJ33" i="18"/>
  <c r="BI33" i="18"/>
  <c r="BE33" i="18"/>
  <c r="BO33" i="18" s="1"/>
  <c r="BB33" i="18"/>
  <c r="BL33" i="18" s="1"/>
  <c r="BM33" i="18" s="1"/>
  <c r="DB32" i="18"/>
  <c r="DC32" i="18" s="1"/>
  <c r="CZ32" i="18"/>
  <c r="CY32" i="18"/>
  <c r="CR32" i="18"/>
  <c r="CU32" i="18" s="1"/>
  <c r="BJ32" i="18"/>
  <c r="BI32" i="18"/>
  <c r="BB32" i="18"/>
  <c r="BE32" i="18" s="1"/>
  <c r="DB31" i="18"/>
  <c r="DC31" i="18" s="1"/>
  <c r="CZ31" i="18"/>
  <c r="CY31" i="18"/>
  <c r="CR31" i="18"/>
  <c r="CU31" i="18" s="1"/>
  <c r="BJ31" i="18"/>
  <c r="BI31" i="18"/>
  <c r="BB31" i="18"/>
  <c r="BE31" i="18" s="1"/>
  <c r="DC30" i="18"/>
  <c r="CZ30" i="18"/>
  <c r="CY30" i="18"/>
  <c r="CX30" i="18"/>
  <c r="DH30" i="18" s="1"/>
  <c r="DI30" i="18" s="1"/>
  <c r="DN30" i="18" s="1"/>
  <c r="CU30" i="18"/>
  <c r="DE30" i="18" s="1"/>
  <c r="DF30" i="18" s="1"/>
  <c r="DK30" i="18" s="1"/>
  <c r="DM30" i="18" s="1"/>
  <c r="CR30" i="18"/>
  <c r="DB30" i="18" s="1"/>
  <c r="BS30" i="18"/>
  <c r="BX30" i="18" s="1"/>
  <c r="BL30" i="18"/>
  <c r="BM30" i="18" s="1"/>
  <c r="BI30" i="18"/>
  <c r="BJ30" i="18" s="1"/>
  <c r="BU30" i="18" s="1"/>
  <c r="BW30" i="18" s="1"/>
  <c r="BH30" i="18"/>
  <c r="BR30" i="18" s="1"/>
  <c r="BE30" i="18"/>
  <c r="BO30" i="18" s="1"/>
  <c r="BB30" i="18"/>
  <c r="DE29" i="18"/>
  <c r="DB29" i="18"/>
  <c r="DC29" i="18" s="1"/>
  <c r="CZ29" i="18"/>
  <c r="CY29" i="18"/>
  <c r="CU29" i="18"/>
  <c r="CX29" i="18" s="1"/>
  <c r="DH29" i="18" s="1"/>
  <c r="DI29" i="18" s="1"/>
  <c r="CR29" i="18"/>
  <c r="BO29" i="18"/>
  <c r="BL29" i="18"/>
  <c r="BM29" i="18" s="1"/>
  <c r="BJ29" i="18"/>
  <c r="BI29" i="18"/>
  <c r="BE29" i="18"/>
  <c r="BB29" i="18"/>
  <c r="CQ28" i="18"/>
  <c r="CP28" i="18"/>
  <c r="CM28" i="18"/>
  <c r="CN28" i="18" s="1"/>
  <c r="CI28" i="18"/>
  <c r="CF28" i="18"/>
  <c r="AX28" i="18"/>
  <c r="AW28" i="18"/>
  <c r="AP28" i="18"/>
  <c r="X28" i="18"/>
  <c r="W28" i="18"/>
  <c r="V28" i="18"/>
  <c r="U28" i="18"/>
  <c r="DB27" i="18"/>
  <c r="DC27" i="18" s="1"/>
  <c r="CY27" i="18"/>
  <c r="DA27" i="18" s="1"/>
  <c r="CV27" i="18"/>
  <c r="CW27" i="18" s="1"/>
  <c r="CT27" i="18"/>
  <c r="CS27" i="18"/>
  <c r="CQ27" i="18"/>
  <c r="CP27" i="18"/>
  <c r="CN27" i="18"/>
  <c r="CM27" i="18"/>
  <c r="CL27" i="18"/>
  <c r="CF27" i="18"/>
  <c r="CI27" i="18" s="1"/>
  <c r="BI27" i="18"/>
  <c r="BK27" i="18" s="1"/>
  <c r="BF27" i="18"/>
  <c r="BG27" i="18" s="1"/>
  <c r="BL27" i="18" s="1"/>
  <c r="BM27" i="18" s="1"/>
  <c r="BD27" i="18"/>
  <c r="BC27" i="18"/>
  <c r="BA27" i="18"/>
  <c r="AZ27" i="18"/>
  <c r="AX27" i="18"/>
  <c r="AW27" i="18"/>
  <c r="AS27" i="18"/>
  <c r="AV27" i="18" s="1"/>
  <c r="AP27" i="18"/>
  <c r="O27" i="18"/>
  <c r="D27" i="18"/>
  <c r="CN26" i="18"/>
  <c r="CM26" i="18"/>
  <c r="CI26" i="18"/>
  <c r="CF26" i="18"/>
  <c r="CP26" i="18" s="1"/>
  <c r="CQ26" i="18" s="1"/>
  <c r="AW26" i="18"/>
  <c r="AX26" i="18" s="1"/>
  <c r="AS26" i="18"/>
  <c r="AP26" i="18"/>
  <c r="AZ26" i="18" s="1"/>
  <c r="BA26" i="18" s="1"/>
  <c r="O26" i="18"/>
  <c r="CM25" i="18"/>
  <c r="CN25" i="18" s="1"/>
  <c r="CI25" i="18"/>
  <c r="CF25" i="18"/>
  <c r="CP25" i="18" s="1"/>
  <c r="CQ25" i="18" s="1"/>
  <c r="AZ25" i="18"/>
  <c r="BA25" i="18" s="1"/>
  <c r="AW25" i="18"/>
  <c r="AX25" i="18" s="1"/>
  <c r="BI25" i="18" s="1"/>
  <c r="BK25" i="18" s="1"/>
  <c r="AS25" i="18"/>
  <c r="AP25" i="18"/>
  <c r="O25" i="18"/>
  <c r="H25" i="18"/>
  <c r="I25" i="18" s="1"/>
  <c r="D25" i="18"/>
  <c r="C25" i="18"/>
  <c r="CQ24" i="18"/>
  <c r="CM24" i="18"/>
  <c r="CN24" i="18" s="1"/>
  <c r="CF24" i="18"/>
  <c r="CP24" i="18" s="1"/>
  <c r="AW24" i="18"/>
  <c r="AX24" i="18" s="1"/>
  <c r="AP24" i="18"/>
  <c r="AZ24" i="18" s="1"/>
  <c r="BA24" i="18" s="1"/>
  <c r="O24" i="18"/>
  <c r="H24" i="18"/>
  <c r="I24" i="18" s="1"/>
  <c r="D24" i="18"/>
  <c r="C24" i="18"/>
  <c r="CV23" i="18"/>
  <c r="CW23" i="18" s="1"/>
  <c r="CS23" i="18"/>
  <c r="CP23" i="18"/>
  <c r="CQ23" i="18" s="1"/>
  <c r="CN23" i="18"/>
  <c r="CM23" i="18"/>
  <c r="CL23" i="18"/>
  <c r="CI23" i="18"/>
  <c r="CF23" i="18"/>
  <c r="AZ23" i="18"/>
  <c r="BA23" i="18" s="1"/>
  <c r="AX23" i="18"/>
  <c r="AW23" i="18"/>
  <c r="AS23" i="18"/>
  <c r="BI23" i="18" s="1"/>
  <c r="BK23" i="18" s="1"/>
  <c r="AP23" i="18"/>
  <c r="O23" i="18"/>
  <c r="H23" i="18"/>
  <c r="I23" i="18" s="1"/>
  <c r="CW22" i="18"/>
  <c r="CP22" i="18"/>
  <c r="CQ22" i="18" s="1"/>
  <c r="CM22" i="18"/>
  <c r="CN22" i="18" s="1"/>
  <c r="CL22" i="18"/>
  <c r="CV22" i="18" s="1"/>
  <c r="CI22" i="18"/>
  <c r="CS22" i="18" s="1"/>
  <c r="CF22" i="18"/>
  <c r="AW22" i="18"/>
  <c r="AX22" i="18" s="1"/>
  <c r="AP22" i="18"/>
  <c r="AZ22" i="18" s="1"/>
  <c r="BA22" i="18" s="1"/>
  <c r="O22" i="18"/>
  <c r="E22" i="18"/>
  <c r="CM21" i="18"/>
  <c r="CN21" i="18" s="1"/>
  <c r="CF21" i="18"/>
  <c r="CP21" i="18" s="1"/>
  <c r="CQ21" i="18" s="1"/>
  <c r="AW21" i="18"/>
  <c r="AX21" i="18" s="1"/>
  <c r="AP21" i="18"/>
  <c r="AZ21" i="18" s="1"/>
  <c r="BA21" i="18" s="1"/>
  <c r="O21" i="18"/>
  <c r="E21" i="18"/>
  <c r="CV20" i="18"/>
  <c r="CW20" i="18" s="1"/>
  <c r="CS20" i="18"/>
  <c r="CP20" i="18"/>
  <c r="CQ20" i="18" s="1"/>
  <c r="CM20" i="18"/>
  <c r="CN20" i="18" s="1"/>
  <c r="CL20" i="18"/>
  <c r="CF20" i="18"/>
  <c r="CI20" i="18" s="1"/>
  <c r="BF20" i="18"/>
  <c r="BG20" i="18" s="1"/>
  <c r="BL20" i="18" s="1"/>
  <c r="BC20" i="18"/>
  <c r="AZ20" i="18"/>
  <c r="BA20" i="18" s="1"/>
  <c r="AW20" i="18"/>
  <c r="AX20" i="18" s="1"/>
  <c r="BI20" i="18" s="1"/>
  <c r="BK20" i="18" s="1"/>
  <c r="AS20" i="18"/>
  <c r="AV20" i="18" s="1"/>
  <c r="AP20" i="18"/>
  <c r="O20" i="18"/>
  <c r="E20" i="18"/>
  <c r="CN19" i="18"/>
  <c r="CM19" i="18"/>
  <c r="CF19" i="18"/>
  <c r="CI19" i="18" s="1"/>
  <c r="CL19" i="18" s="1"/>
  <c r="CV19" i="18" s="1"/>
  <c r="CW19" i="18" s="1"/>
  <c r="BI19" i="18"/>
  <c r="BK19" i="18" s="1"/>
  <c r="AX19" i="18"/>
  <c r="AW19" i="18"/>
  <c r="AP19" i="18"/>
  <c r="AS19" i="18" s="1"/>
  <c r="O19" i="18"/>
  <c r="CN18" i="18"/>
  <c r="CM18" i="18"/>
  <c r="CF18" i="18"/>
  <c r="CP18" i="18" s="1"/>
  <c r="CQ18" i="18" s="1"/>
  <c r="AX18" i="18"/>
  <c r="AW18" i="18"/>
  <c r="AP18" i="18"/>
  <c r="AZ18" i="18" s="1"/>
  <c r="BA18" i="18" s="1"/>
  <c r="O18" i="18"/>
  <c r="CP17" i="18"/>
  <c r="CQ17" i="18" s="1"/>
  <c r="CM17" i="18"/>
  <c r="CN17" i="18" s="1"/>
  <c r="CF17" i="18"/>
  <c r="CI17" i="18" s="1"/>
  <c r="AZ17" i="18"/>
  <c r="BA17" i="18" s="1"/>
  <c r="AX17" i="18"/>
  <c r="AW17" i="18"/>
  <c r="AP17" i="18"/>
  <c r="AS17" i="18" s="1"/>
  <c r="O17" i="18"/>
  <c r="CP16" i="18"/>
  <c r="CQ16" i="18" s="1"/>
  <c r="CM16" i="18"/>
  <c r="CN16" i="18" s="1"/>
  <c r="CF16" i="18"/>
  <c r="CI16" i="18" s="1"/>
  <c r="AW16" i="18"/>
  <c r="AX16" i="18" s="1"/>
  <c r="AP16" i="18"/>
  <c r="AZ16" i="18" s="1"/>
  <c r="BA16" i="18" s="1"/>
  <c r="O16" i="18"/>
  <c r="CS15" i="18"/>
  <c r="CP15" i="18"/>
  <c r="CQ15" i="18" s="1"/>
  <c r="CM15" i="18"/>
  <c r="CN15" i="18" s="1"/>
  <c r="CL15" i="18"/>
  <c r="CV15" i="18" s="1"/>
  <c r="CW15" i="18" s="1"/>
  <c r="CI15" i="18"/>
  <c r="CF15" i="18"/>
  <c r="BC15" i="18"/>
  <c r="AZ15" i="18"/>
  <c r="BA15" i="18" s="1"/>
  <c r="AW15" i="18"/>
  <c r="AX15" i="18" s="1"/>
  <c r="BI15" i="18" s="1"/>
  <c r="BK15" i="18" s="1"/>
  <c r="AV15" i="18"/>
  <c r="BF15" i="18" s="1"/>
  <c r="BG15" i="18" s="1"/>
  <c r="BL15" i="18" s="1"/>
  <c r="BM15" i="18" s="1"/>
  <c r="AS15" i="18"/>
  <c r="AP15" i="18"/>
  <c r="O15" i="18"/>
  <c r="G15" i="18"/>
  <c r="B15" i="18"/>
  <c r="CN14" i="18"/>
  <c r="CM14" i="18"/>
  <c r="CI14" i="18"/>
  <c r="CS14" i="18" s="1"/>
  <c r="CT14" i="18" s="1"/>
  <c r="CF14" i="18"/>
  <c r="CP14" i="18" s="1"/>
  <c r="CQ14" i="18" s="1"/>
  <c r="AW14" i="18"/>
  <c r="AX14" i="18" s="1"/>
  <c r="AP14" i="18"/>
  <c r="AZ14" i="18" s="1"/>
  <c r="BA14" i="18" s="1"/>
  <c r="O14" i="18"/>
  <c r="B14" i="18"/>
  <c r="O13" i="18"/>
  <c r="K13" i="18"/>
  <c r="I13" i="18"/>
  <c r="B13" i="18"/>
  <c r="O12" i="18"/>
  <c r="B12" i="18"/>
  <c r="O11" i="18"/>
  <c r="K11" i="18"/>
  <c r="I11" i="18"/>
  <c r="B11" i="18"/>
  <c r="O10" i="18"/>
  <c r="B10" i="18"/>
  <c r="CM9" i="18"/>
  <c r="CN9" i="18" s="1"/>
  <c r="CF9" i="18"/>
  <c r="CP9" i="18" s="1"/>
  <c r="CQ9" i="18" s="1"/>
  <c r="AW9" i="18"/>
  <c r="AX9" i="18" s="1"/>
  <c r="AP9" i="18"/>
  <c r="AZ9" i="18" s="1"/>
  <c r="BA9" i="18" s="1"/>
  <c r="O9" i="18"/>
  <c r="CM8" i="18"/>
  <c r="CN8" i="18" s="1"/>
  <c r="CF8" i="18"/>
  <c r="CI8" i="18" s="1"/>
  <c r="CL8" i="18" s="1"/>
  <c r="CV8" i="18" s="1"/>
  <c r="CW8" i="18" s="1"/>
  <c r="BI8" i="18"/>
  <c r="BK8" i="18" s="1"/>
  <c r="AZ8" i="18"/>
  <c r="BA8" i="18" s="1"/>
  <c r="AX8" i="18"/>
  <c r="AW8" i="18"/>
  <c r="AS8" i="18"/>
  <c r="AV8" i="18" s="1"/>
  <c r="BF8" i="18" s="1"/>
  <c r="BG8" i="18" s="1"/>
  <c r="BL8" i="18" s="1"/>
  <c r="BM8" i="18" s="1"/>
  <c r="AP8" i="18"/>
  <c r="O8" i="18"/>
  <c r="B8" i="18"/>
  <c r="B79" i="18" s="1"/>
  <c r="CM7" i="18"/>
  <c r="CN7" i="18" s="1"/>
  <c r="CF7" i="18"/>
  <c r="CP7" i="18" s="1"/>
  <c r="CQ7" i="18" s="1"/>
  <c r="AW7" i="18"/>
  <c r="AX7" i="18" s="1"/>
  <c r="AP7" i="18"/>
  <c r="AZ7" i="18" s="1"/>
  <c r="BA7" i="18" s="1"/>
  <c r="O7" i="18"/>
  <c r="CP6" i="18"/>
  <c r="CQ6" i="18" s="1"/>
  <c r="CM6" i="18"/>
  <c r="CN6" i="18" s="1"/>
  <c r="CI6" i="18"/>
  <c r="CS6" i="18" s="1"/>
  <c r="CT6" i="18" s="1"/>
  <c r="CF6" i="18"/>
  <c r="BC6" i="18"/>
  <c r="AZ6" i="18"/>
  <c r="BA6" i="18" s="1"/>
  <c r="AW6" i="18"/>
  <c r="AX6" i="18" s="1"/>
  <c r="BI6" i="18" s="1"/>
  <c r="BK6" i="18" s="1"/>
  <c r="AV6" i="18"/>
  <c r="BF6" i="18" s="1"/>
  <c r="BG6" i="18" s="1"/>
  <c r="BL6" i="18" s="1"/>
  <c r="BM6" i="18" s="1"/>
  <c r="AS6" i="18"/>
  <c r="AP6" i="18"/>
  <c r="T6" i="18"/>
  <c r="T28" i="18" s="1"/>
  <c r="R6" i="18"/>
  <c r="R28" i="18" s="1"/>
  <c r="Q6" i="18"/>
  <c r="Q28" i="18" s="1"/>
  <c r="P6" i="18"/>
  <c r="I6" i="18"/>
  <c r="H6" i="18"/>
  <c r="G6" i="18"/>
  <c r="B6" i="18"/>
  <c r="O5" i="18"/>
  <c r="I5" i="18"/>
  <c r="H5" i="18"/>
  <c r="G5" i="18"/>
  <c r="B5" i="18"/>
  <c r="O4" i="18"/>
  <c r="I4" i="18"/>
  <c r="H4" i="18"/>
  <c r="G4" i="18"/>
  <c r="B4" i="18"/>
  <c r="O3" i="18"/>
  <c r="I3" i="18"/>
  <c r="H3" i="18"/>
  <c r="G3" i="18"/>
  <c r="B3" i="18"/>
  <c r="I2" i="18"/>
  <c r="H2" i="18"/>
  <c r="G2" i="18"/>
  <c r="B2" i="18"/>
  <c r="E82" i="17"/>
  <c r="B79" i="17"/>
  <c r="I73" i="17"/>
  <c r="E66" i="17"/>
  <c r="W62" i="17"/>
  <c r="W61" i="17"/>
  <c r="L61" i="17"/>
  <c r="W60" i="17"/>
  <c r="E60" i="17"/>
  <c r="W59" i="17"/>
  <c r="E59" i="17"/>
  <c r="W58" i="17"/>
  <c r="R58" i="17"/>
  <c r="P58" i="17"/>
  <c r="U58" i="17" s="1"/>
  <c r="W57" i="17"/>
  <c r="P57" i="17"/>
  <c r="I57" i="17"/>
  <c r="E57" i="17"/>
  <c r="W56" i="17"/>
  <c r="H56" i="17"/>
  <c r="W55" i="17"/>
  <c r="L55" i="17"/>
  <c r="W54" i="17"/>
  <c r="W53" i="17"/>
  <c r="W52" i="17"/>
  <c r="CY51" i="17"/>
  <c r="CZ51" i="17" s="1"/>
  <c r="CR51" i="17"/>
  <c r="DB51" i="17" s="1"/>
  <c r="DC51" i="17" s="1"/>
  <c r="BI51" i="17"/>
  <c r="BJ51" i="17" s="1"/>
  <c r="BB51" i="17"/>
  <c r="W51" i="17"/>
  <c r="A51" i="17"/>
  <c r="CY50" i="17"/>
  <c r="CZ50" i="17" s="1"/>
  <c r="CU50" i="17"/>
  <c r="CR50" i="17"/>
  <c r="DB50" i="17" s="1"/>
  <c r="DC50" i="17" s="1"/>
  <c r="BJ50" i="17"/>
  <c r="BI50" i="17"/>
  <c r="BB50" i="17"/>
  <c r="BL50" i="17" s="1"/>
  <c r="BM50" i="17" s="1"/>
  <c r="CY49" i="17"/>
  <c r="CZ49" i="17" s="1"/>
  <c r="CR49" i="17"/>
  <c r="DB49" i="17" s="1"/>
  <c r="DC49" i="17" s="1"/>
  <c r="BI49" i="17"/>
  <c r="BJ49" i="17" s="1"/>
  <c r="BH49" i="17"/>
  <c r="BR49" i="17" s="1"/>
  <c r="BS49" i="17" s="1"/>
  <c r="BX49" i="17" s="1"/>
  <c r="BE49" i="17"/>
  <c r="BO49" i="17" s="1"/>
  <c r="BP49" i="17" s="1"/>
  <c r="BB49" i="17"/>
  <c r="BL49" i="17" s="1"/>
  <c r="BM49" i="17" s="1"/>
  <c r="C49" i="17"/>
  <c r="DB48" i="17"/>
  <c r="DC48" i="17" s="1"/>
  <c r="CZ48" i="17"/>
  <c r="CY48" i="17"/>
  <c r="CU48" i="17"/>
  <c r="DE48" i="17" s="1"/>
  <c r="CR48" i="17"/>
  <c r="BJ48" i="17"/>
  <c r="BI48" i="17"/>
  <c r="BB48" i="17"/>
  <c r="BE48" i="17" s="1"/>
  <c r="BO48" i="17" s="1"/>
  <c r="R48" i="17"/>
  <c r="C48" i="17"/>
  <c r="A48" i="17"/>
  <c r="R47" i="17"/>
  <c r="G47" i="17"/>
  <c r="C47" i="17"/>
  <c r="DB46" i="17"/>
  <c r="DC46" i="17" s="1"/>
  <c r="CZ46" i="17"/>
  <c r="CY46" i="17"/>
  <c r="CU46" i="17"/>
  <c r="CR46" i="17"/>
  <c r="BJ46" i="17"/>
  <c r="BI46" i="17"/>
  <c r="BB46" i="17"/>
  <c r="BE46" i="17" s="1"/>
  <c r="BO46" i="17" s="1"/>
  <c r="R46" i="17"/>
  <c r="C46" i="17"/>
  <c r="H87" i="17" s="1"/>
  <c r="CY45" i="17"/>
  <c r="CZ45" i="17" s="1"/>
  <c r="CU45" i="17"/>
  <c r="CR45" i="17"/>
  <c r="DB45" i="17" s="1"/>
  <c r="DC45" i="17" s="1"/>
  <c r="BI45" i="17"/>
  <c r="BJ45" i="17" s="1"/>
  <c r="BB45" i="17"/>
  <c r="BL45" i="17" s="1"/>
  <c r="BM45" i="17" s="1"/>
  <c r="E45" i="17"/>
  <c r="DC44" i="17"/>
  <c r="DB44" i="17"/>
  <c r="CY44" i="17"/>
  <c r="CZ44" i="17" s="1"/>
  <c r="CR44" i="17"/>
  <c r="CU44" i="17" s="1"/>
  <c r="BL44" i="17"/>
  <c r="BM44" i="17" s="1"/>
  <c r="BI44" i="17"/>
  <c r="BJ44" i="17" s="1"/>
  <c r="BE44" i="17"/>
  <c r="BH44" i="17" s="1"/>
  <c r="BR44" i="17" s="1"/>
  <c r="BS44" i="17" s="1"/>
  <c r="BX44" i="17" s="1"/>
  <c r="BB44" i="17"/>
  <c r="P44" i="17"/>
  <c r="DB43" i="17"/>
  <c r="DC43" i="17" s="1"/>
  <c r="CZ43" i="17"/>
  <c r="CY43" i="17"/>
  <c r="CU43" i="17"/>
  <c r="CR43" i="17"/>
  <c r="BO43" i="17"/>
  <c r="BL43" i="17"/>
  <c r="BM43" i="17" s="1"/>
  <c r="BP43" i="17" s="1"/>
  <c r="BJ43" i="17"/>
  <c r="BI43" i="17"/>
  <c r="BB43" i="17"/>
  <c r="BE43" i="17" s="1"/>
  <c r="BU43" i="17" s="1"/>
  <c r="BW43" i="17" s="1"/>
  <c r="P43" i="17"/>
  <c r="DC42" i="17"/>
  <c r="CZ42" i="17"/>
  <c r="CY42" i="17"/>
  <c r="CR42" i="17"/>
  <c r="DB42" i="17" s="1"/>
  <c r="BI42" i="17"/>
  <c r="BJ42" i="17" s="1"/>
  <c r="BB42" i="17"/>
  <c r="BL42" i="17" s="1"/>
  <c r="BM42" i="17" s="1"/>
  <c r="P42" i="17"/>
  <c r="CY41" i="17"/>
  <c r="CZ41" i="17" s="1"/>
  <c r="CR41" i="17"/>
  <c r="DB41" i="17" s="1"/>
  <c r="DC41" i="17" s="1"/>
  <c r="BL41" i="17"/>
  <c r="BM41" i="17" s="1"/>
  <c r="BJ41" i="17"/>
  <c r="BI41" i="17"/>
  <c r="BB41" i="17"/>
  <c r="BE41" i="17" s="1"/>
  <c r="CY40" i="17"/>
  <c r="CZ40" i="17" s="1"/>
  <c r="CX40" i="17"/>
  <c r="DH40" i="17" s="1"/>
  <c r="DI40" i="17" s="1"/>
  <c r="CR40" i="17"/>
  <c r="CU40" i="17" s="1"/>
  <c r="BL40" i="17"/>
  <c r="BM40" i="17" s="1"/>
  <c r="BJ40" i="17"/>
  <c r="BI40" i="17"/>
  <c r="BE40" i="17"/>
  <c r="BB40" i="17"/>
  <c r="P40" i="17"/>
  <c r="DI39" i="17"/>
  <c r="DH39" i="17"/>
  <c r="DE39" i="17"/>
  <c r="CZ39" i="17"/>
  <c r="CY39" i="17"/>
  <c r="CX39" i="17"/>
  <c r="CU39" i="17"/>
  <c r="CR39" i="17"/>
  <c r="DB39" i="17" s="1"/>
  <c r="DC39" i="17" s="1"/>
  <c r="BL39" i="17"/>
  <c r="BM39" i="17" s="1"/>
  <c r="BI39" i="17"/>
  <c r="BJ39" i="17" s="1"/>
  <c r="BE39" i="17"/>
  <c r="BU39" i="17" s="1"/>
  <c r="BW39" i="17" s="1"/>
  <c r="BB39" i="17"/>
  <c r="P39" i="17"/>
  <c r="CY38" i="17"/>
  <c r="CZ38" i="17" s="1"/>
  <c r="CU38" i="17"/>
  <c r="DE38" i="17" s="1"/>
  <c r="CR38" i="17"/>
  <c r="DB38" i="17" s="1"/>
  <c r="DC38" i="17" s="1"/>
  <c r="BI38" i="17"/>
  <c r="BJ38" i="17" s="1"/>
  <c r="BB38" i="17"/>
  <c r="BL38" i="17" s="1"/>
  <c r="BM38" i="17" s="1"/>
  <c r="T38" i="17"/>
  <c r="P38" i="17"/>
  <c r="DI37" i="17"/>
  <c r="DH37" i="17"/>
  <c r="DE37" i="17"/>
  <c r="DF37" i="17" s="1"/>
  <c r="DB37" i="17"/>
  <c r="DC37" i="17" s="1"/>
  <c r="CY37" i="17"/>
  <c r="CZ37" i="17" s="1"/>
  <c r="CX37" i="17"/>
  <c r="CR37" i="17"/>
  <c r="CU37" i="17" s="1"/>
  <c r="BO37" i="17"/>
  <c r="BP37" i="17" s="1"/>
  <c r="BM37" i="17"/>
  <c r="BL37" i="17"/>
  <c r="BI37" i="17"/>
  <c r="BJ37" i="17" s="1"/>
  <c r="BE37" i="17"/>
  <c r="BB37" i="17"/>
  <c r="P37" i="17"/>
  <c r="DE36" i="17"/>
  <c r="DF36" i="17" s="1"/>
  <c r="DB36" i="17"/>
  <c r="DC36" i="17" s="1"/>
  <c r="CY36" i="17"/>
  <c r="CZ36" i="17" s="1"/>
  <c r="CX36" i="17"/>
  <c r="DH36" i="17" s="1"/>
  <c r="DI36" i="17" s="1"/>
  <c r="CR36" i="17"/>
  <c r="CU36" i="17" s="1"/>
  <c r="BM36" i="17"/>
  <c r="BI36" i="17"/>
  <c r="BJ36" i="17" s="1"/>
  <c r="BE36" i="17"/>
  <c r="BO36" i="17" s="1"/>
  <c r="BP36" i="17" s="1"/>
  <c r="BB36" i="17"/>
  <c r="BL36" i="17" s="1"/>
  <c r="H36" i="17"/>
  <c r="D36" i="17"/>
  <c r="CY35" i="17"/>
  <c r="CZ35" i="17" s="1"/>
  <c r="CR35" i="17"/>
  <c r="CU35" i="17" s="1"/>
  <c r="DE35" i="17" s="1"/>
  <c r="BU35" i="17"/>
  <c r="BW35" i="17" s="1"/>
  <c r="BO35" i="17"/>
  <c r="BP35" i="17" s="1"/>
  <c r="BM35" i="17"/>
  <c r="BL35" i="17"/>
  <c r="BJ35" i="17"/>
  <c r="BI35" i="17"/>
  <c r="BE35" i="17"/>
  <c r="BH35" i="17" s="1"/>
  <c r="BR35" i="17" s="1"/>
  <c r="BS35" i="17" s="1"/>
  <c r="BX35" i="17" s="1"/>
  <c r="BY35" i="17" s="1"/>
  <c r="BB35" i="17"/>
  <c r="DH34" i="17"/>
  <c r="DI34" i="17" s="1"/>
  <c r="DE34" i="17"/>
  <c r="DB34" i="17"/>
  <c r="DC34" i="17" s="1"/>
  <c r="CZ34" i="17"/>
  <c r="CY34" i="17"/>
  <c r="CR34" i="17"/>
  <c r="CU34" i="17" s="1"/>
  <c r="CX34" i="17" s="1"/>
  <c r="BR34" i="17"/>
  <c r="BS34" i="17" s="1"/>
  <c r="BX34" i="17" s="1"/>
  <c r="BY34" i="17" s="1"/>
  <c r="BO34" i="17"/>
  <c r="BM34" i="17"/>
  <c r="BP34" i="17" s="1"/>
  <c r="BL34" i="17"/>
  <c r="BI34" i="17"/>
  <c r="BJ34" i="17" s="1"/>
  <c r="BU34" i="17" s="1"/>
  <c r="BW34" i="17" s="1"/>
  <c r="BE34" i="17"/>
  <c r="BH34" i="17" s="1"/>
  <c r="BB34" i="17"/>
  <c r="DH33" i="17"/>
  <c r="DI33" i="17" s="1"/>
  <c r="DE33" i="17"/>
  <c r="DC33" i="17"/>
  <c r="DB33" i="17"/>
  <c r="CY33" i="17"/>
  <c r="CZ33" i="17" s="1"/>
  <c r="CR33" i="17"/>
  <c r="CU33" i="17" s="1"/>
  <c r="CX33" i="17" s="1"/>
  <c r="BM33" i="17"/>
  <c r="BJ33" i="17"/>
  <c r="BI33" i="17"/>
  <c r="BB33" i="17"/>
  <c r="BL33" i="17" s="1"/>
  <c r="DB32" i="17"/>
  <c r="DC32" i="17" s="1"/>
  <c r="DF32" i="17" s="1"/>
  <c r="CZ32" i="17"/>
  <c r="CY32" i="17"/>
  <c r="CU32" i="17"/>
  <c r="DE32" i="17" s="1"/>
  <c r="CR32" i="17"/>
  <c r="BL32" i="17"/>
  <c r="BM32" i="17" s="1"/>
  <c r="BI32" i="17"/>
  <c r="BJ32" i="17" s="1"/>
  <c r="BB32" i="17"/>
  <c r="BE32" i="17" s="1"/>
  <c r="BH32" i="17" s="1"/>
  <c r="BR32" i="17" s="1"/>
  <c r="BS32" i="17" s="1"/>
  <c r="BX32" i="17" s="1"/>
  <c r="DB31" i="17"/>
  <c r="DC31" i="17" s="1"/>
  <c r="CY31" i="17"/>
  <c r="CZ31" i="17" s="1"/>
  <c r="CR31" i="17"/>
  <c r="CU31" i="17" s="1"/>
  <c r="BR31" i="17"/>
  <c r="BS31" i="17" s="1"/>
  <c r="BX31" i="17" s="1"/>
  <c r="BY31" i="17" s="1"/>
  <c r="BO31" i="17"/>
  <c r="BM31" i="17"/>
  <c r="BP31" i="17" s="1"/>
  <c r="BL31" i="17"/>
  <c r="BI31" i="17"/>
  <c r="BJ31" i="17" s="1"/>
  <c r="BU31" i="17" s="1"/>
  <c r="BW31" i="17" s="1"/>
  <c r="BB31" i="17"/>
  <c r="BE31" i="17" s="1"/>
  <c r="BH31" i="17" s="1"/>
  <c r="CY30" i="17"/>
  <c r="CZ30" i="17" s="1"/>
  <c r="CR30" i="17"/>
  <c r="DB30" i="17" s="1"/>
  <c r="DC30" i="17" s="1"/>
  <c r="BI30" i="17"/>
  <c r="BJ30" i="17" s="1"/>
  <c r="BB30" i="17"/>
  <c r="BL30" i="17" s="1"/>
  <c r="BM30" i="17" s="1"/>
  <c r="CY29" i="17"/>
  <c r="CZ29" i="17" s="1"/>
  <c r="CX29" i="17"/>
  <c r="DH29" i="17" s="1"/>
  <c r="DI29" i="17" s="1"/>
  <c r="CU29" i="17"/>
  <c r="CR29" i="17"/>
  <c r="DB29" i="17" s="1"/>
  <c r="DC29" i="17" s="1"/>
  <c r="BI29" i="17"/>
  <c r="BJ29" i="17" s="1"/>
  <c r="BB29" i="17"/>
  <c r="BL29" i="17" s="1"/>
  <c r="BM29" i="17" s="1"/>
  <c r="CP28" i="17"/>
  <c r="CQ28" i="17" s="1"/>
  <c r="CN28" i="17"/>
  <c r="CM28" i="17"/>
  <c r="CI28" i="17"/>
  <c r="CF28" i="17"/>
  <c r="BC28" i="17"/>
  <c r="AZ28" i="17"/>
  <c r="BA28" i="17" s="1"/>
  <c r="BD28" i="17" s="1"/>
  <c r="AX28" i="17"/>
  <c r="AW28" i="17"/>
  <c r="AP28" i="17"/>
  <c r="AS28" i="17" s="1"/>
  <c r="BI28" i="17" s="1"/>
  <c r="BK28" i="17" s="1"/>
  <c r="X28" i="17"/>
  <c r="W28" i="17"/>
  <c r="V28" i="17"/>
  <c r="U28" i="17"/>
  <c r="CM27" i="17"/>
  <c r="CN27" i="17" s="1"/>
  <c r="CL27" i="17"/>
  <c r="CV27" i="17" s="1"/>
  <c r="CW27" i="17" s="1"/>
  <c r="CF27" i="17"/>
  <c r="CI27" i="17" s="1"/>
  <c r="AW27" i="17"/>
  <c r="AX27" i="17" s="1"/>
  <c r="AP27" i="17"/>
  <c r="AZ27" i="17" s="1"/>
  <c r="BA27" i="17" s="1"/>
  <c r="O27" i="17"/>
  <c r="D27" i="17"/>
  <c r="CP26" i="17"/>
  <c r="CQ26" i="17" s="1"/>
  <c r="CM26" i="17"/>
  <c r="CN26" i="17" s="1"/>
  <c r="CF26" i="17"/>
  <c r="CI26" i="17" s="1"/>
  <c r="BA26" i="17"/>
  <c r="AZ26" i="17"/>
  <c r="AW26" i="17"/>
  <c r="AX26" i="17" s="1"/>
  <c r="BI26" i="17" s="1"/>
  <c r="BK26" i="17" s="1"/>
  <c r="AP26" i="17"/>
  <c r="AS26" i="17" s="1"/>
  <c r="BC26" i="17" s="1"/>
  <c r="BD26" i="17" s="1"/>
  <c r="O26" i="17"/>
  <c r="CQ25" i="17"/>
  <c r="CP25" i="17"/>
  <c r="CN25" i="17"/>
  <c r="CM25" i="17"/>
  <c r="CI25" i="17"/>
  <c r="CL25" i="17" s="1"/>
  <c r="CV25" i="17" s="1"/>
  <c r="CW25" i="17" s="1"/>
  <c r="CF25" i="17"/>
  <c r="BK25" i="17"/>
  <c r="BI25" i="17"/>
  <c r="BA25" i="17"/>
  <c r="AZ25" i="17"/>
  <c r="AX25" i="17"/>
  <c r="AW25" i="17"/>
  <c r="AS25" i="17"/>
  <c r="AV25" i="17" s="1"/>
  <c r="BF25" i="17" s="1"/>
  <c r="BG25" i="17" s="1"/>
  <c r="BL25" i="17" s="1"/>
  <c r="BM25" i="17" s="1"/>
  <c r="AP25" i="17"/>
  <c r="O25" i="17"/>
  <c r="H25" i="17"/>
  <c r="I25" i="17" s="1"/>
  <c r="D25" i="17"/>
  <c r="C25" i="17"/>
  <c r="CP24" i="17"/>
  <c r="CQ24" i="17" s="1"/>
  <c r="CN24" i="17"/>
  <c r="CM24" i="17"/>
  <c r="CI24" i="17"/>
  <c r="CF24" i="17"/>
  <c r="AW24" i="17"/>
  <c r="AX24" i="17" s="1"/>
  <c r="AS24" i="17"/>
  <c r="AP24" i="17"/>
  <c r="AZ24" i="17" s="1"/>
  <c r="BA24" i="17" s="1"/>
  <c r="O24" i="17"/>
  <c r="H24" i="17"/>
  <c r="I24" i="17" s="1"/>
  <c r="D24" i="17"/>
  <c r="C24" i="17"/>
  <c r="CP23" i="17"/>
  <c r="CQ23" i="17" s="1"/>
  <c r="CM23" i="17"/>
  <c r="CN23" i="17" s="1"/>
  <c r="CL23" i="17"/>
  <c r="CV23" i="17" s="1"/>
  <c r="CW23" i="17" s="1"/>
  <c r="CI23" i="17"/>
  <c r="CS23" i="17" s="1"/>
  <c r="CF23" i="17"/>
  <c r="AW23" i="17"/>
  <c r="AX23" i="17" s="1"/>
  <c r="AV23" i="17"/>
  <c r="BF23" i="17" s="1"/>
  <c r="BG23" i="17" s="1"/>
  <c r="BL23" i="17" s="1"/>
  <c r="AS23" i="17"/>
  <c r="BC23" i="17" s="1"/>
  <c r="BD23" i="17" s="1"/>
  <c r="AP23" i="17"/>
  <c r="AZ23" i="17" s="1"/>
  <c r="BA23" i="17" s="1"/>
  <c r="O23" i="17"/>
  <c r="I23" i="17"/>
  <c r="H23" i="17"/>
  <c r="CS22" i="17"/>
  <c r="CP22" i="17"/>
  <c r="CQ22" i="17" s="1"/>
  <c r="CM22" i="17"/>
  <c r="CN22" i="17" s="1"/>
  <c r="CF22" i="17"/>
  <c r="CI22" i="17" s="1"/>
  <c r="CL22" i="17" s="1"/>
  <c r="CV22" i="17" s="1"/>
  <c r="CW22" i="17" s="1"/>
  <c r="BA22" i="17"/>
  <c r="AX22" i="17"/>
  <c r="AW22" i="17"/>
  <c r="AP22" i="17"/>
  <c r="AZ22" i="17" s="1"/>
  <c r="O22" i="17"/>
  <c r="E22" i="17"/>
  <c r="CV21" i="17"/>
  <c r="CW21" i="17" s="1"/>
  <c r="CS21" i="17"/>
  <c r="CT21" i="17" s="1"/>
  <c r="CQ21" i="17"/>
  <c r="CM21" i="17"/>
  <c r="CN21" i="17" s="1"/>
  <c r="CI21" i="17"/>
  <c r="CL21" i="17" s="1"/>
  <c r="CF21" i="17"/>
  <c r="CP21" i="17" s="1"/>
  <c r="AW21" i="17"/>
  <c r="AX21" i="17" s="1"/>
  <c r="AS21" i="17"/>
  <c r="AP21" i="17"/>
  <c r="AZ21" i="17" s="1"/>
  <c r="BA21" i="17" s="1"/>
  <c r="O21" i="17"/>
  <c r="E21" i="17"/>
  <c r="CM20" i="17"/>
  <c r="CN20" i="17" s="1"/>
  <c r="CL20" i="17"/>
  <c r="CV20" i="17" s="1"/>
  <c r="CW20" i="17" s="1"/>
  <c r="CF20" i="17"/>
  <c r="CI20" i="17" s="1"/>
  <c r="AW20" i="17"/>
  <c r="AX20" i="17" s="1"/>
  <c r="AP20" i="17"/>
  <c r="AZ20" i="17" s="1"/>
  <c r="BA20" i="17" s="1"/>
  <c r="O20" i="17"/>
  <c r="E20" i="17"/>
  <c r="CM19" i="17"/>
  <c r="CN19" i="17" s="1"/>
  <c r="CF19" i="17"/>
  <c r="CP19" i="17" s="1"/>
  <c r="CQ19" i="17" s="1"/>
  <c r="AW19" i="17"/>
  <c r="AX19" i="17" s="1"/>
  <c r="AP19" i="17"/>
  <c r="AZ19" i="17" s="1"/>
  <c r="BA19" i="17" s="1"/>
  <c r="O19" i="17"/>
  <c r="CS18" i="17"/>
  <c r="CM18" i="17"/>
  <c r="CN18" i="17" s="1"/>
  <c r="CI18" i="17"/>
  <c r="CF18" i="17"/>
  <c r="CP18" i="17" s="1"/>
  <c r="CQ18" i="17" s="1"/>
  <c r="CT18" i="17" s="1"/>
  <c r="AZ18" i="17"/>
  <c r="BA18" i="17" s="1"/>
  <c r="AW18" i="17"/>
  <c r="AX18" i="17" s="1"/>
  <c r="AP18" i="17"/>
  <c r="AS18" i="17" s="1"/>
  <c r="O18" i="17"/>
  <c r="CV17" i="17"/>
  <c r="CW17" i="17" s="1"/>
  <c r="CS17" i="17"/>
  <c r="CT17" i="17" s="1"/>
  <c r="CP17" i="17"/>
  <c r="CQ17" i="17" s="1"/>
  <c r="CN17" i="17"/>
  <c r="CM17" i="17"/>
  <c r="CF17" i="17"/>
  <c r="CI17" i="17" s="1"/>
  <c r="CL17" i="17" s="1"/>
  <c r="BF17" i="17"/>
  <c r="BG17" i="17" s="1"/>
  <c r="BL17" i="17" s="1"/>
  <c r="BC17" i="17"/>
  <c r="AZ17" i="17"/>
  <c r="BA17" i="17" s="1"/>
  <c r="AX17" i="17"/>
  <c r="BI17" i="17" s="1"/>
  <c r="BK17" i="17" s="1"/>
  <c r="AW17" i="17"/>
  <c r="AS17" i="17"/>
  <c r="AV17" i="17" s="1"/>
  <c r="AP17" i="17"/>
  <c r="O17" i="17"/>
  <c r="CN16" i="17"/>
  <c r="CM16" i="17"/>
  <c r="CF16" i="17"/>
  <c r="CP16" i="17" s="1"/>
  <c r="CQ16" i="17" s="1"/>
  <c r="AX16" i="17"/>
  <c r="AW16" i="17"/>
  <c r="AS16" i="17"/>
  <c r="BC16" i="17" s="1"/>
  <c r="BD16" i="17" s="1"/>
  <c r="AP16" i="17"/>
  <c r="AZ16" i="17" s="1"/>
  <c r="BA16" i="17" s="1"/>
  <c r="O16" i="17"/>
  <c r="CM15" i="17"/>
  <c r="CN15" i="17" s="1"/>
  <c r="CF15" i="17"/>
  <c r="CP15" i="17" s="1"/>
  <c r="CQ15" i="17" s="1"/>
  <c r="AW15" i="17"/>
  <c r="AX15" i="17" s="1"/>
  <c r="AP15" i="17"/>
  <c r="AZ15" i="17" s="1"/>
  <c r="BA15" i="17" s="1"/>
  <c r="O15" i="17"/>
  <c r="G15" i="17"/>
  <c r="B15" i="17"/>
  <c r="CN14" i="17"/>
  <c r="CM14" i="17"/>
  <c r="CI14" i="17"/>
  <c r="CF14" i="17"/>
  <c r="CP14" i="17" s="1"/>
  <c r="CQ14" i="17" s="1"/>
  <c r="AW14" i="17"/>
  <c r="AX14" i="17" s="1"/>
  <c r="AP14" i="17"/>
  <c r="AZ14" i="17" s="1"/>
  <c r="BA14" i="17" s="1"/>
  <c r="O14" i="17"/>
  <c r="B14" i="17"/>
  <c r="O13" i="17"/>
  <c r="K13" i="17"/>
  <c r="I13" i="17"/>
  <c r="B13" i="17"/>
  <c r="O12" i="17"/>
  <c r="B12" i="17"/>
  <c r="O11" i="17"/>
  <c r="K11" i="17"/>
  <c r="I11" i="17"/>
  <c r="B11" i="17"/>
  <c r="O10" i="17"/>
  <c r="B10" i="17"/>
  <c r="CM9" i="17"/>
  <c r="CN9" i="17" s="1"/>
  <c r="CF9" i="17"/>
  <c r="CI9" i="17" s="1"/>
  <c r="BK9" i="17"/>
  <c r="AW9" i="17"/>
  <c r="AX9" i="17" s="1"/>
  <c r="AV9" i="17"/>
  <c r="BF9" i="17" s="1"/>
  <c r="BG9" i="17" s="1"/>
  <c r="BL9" i="17" s="1"/>
  <c r="BM9" i="17" s="1"/>
  <c r="AP9" i="17"/>
  <c r="AS9" i="17" s="1"/>
  <c r="BI9" i="17" s="1"/>
  <c r="O9" i="17"/>
  <c r="CM8" i="17"/>
  <c r="CN8" i="17" s="1"/>
  <c r="CF8" i="17"/>
  <c r="CP8" i="17" s="1"/>
  <c r="CQ8" i="17" s="1"/>
  <c r="AX8" i="17"/>
  <c r="AW8" i="17"/>
  <c r="AS8" i="17"/>
  <c r="BC8" i="17" s="1"/>
  <c r="AP8" i="17"/>
  <c r="AZ8" i="17" s="1"/>
  <c r="BA8" i="17" s="1"/>
  <c r="O8" i="17"/>
  <c r="B8" i="17"/>
  <c r="CP7" i="17"/>
  <c r="CQ7" i="17" s="1"/>
  <c r="CN7" i="17"/>
  <c r="CM7" i="17"/>
  <c r="CF7" i="17"/>
  <c r="CI7" i="17" s="1"/>
  <c r="AW7" i="17"/>
  <c r="AX7" i="17" s="1"/>
  <c r="BI7" i="17" s="1"/>
  <c r="BK7" i="17" s="1"/>
  <c r="AP7" i="17"/>
  <c r="AS7" i="17" s="1"/>
  <c r="AV7" i="17" s="1"/>
  <c r="BF7" i="17" s="1"/>
  <c r="BG7" i="17" s="1"/>
  <c r="BL7" i="17" s="1"/>
  <c r="BM7" i="17" s="1"/>
  <c r="O7" i="17"/>
  <c r="CM6" i="17"/>
  <c r="CN6" i="17" s="1"/>
  <c r="CF6" i="17"/>
  <c r="CP6" i="17" s="1"/>
  <c r="CQ6" i="17" s="1"/>
  <c r="AW6" i="17"/>
  <c r="AX6" i="17" s="1"/>
  <c r="AP6" i="17"/>
  <c r="AZ6" i="17" s="1"/>
  <c r="BA6" i="17" s="1"/>
  <c r="T6" i="17"/>
  <c r="T28" i="17" s="1"/>
  <c r="R6" i="17"/>
  <c r="R28" i="17" s="1"/>
  <c r="Q6" i="17"/>
  <c r="Q28" i="17" s="1"/>
  <c r="P6" i="17"/>
  <c r="I6" i="17"/>
  <c r="H6" i="17"/>
  <c r="G6" i="17"/>
  <c r="B6" i="17"/>
  <c r="O5" i="17"/>
  <c r="I5" i="17"/>
  <c r="H5" i="17"/>
  <c r="G5" i="17"/>
  <c r="B5" i="17"/>
  <c r="O4" i="17"/>
  <c r="I4" i="17"/>
  <c r="H4" i="17"/>
  <c r="G4" i="17"/>
  <c r="B4" i="17"/>
  <c r="O3" i="17"/>
  <c r="I3" i="17"/>
  <c r="H3" i="17"/>
  <c r="G3" i="17"/>
  <c r="B3" i="17"/>
  <c r="I2" i="17"/>
  <c r="H2" i="17"/>
  <c r="G2" i="17"/>
  <c r="B2" i="17"/>
  <c r="I3" i="16"/>
  <c r="I4" i="16"/>
  <c r="I5" i="16"/>
  <c r="I6" i="16"/>
  <c r="I2" i="16"/>
  <c r="T6" i="16"/>
  <c r="R6" i="16"/>
  <c r="Q6" i="16"/>
  <c r="P6" i="16"/>
  <c r="G3" i="16"/>
  <c r="G4" i="16"/>
  <c r="G5" i="16"/>
  <c r="G6" i="16"/>
  <c r="H3" i="16"/>
  <c r="H4" i="16"/>
  <c r="H5" i="16"/>
  <c r="H6" i="16"/>
  <c r="H2" i="16"/>
  <c r="G2" i="16"/>
  <c r="B15" i="16"/>
  <c r="B14" i="16"/>
  <c r="B13" i="16"/>
  <c r="B12" i="16"/>
  <c r="B11" i="16"/>
  <c r="B10" i="16"/>
  <c r="B8" i="16"/>
  <c r="B79" i="16" s="1"/>
  <c r="B6" i="16"/>
  <c r="B5" i="16"/>
  <c r="B4" i="16"/>
  <c r="B3" i="16"/>
  <c r="B2" i="16"/>
  <c r="E82" i="16"/>
  <c r="I73" i="16"/>
  <c r="E66" i="16"/>
  <c r="W62" i="16"/>
  <c r="W61" i="16"/>
  <c r="L61" i="16"/>
  <c r="W60" i="16"/>
  <c r="E60" i="16"/>
  <c r="W59" i="16"/>
  <c r="E59" i="16"/>
  <c r="W58" i="16"/>
  <c r="R58" i="16"/>
  <c r="P58" i="16"/>
  <c r="U58" i="16" s="1"/>
  <c r="U59" i="16" s="1"/>
  <c r="W57" i="16"/>
  <c r="U57" i="16"/>
  <c r="P57" i="16"/>
  <c r="R57" i="16" s="1"/>
  <c r="I57" i="16"/>
  <c r="E57" i="16"/>
  <c r="W56" i="16"/>
  <c r="H56" i="16"/>
  <c r="W55" i="16"/>
  <c r="L55" i="16"/>
  <c r="W54" i="16"/>
  <c r="W53" i="16"/>
  <c r="W52" i="16"/>
  <c r="CY51" i="16"/>
  <c r="CZ51" i="16" s="1"/>
  <c r="CR51" i="16"/>
  <c r="BI51" i="16"/>
  <c r="BJ51" i="16" s="1"/>
  <c r="BE51" i="16"/>
  <c r="BB51" i="16"/>
  <c r="BL51" i="16" s="1"/>
  <c r="BM51" i="16" s="1"/>
  <c r="W51" i="16"/>
  <c r="A51" i="16"/>
  <c r="CY50" i="16"/>
  <c r="CZ50" i="16" s="1"/>
  <c r="CR50" i="16"/>
  <c r="CU50" i="16" s="1"/>
  <c r="BO50" i="16"/>
  <c r="BJ50" i="16"/>
  <c r="BI50" i="16"/>
  <c r="BE50" i="16"/>
  <c r="BB50" i="16"/>
  <c r="BL50" i="16" s="1"/>
  <c r="BM50" i="16" s="1"/>
  <c r="CZ49" i="16"/>
  <c r="CY49" i="16"/>
  <c r="CR49" i="16"/>
  <c r="DB49" i="16" s="1"/>
  <c r="DC49" i="16" s="1"/>
  <c r="BI49" i="16"/>
  <c r="BJ49" i="16" s="1"/>
  <c r="BB49" i="16"/>
  <c r="C49" i="16"/>
  <c r="DC48" i="16"/>
  <c r="DB48" i="16"/>
  <c r="CY48" i="16"/>
  <c r="CZ48" i="16" s="1"/>
  <c r="CU48" i="16"/>
  <c r="CR48" i="16"/>
  <c r="BI48" i="16"/>
  <c r="BJ48" i="16" s="1"/>
  <c r="BB48" i="16"/>
  <c r="BL48" i="16" s="1"/>
  <c r="BM48" i="16" s="1"/>
  <c r="R48" i="16"/>
  <c r="C48" i="16"/>
  <c r="A48" i="16"/>
  <c r="R47" i="16"/>
  <c r="G47" i="16"/>
  <c r="C47" i="16"/>
  <c r="DE46" i="16"/>
  <c r="DF46" i="16" s="1"/>
  <c r="DB46" i="16"/>
  <c r="DC46" i="16" s="1"/>
  <c r="CY46" i="16"/>
  <c r="CZ46" i="16" s="1"/>
  <c r="CU46" i="16"/>
  <c r="CR46" i="16"/>
  <c r="BO46" i="16"/>
  <c r="BL46" i="16"/>
  <c r="BM46" i="16" s="1"/>
  <c r="BJ46" i="16"/>
  <c r="BI46" i="16"/>
  <c r="BH46" i="16"/>
  <c r="BR46" i="16" s="1"/>
  <c r="BS46" i="16" s="1"/>
  <c r="BX46" i="16" s="1"/>
  <c r="BB46" i="16"/>
  <c r="BE46" i="16" s="1"/>
  <c r="R46" i="16"/>
  <c r="P46" i="16"/>
  <c r="C46" i="16"/>
  <c r="H87" i="16" s="1"/>
  <c r="DH45" i="16"/>
  <c r="DI45" i="16" s="1"/>
  <c r="DC45" i="16"/>
  <c r="DB45" i="16"/>
  <c r="CZ45" i="16"/>
  <c r="CY45" i="16"/>
  <c r="CX45" i="16"/>
  <c r="CU45" i="16"/>
  <c r="DE45" i="16" s="1"/>
  <c r="CR45" i="16"/>
  <c r="BO45" i="16"/>
  <c r="BL45" i="16"/>
  <c r="BM45" i="16" s="1"/>
  <c r="BJ45" i="16"/>
  <c r="BU45" i="16" s="1"/>
  <c r="BW45" i="16" s="1"/>
  <c r="BI45" i="16"/>
  <c r="BH45" i="16"/>
  <c r="BR45" i="16" s="1"/>
  <c r="BS45" i="16" s="1"/>
  <c r="BX45" i="16" s="1"/>
  <c r="BE45" i="16"/>
  <c r="BB45" i="16"/>
  <c r="E45" i="16"/>
  <c r="DC44" i="16"/>
  <c r="DB44" i="16"/>
  <c r="CY44" i="16"/>
  <c r="CZ44" i="16" s="1"/>
  <c r="CU44" i="16"/>
  <c r="CR44" i="16"/>
  <c r="BI44" i="16"/>
  <c r="BJ44" i="16" s="1"/>
  <c r="BE44" i="16"/>
  <c r="BB44" i="16"/>
  <c r="BL44" i="16" s="1"/>
  <c r="BM44" i="16" s="1"/>
  <c r="P44" i="16"/>
  <c r="DI43" i="16"/>
  <c r="DB43" i="16"/>
  <c r="DC43" i="16" s="1"/>
  <c r="CY43" i="16"/>
  <c r="CZ43" i="16" s="1"/>
  <c r="CU43" i="16"/>
  <c r="CX43" i="16" s="1"/>
  <c r="DH43" i="16" s="1"/>
  <c r="CR43" i="16"/>
  <c r="BR43" i="16"/>
  <c r="BS43" i="16" s="1"/>
  <c r="BX43" i="16" s="1"/>
  <c r="BO43" i="16"/>
  <c r="BL43" i="16"/>
  <c r="BM43" i="16" s="1"/>
  <c r="BI43" i="16"/>
  <c r="BJ43" i="16" s="1"/>
  <c r="BH43" i="16"/>
  <c r="BB43" i="16"/>
  <c r="BE43" i="16" s="1"/>
  <c r="P43" i="16"/>
  <c r="DI42" i="16"/>
  <c r="DN42" i="16" s="1"/>
  <c r="DH42" i="16"/>
  <c r="DE42" i="16"/>
  <c r="DF42" i="16" s="1"/>
  <c r="DC42" i="16"/>
  <c r="CY42" i="16"/>
  <c r="CZ42" i="16" s="1"/>
  <c r="CU42" i="16"/>
  <c r="CX42" i="16" s="1"/>
  <c r="CR42" i="16"/>
  <c r="DB42" i="16" s="1"/>
  <c r="BI42" i="16"/>
  <c r="BJ42" i="16" s="1"/>
  <c r="BB42" i="16"/>
  <c r="BL42" i="16" s="1"/>
  <c r="BM42" i="16" s="1"/>
  <c r="P42" i="16"/>
  <c r="CY41" i="16"/>
  <c r="CZ41" i="16" s="1"/>
  <c r="CX41" i="16"/>
  <c r="DH41" i="16" s="1"/>
  <c r="DI41" i="16" s="1"/>
  <c r="CU41" i="16"/>
  <c r="CR41" i="16"/>
  <c r="DB41" i="16" s="1"/>
  <c r="DC41" i="16" s="1"/>
  <c r="BI41" i="16"/>
  <c r="BJ41" i="16" s="1"/>
  <c r="BE41" i="16"/>
  <c r="BU41" i="16" s="1"/>
  <c r="BW41" i="16" s="1"/>
  <c r="BB41" i="16"/>
  <c r="BL41" i="16" s="1"/>
  <c r="BM41" i="16" s="1"/>
  <c r="DH40" i="16"/>
  <c r="DI40" i="16" s="1"/>
  <c r="DN40" i="16" s="1"/>
  <c r="DB40" i="16"/>
  <c r="DC40" i="16" s="1"/>
  <c r="CZ40" i="16"/>
  <c r="CY40" i="16"/>
  <c r="CX40" i="16"/>
  <c r="CU40" i="16"/>
  <c r="DE40" i="16" s="1"/>
  <c r="DF40" i="16" s="1"/>
  <c r="CR40" i="16"/>
  <c r="BO40" i="16"/>
  <c r="BP40" i="16" s="1"/>
  <c r="BM40" i="16"/>
  <c r="BL40" i="16"/>
  <c r="BJ40" i="16"/>
  <c r="BI40" i="16"/>
  <c r="BE40" i="16"/>
  <c r="BU40" i="16" s="1"/>
  <c r="BW40" i="16" s="1"/>
  <c r="BB40" i="16"/>
  <c r="P40" i="16"/>
  <c r="DI39" i="16"/>
  <c r="DN39" i="16" s="1"/>
  <c r="DH39" i="16"/>
  <c r="DF39" i="16"/>
  <c r="DE39" i="16"/>
  <c r="DB39" i="16"/>
  <c r="DC39" i="16" s="1"/>
  <c r="CZ39" i="16"/>
  <c r="CY39" i="16"/>
  <c r="CU39" i="16"/>
  <c r="CX39" i="16" s="1"/>
  <c r="CR39" i="16"/>
  <c r="BU39" i="16"/>
  <c r="BW39" i="16" s="1"/>
  <c r="BR39" i="16"/>
  <c r="BS39" i="16" s="1"/>
  <c r="BX39" i="16" s="1"/>
  <c r="BY39" i="16" s="1"/>
  <c r="BO39" i="16"/>
  <c r="BP39" i="16" s="1"/>
  <c r="BM39" i="16"/>
  <c r="BL39" i="16"/>
  <c r="BI39" i="16"/>
  <c r="BJ39" i="16" s="1"/>
  <c r="BH39" i="16"/>
  <c r="BE39" i="16"/>
  <c r="BB39" i="16"/>
  <c r="P39" i="16"/>
  <c r="CZ38" i="16"/>
  <c r="CY38" i="16"/>
  <c r="CR38" i="16"/>
  <c r="CU38" i="16" s="1"/>
  <c r="BS38" i="16"/>
  <c r="BX38" i="16" s="1"/>
  <c r="BR38" i="16"/>
  <c r="BL38" i="16"/>
  <c r="BM38" i="16" s="1"/>
  <c r="BJ38" i="16"/>
  <c r="BU38" i="16" s="1"/>
  <c r="BW38" i="16" s="1"/>
  <c r="BI38" i="16"/>
  <c r="BH38" i="16"/>
  <c r="BE38" i="16"/>
  <c r="BO38" i="16" s="1"/>
  <c r="BB38" i="16"/>
  <c r="T38" i="16"/>
  <c r="P38" i="16"/>
  <c r="P47" i="16" s="1"/>
  <c r="DE37" i="16"/>
  <c r="CZ37" i="16"/>
  <c r="CY37" i="16"/>
  <c r="CU37" i="16"/>
  <c r="CX37" i="16" s="1"/>
  <c r="DH37" i="16" s="1"/>
  <c r="DI37" i="16" s="1"/>
  <c r="CR37" i="16"/>
  <c r="DB37" i="16" s="1"/>
  <c r="DC37" i="16" s="1"/>
  <c r="BU37" i="16"/>
  <c r="BW37" i="16" s="1"/>
  <c r="BR37" i="16"/>
  <c r="BS37" i="16" s="1"/>
  <c r="BX37" i="16" s="1"/>
  <c r="BY37" i="16" s="1"/>
  <c r="BO37" i="16"/>
  <c r="BL37" i="16"/>
  <c r="BM37" i="16" s="1"/>
  <c r="BP37" i="16" s="1"/>
  <c r="BJ37" i="16"/>
  <c r="BI37" i="16"/>
  <c r="BE37" i="16"/>
  <c r="BH37" i="16" s="1"/>
  <c r="BB37" i="16"/>
  <c r="P37" i="16"/>
  <c r="CY36" i="16"/>
  <c r="CZ36" i="16" s="1"/>
  <c r="CR36" i="16"/>
  <c r="DB36" i="16" s="1"/>
  <c r="DC36" i="16" s="1"/>
  <c r="BP36" i="16"/>
  <c r="BI36" i="16"/>
  <c r="BJ36" i="16" s="1"/>
  <c r="BU36" i="16" s="1"/>
  <c r="BW36" i="16" s="1"/>
  <c r="BE36" i="16"/>
  <c r="BO36" i="16" s="1"/>
  <c r="BB36" i="16"/>
  <c r="BL36" i="16" s="1"/>
  <c r="BM36" i="16" s="1"/>
  <c r="H36" i="16"/>
  <c r="D36" i="16"/>
  <c r="DE35" i="16"/>
  <c r="CZ35" i="16"/>
  <c r="CY35" i="16"/>
  <c r="CU35" i="16"/>
  <c r="CR35" i="16"/>
  <c r="DB35" i="16" s="1"/>
  <c r="DC35" i="16" s="1"/>
  <c r="DF35" i="16" s="1"/>
  <c r="BL35" i="16"/>
  <c r="BM35" i="16" s="1"/>
  <c r="BJ35" i="16"/>
  <c r="BI35" i="16"/>
  <c r="BB35" i="16"/>
  <c r="BE35" i="16" s="1"/>
  <c r="DB34" i="16"/>
  <c r="DC34" i="16" s="1"/>
  <c r="CZ34" i="16"/>
  <c r="CY34" i="16"/>
  <c r="CR34" i="16"/>
  <c r="CU34" i="16" s="1"/>
  <c r="BL34" i="16"/>
  <c r="BM34" i="16" s="1"/>
  <c r="BI34" i="16"/>
  <c r="BJ34" i="16" s="1"/>
  <c r="BE34" i="16"/>
  <c r="BB34" i="16"/>
  <c r="CY33" i="16"/>
  <c r="CZ33" i="16" s="1"/>
  <c r="CR33" i="16"/>
  <c r="DB33" i="16" s="1"/>
  <c r="DC33" i="16" s="1"/>
  <c r="BJ33" i="16"/>
  <c r="BI33" i="16"/>
  <c r="BB33" i="16"/>
  <c r="BL33" i="16" s="1"/>
  <c r="BM33" i="16" s="1"/>
  <c r="CY32" i="16"/>
  <c r="CZ32" i="16" s="1"/>
  <c r="CR32" i="16"/>
  <c r="BI32" i="16"/>
  <c r="BJ32" i="16" s="1"/>
  <c r="BB32" i="16"/>
  <c r="BE32" i="16" s="1"/>
  <c r="BH32" i="16" s="1"/>
  <c r="BR32" i="16" s="1"/>
  <c r="BS32" i="16" s="1"/>
  <c r="BX32" i="16" s="1"/>
  <c r="DI31" i="16"/>
  <c r="CZ31" i="16"/>
  <c r="CY31" i="16"/>
  <c r="CR31" i="16"/>
  <c r="CU31" i="16" s="1"/>
  <c r="CX31" i="16" s="1"/>
  <c r="DH31" i="16" s="1"/>
  <c r="BR31" i="16"/>
  <c r="BS31" i="16" s="1"/>
  <c r="BX31" i="16" s="1"/>
  <c r="BO31" i="16"/>
  <c r="BI31" i="16"/>
  <c r="BJ31" i="16" s="1"/>
  <c r="BU31" i="16" s="1"/>
  <c r="BW31" i="16" s="1"/>
  <c r="BB31" i="16"/>
  <c r="BE31" i="16" s="1"/>
  <c r="BH31" i="16" s="1"/>
  <c r="CZ30" i="16"/>
  <c r="CY30" i="16"/>
  <c r="CR30" i="16"/>
  <c r="DB30" i="16" s="1"/>
  <c r="DC30" i="16" s="1"/>
  <c r="BI30" i="16"/>
  <c r="BJ30" i="16" s="1"/>
  <c r="BB30" i="16"/>
  <c r="BL30" i="16" s="1"/>
  <c r="BM30" i="16" s="1"/>
  <c r="CY29" i="16"/>
  <c r="CZ29" i="16" s="1"/>
  <c r="CR29" i="16"/>
  <c r="DB29" i="16" s="1"/>
  <c r="DC29" i="16" s="1"/>
  <c r="BO29" i="16"/>
  <c r="BP29" i="16" s="1"/>
  <c r="BM29" i="16"/>
  <c r="BJ29" i="16"/>
  <c r="BI29" i="16"/>
  <c r="BE29" i="16"/>
  <c r="BU29" i="16" s="1"/>
  <c r="BW29" i="16" s="1"/>
  <c r="BB29" i="16"/>
  <c r="BL29" i="16" s="1"/>
  <c r="CS28" i="16"/>
  <c r="CT28" i="16" s="1"/>
  <c r="CN28" i="16"/>
  <c r="CM28" i="16"/>
  <c r="CI28" i="16"/>
  <c r="CL28" i="16" s="1"/>
  <c r="CV28" i="16" s="1"/>
  <c r="CW28" i="16" s="1"/>
  <c r="CF28" i="16"/>
  <c r="CP28" i="16" s="1"/>
  <c r="CQ28" i="16" s="1"/>
  <c r="BD28" i="16"/>
  <c r="BC28" i="16"/>
  <c r="BA28" i="16"/>
  <c r="AZ28" i="16"/>
  <c r="AX28" i="16"/>
  <c r="AW28" i="16"/>
  <c r="AP28" i="16"/>
  <c r="AS28" i="16" s="1"/>
  <c r="X28" i="16"/>
  <c r="W28" i="16"/>
  <c r="V28" i="16"/>
  <c r="U28" i="16"/>
  <c r="T28" i="16"/>
  <c r="R28" i="16"/>
  <c r="Q28" i="16"/>
  <c r="P28" i="16"/>
  <c r="CP27" i="16"/>
  <c r="CQ27" i="16" s="1"/>
  <c r="CM27" i="16"/>
  <c r="CN27" i="16" s="1"/>
  <c r="CI27" i="16"/>
  <c r="CF27" i="16"/>
  <c r="AZ27" i="16"/>
  <c r="BA27" i="16" s="1"/>
  <c r="AW27" i="16"/>
  <c r="AX27" i="16" s="1"/>
  <c r="AS27" i="16"/>
  <c r="AV27" i="16" s="1"/>
  <c r="BF27" i="16" s="1"/>
  <c r="BG27" i="16" s="1"/>
  <c r="BL27" i="16" s="1"/>
  <c r="AP27" i="16"/>
  <c r="O27" i="16"/>
  <c r="D27" i="16"/>
  <c r="CP26" i="16"/>
  <c r="CQ26" i="16" s="1"/>
  <c r="CM26" i="16"/>
  <c r="CN26" i="16" s="1"/>
  <c r="CF26" i="16"/>
  <c r="CI26" i="16" s="1"/>
  <c r="AZ26" i="16"/>
  <c r="BA26" i="16" s="1"/>
  <c r="AX26" i="16"/>
  <c r="AW26" i="16"/>
  <c r="AS26" i="16"/>
  <c r="AP26" i="16"/>
  <c r="O26" i="16"/>
  <c r="CP25" i="16"/>
  <c r="CQ25" i="16" s="1"/>
  <c r="CM25" i="16"/>
  <c r="CN25" i="16" s="1"/>
  <c r="CF25" i="16"/>
  <c r="CI25" i="16" s="1"/>
  <c r="CS25" i="16" s="1"/>
  <c r="CT25" i="16" s="1"/>
  <c r="BC25" i="16"/>
  <c r="AZ25" i="16"/>
  <c r="BA25" i="16" s="1"/>
  <c r="AW25" i="16"/>
  <c r="AX25" i="16" s="1"/>
  <c r="AS25" i="16"/>
  <c r="AP25" i="16"/>
  <c r="O25" i="16"/>
  <c r="H25" i="16"/>
  <c r="I25" i="16" s="1"/>
  <c r="D25" i="16"/>
  <c r="C25" i="16"/>
  <c r="CN24" i="16"/>
  <c r="CM24" i="16"/>
  <c r="CF24" i="16"/>
  <c r="AW24" i="16"/>
  <c r="AX24" i="16" s="1"/>
  <c r="AP24" i="16"/>
  <c r="AZ24" i="16" s="1"/>
  <c r="BA24" i="16" s="1"/>
  <c r="O24" i="16"/>
  <c r="I24" i="16"/>
  <c r="S54" i="16" s="1"/>
  <c r="H24" i="16"/>
  <c r="D24" i="16"/>
  <c r="C24" i="16"/>
  <c r="CP23" i="16"/>
  <c r="CQ23" i="16" s="1"/>
  <c r="CM23" i="16"/>
  <c r="CN23" i="16" s="1"/>
  <c r="CF23" i="16"/>
  <c r="CI23" i="16" s="1"/>
  <c r="AZ23" i="16"/>
  <c r="BA23" i="16" s="1"/>
  <c r="AW23" i="16"/>
  <c r="AX23" i="16" s="1"/>
  <c r="AV23" i="16"/>
  <c r="BF23" i="16" s="1"/>
  <c r="BG23" i="16" s="1"/>
  <c r="BL23" i="16" s="1"/>
  <c r="AS23" i="16"/>
  <c r="AP23" i="16"/>
  <c r="O23" i="16"/>
  <c r="I23" i="16"/>
  <c r="H23" i="16"/>
  <c r="CN22" i="16"/>
  <c r="CM22" i="16"/>
  <c r="CF22" i="16"/>
  <c r="CP22" i="16" s="1"/>
  <c r="CQ22" i="16" s="1"/>
  <c r="AX22" i="16"/>
  <c r="AW22" i="16"/>
  <c r="AP22" i="16"/>
  <c r="O22" i="16"/>
  <c r="E22" i="16"/>
  <c r="CM21" i="16"/>
  <c r="CN21" i="16" s="1"/>
  <c r="CF21" i="16"/>
  <c r="CP21" i="16" s="1"/>
  <c r="CQ21" i="16" s="1"/>
  <c r="AW21" i="16"/>
  <c r="AX21" i="16" s="1"/>
  <c r="AP21" i="16"/>
  <c r="AZ21" i="16" s="1"/>
  <c r="BA21" i="16" s="1"/>
  <c r="O21" i="16"/>
  <c r="E21" i="16"/>
  <c r="CN20" i="16"/>
  <c r="CM20" i="16"/>
  <c r="CI20" i="16"/>
  <c r="CF20" i="16"/>
  <c r="CP20" i="16" s="1"/>
  <c r="CQ20" i="16" s="1"/>
  <c r="AZ20" i="16"/>
  <c r="BA20" i="16" s="1"/>
  <c r="AW20" i="16"/>
  <c r="AX20" i="16" s="1"/>
  <c r="AS20" i="16"/>
  <c r="AP20" i="16"/>
  <c r="O20" i="16"/>
  <c r="E20" i="16"/>
  <c r="CM19" i="16"/>
  <c r="CN19" i="16" s="1"/>
  <c r="CI19" i="16"/>
  <c r="CF19" i="16"/>
  <c r="CP19" i="16" s="1"/>
  <c r="CQ19" i="16" s="1"/>
  <c r="AW19" i="16"/>
  <c r="AX19" i="16" s="1"/>
  <c r="AP19" i="16"/>
  <c r="AZ19" i="16" s="1"/>
  <c r="BA19" i="16" s="1"/>
  <c r="O19" i="16"/>
  <c r="CP18" i="16"/>
  <c r="CQ18" i="16" s="1"/>
  <c r="CN18" i="16"/>
  <c r="CM18" i="16"/>
  <c r="CL18" i="16"/>
  <c r="CV18" i="16" s="1"/>
  <c r="CW18" i="16" s="1"/>
  <c r="CF18" i="16"/>
  <c r="CI18" i="16" s="1"/>
  <c r="AX18" i="16"/>
  <c r="AW18" i="16"/>
  <c r="AP18" i="16"/>
  <c r="O18" i="16"/>
  <c r="CS17" i="16"/>
  <c r="CQ17" i="16"/>
  <c r="CP17" i="16"/>
  <c r="CN17" i="16"/>
  <c r="CM17" i="16"/>
  <c r="CL17" i="16"/>
  <c r="CV17" i="16" s="1"/>
  <c r="CW17" i="16" s="1"/>
  <c r="CI17" i="16"/>
  <c r="CF17" i="16"/>
  <c r="BD17" i="16"/>
  <c r="BC17" i="16"/>
  <c r="AZ17" i="16"/>
  <c r="BA17" i="16" s="1"/>
  <c r="AW17" i="16"/>
  <c r="AX17" i="16" s="1"/>
  <c r="BI17" i="16" s="1"/>
  <c r="BK17" i="16" s="1"/>
  <c r="AV17" i="16"/>
  <c r="BF17" i="16" s="1"/>
  <c r="BG17" i="16" s="1"/>
  <c r="BL17" i="16" s="1"/>
  <c r="AP17" i="16"/>
  <c r="AS17" i="16" s="1"/>
  <c r="O17" i="16"/>
  <c r="CW16" i="16"/>
  <c r="CS16" i="16"/>
  <c r="CQ16" i="16"/>
  <c r="CM16" i="16"/>
  <c r="CN16" i="16" s="1"/>
  <c r="CI16" i="16"/>
  <c r="CL16" i="16" s="1"/>
  <c r="CV16" i="16" s="1"/>
  <c r="CF16" i="16"/>
  <c r="CP16" i="16" s="1"/>
  <c r="AZ16" i="16"/>
  <c r="BA16" i="16" s="1"/>
  <c r="AW16" i="16"/>
  <c r="AX16" i="16" s="1"/>
  <c r="AP16" i="16"/>
  <c r="AS16" i="16" s="1"/>
  <c r="O16" i="16"/>
  <c r="CS15" i="16"/>
  <c r="CP15" i="16"/>
  <c r="CQ15" i="16" s="1"/>
  <c r="CT15" i="16" s="1"/>
  <c r="CN15" i="16"/>
  <c r="CM15" i="16"/>
  <c r="CI15" i="16"/>
  <c r="CF15" i="16"/>
  <c r="AZ15" i="16"/>
  <c r="BA15" i="16" s="1"/>
  <c r="AW15" i="16"/>
  <c r="AX15" i="16" s="1"/>
  <c r="AV15" i="16"/>
  <c r="BF15" i="16" s="1"/>
  <c r="BG15" i="16" s="1"/>
  <c r="BL15" i="16" s="1"/>
  <c r="AP15" i="16"/>
  <c r="AS15" i="16" s="1"/>
  <c r="O15" i="16"/>
  <c r="G15" i="16"/>
  <c r="G17" i="16" s="1"/>
  <c r="CV14" i="16"/>
  <c r="CW14" i="16" s="1"/>
  <c r="CS14" i="16"/>
  <c r="CP14" i="16"/>
  <c r="CQ14" i="16" s="1"/>
  <c r="CT14" i="16" s="1"/>
  <c r="CN14" i="16"/>
  <c r="CM14" i="16"/>
  <c r="CL14" i="16"/>
  <c r="CI14" i="16"/>
  <c r="CF14" i="16"/>
  <c r="BF14" i="16"/>
  <c r="BG14" i="16" s="1"/>
  <c r="BL14" i="16" s="1"/>
  <c r="BM14" i="16" s="1"/>
  <c r="BC14" i="16"/>
  <c r="AZ14" i="16"/>
  <c r="BA14" i="16" s="1"/>
  <c r="BD14" i="16" s="1"/>
  <c r="AX14" i="16"/>
  <c r="BI14" i="16" s="1"/>
  <c r="BK14" i="16" s="1"/>
  <c r="AW14" i="16"/>
  <c r="AV14" i="16"/>
  <c r="AP14" i="16"/>
  <c r="AS14" i="16" s="1"/>
  <c r="O14" i="16"/>
  <c r="O13" i="16"/>
  <c r="K13" i="16"/>
  <c r="I13" i="16"/>
  <c r="O12" i="16"/>
  <c r="O11" i="16"/>
  <c r="K11" i="16"/>
  <c r="I11" i="16"/>
  <c r="O10" i="16"/>
  <c r="CM9" i="16"/>
  <c r="CN9" i="16" s="1"/>
  <c r="CF9" i="16"/>
  <c r="CP9" i="16" s="1"/>
  <c r="CQ9" i="16" s="1"/>
  <c r="AZ9" i="16"/>
  <c r="BA9" i="16" s="1"/>
  <c r="AX9" i="16"/>
  <c r="AW9" i="16"/>
  <c r="AV9" i="16"/>
  <c r="BF9" i="16" s="1"/>
  <c r="BG9" i="16" s="1"/>
  <c r="BL9" i="16" s="1"/>
  <c r="AS9" i="16"/>
  <c r="AP9" i="16"/>
  <c r="O9" i="16"/>
  <c r="CS8" i="16"/>
  <c r="CP8" i="16"/>
  <c r="CQ8" i="16" s="1"/>
  <c r="CT8" i="16" s="1"/>
  <c r="CM8" i="16"/>
  <c r="CN8" i="16" s="1"/>
  <c r="CI8" i="16"/>
  <c r="CL8" i="16" s="1"/>
  <c r="CV8" i="16" s="1"/>
  <c r="CW8" i="16" s="1"/>
  <c r="CF8" i="16"/>
  <c r="BC8" i="16"/>
  <c r="BD8" i="16" s="1"/>
  <c r="BA8" i="16"/>
  <c r="AZ8" i="16"/>
  <c r="AW8" i="16"/>
  <c r="AX8" i="16" s="1"/>
  <c r="AP8" i="16"/>
  <c r="AS8" i="16" s="1"/>
  <c r="BI8" i="16" s="1"/>
  <c r="BK8" i="16" s="1"/>
  <c r="O8" i="16"/>
  <c r="CV7" i="16"/>
  <c r="CW7" i="16" s="1"/>
  <c r="CP7" i="16"/>
  <c r="CQ7" i="16" s="1"/>
  <c r="CT7" i="16" s="1"/>
  <c r="CN7" i="16"/>
  <c r="CM7" i="16"/>
  <c r="CL7" i="16"/>
  <c r="CI7" i="16"/>
  <c r="CS7" i="16" s="1"/>
  <c r="CF7" i="16"/>
  <c r="BF7" i="16"/>
  <c r="BG7" i="16" s="1"/>
  <c r="BL7" i="16" s="1"/>
  <c r="BM7" i="16" s="1"/>
  <c r="BC7" i="16"/>
  <c r="AZ7" i="16"/>
  <c r="BA7" i="16" s="1"/>
  <c r="AX7" i="16"/>
  <c r="BI7" i="16" s="1"/>
  <c r="BK7" i="16" s="1"/>
  <c r="AW7" i="16"/>
  <c r="AV7" i="16"/>
  <c r="AP7" i="16"/>
  <c r="AS7" i="16" s="1"/>
  <c r="O7" i="16"/>
  <c r="CM6" i="16"/>
  <c r="CN6" i="16" s="1"/>
  <c r="CF6" i="16"/>
  <c r="CP6" i="16" s="1"/>
  <c r="CQ6" i="16" s="1"/>
  <c r="AW6" i="16"/>
  <c r="AX6" i="16" s="1"/>
  <c r="AP6" i="16"/>
  <c r="AZ6" i="16" s="1"/>
  <c r="BA6" i="16" s="1"/>
  <c r="O6" i="16"/>
  <c r="O5" i="16"/>
  <c r="O4" i="16"/>
  <c r="O3" i="16"/>
  <c r="I62" i="15"/>
  <c r="H36" i="15"/>
  <c r="P42" i="15"/>
  <c r="P44" i="15"/>
  <c r="P43" i="15"/>
  <c r="P48" i="16" l="1"/>
  <c r="P46" i="18"/>
  <c r="P48" i="18"/>
  <c r="B64" i="16"/>
  <c r="E64" i="16" s="1"/>
  <c r="P46" i="17"/>
  <c r="P47" i="17"/>
  <c r="P48" i="17"/>
  <c r="T137" i="14"/>
  <c r="T138" i="14"/>
  <c r="T136" i="14" s="1"/>
  <c r="X160" i="14"/>
  <c r="AB47" i="5"/>
  <c r="AB42" i="5" s="1"/>
  <c r="AC42" i="5" s="1"/>
  <c r="AB84" i="5"/>
  <c r="AB79" i="5" s="1"/>
  <c r="AC79" i="5" s="1"/>
  <c r="AB75" i="5"/>
  <c r="AB70" i="5" s="1"/>
  <c r="AC70" i="5" s="1"/>
  <c r="P57" i="5"/>
  <c r="P52" i="5" s="1"/>
  <c r="Q52" i="5" s="1"/>
  <c r="T52" i="16"/>
  <c r="O6" i="18"/>
  <c r="B42" i="19"/>
  <c r="B35" i="19"/>
  <c r="F42" i="19" s="1"/>
  <c r="V14" i="19"/>
  <c r="B21" i="19"/>
  <c r="D21" i="19" s="1"/>
  <c r="B17" i="19"/>
  <c r="B20" i="19"/>
  <c r="D20" i="19" s="1"/>
  <c r="G82" i="19"/>
  <c r="C40" i="19"/>
  <c r="D40" i="19" s="1"/>
  <c r="G83" i="19"/>
  <c r="P41" i="13"/>
  <c r="P40" i="13"/>
  <c r="D35" i="19"/>
  <c r="F35" i="19" s="1"/>
  <c r="N34" i="19"/>
  <c r="J17" i="19"/>
  <c r="N32" i="19"/>
  <c r="N33" i="19"/>
  <c r="J19" i="19"/>
  <c r="N31" i="19"/>
  <c r="D17" i="19"/>
  <c r="N35" i="19"/>
  <c r="F40" i="19"/>
  <c r="B51" i="19"/>
  <c r="D51" i="19" s="1"/>
  <c r="D55" i="19" s="1"/>
  <c r="N38" i="19"/>
  <c r="P40" i="19" s="1"/>
  <c r="P5" i="19"/>
  <c r="G37" i="19" s="1"/>
  <c r="J18" i="19"/>
  <c r="L18" i="19" s="1"/>
  <c r="D37" i="19"/>
  <c r="K37" i="19" s="1"/>
  <c r="C42" i="19"/>
  <c r="D42" i="19" s="1"/>
  <c r="C81" i="19"/>
  <c r="V13" i="19"/>
  <c r="D31" i="19"/>
  <c r="A44" i="19"/>
  <c r="D44" i="19" s="1"/>
  <c r="B59" i="19"/>
  <c r="D59" i="19" s="1"/>
  <c r="D61" i="19" s="1"/>
  <c r="R52" i="18"/>
  <c r="J23" i="18" s="1"/>
  <c r="K9" i="18"/>
  <c r="F25" i="18" s="1"/>
  <c r="G55" i="18"/>
  <c r="H49" i="18" s="1"/>
  <c r="B49" i="18" s="1"/>
  <c r="E49" i="18" s="1"/>
  <c r="B46" i="18"/>
  <c r="DE44" i="18"/>
  <c r="DF44" i="18" s="1"/>
  <c r="CX44" i="18"/>
  <c r="DH44" i="18" s="1"/>
  <c r="DI44" i="18" s="1"/>
  <c r="DK44" i="18"/>
  <c r="DM44" i="18" s="1"/>
  <c r="DK36" i="18"/>
  <c r="DM36" i="18" s="1"/>
  <c r="CS16" i="18"/>
  <c r="CT16" i="18" s="1"/>
  <c r="CL16" i="18"/>
  <c r="CV16" i="18" s="1"/>
  <c r="CW16" i="18" s="1"/>
  <c r="DB16" i="18" s="1"/>
  <c r="BD15" i="18"/>
  <c r="BC17" i="18"/>
  <c r="BD17" i="18" s="1"/>
  <c r="AV17" i="18"/>
  <c r="BF17" i="18" s="1"/>
  <c r="BG17" i="18" s="1"/>
  <c r="BL17" i="18" s="1"/>
  <c r="BI17" i="18"/>
  <c r="BK17" i="18" s="1"/>
  <c r="BD20" i="18"/>
  <c r="DN29" i="18"/>
  <c r="DO30" i="18"/>
  <c r="BD6" i="18"/>
  <c r="BM20" i="18"/>
  <c r="BP29" i="18"/>
  <c r="DK29" i="18"/>
  <c r="DM29" i="18" s="1"/>
  <c r="CL17" i="18"/>
  <c r="CV17" i="18" s="1"/>
  <c r="CW17" i="18" s="1"/>
  <c r="DB17" i="18" s="1"/>
  <c r="CS17" i="18"/>
  <c r="CT17" i="18" s="1"/>
  <c r="CY17" i="18"/>
  <c r="DA17" i="18" s="1"/>
  <c r="DF29" i="18"/>
  <c r="DB23" i="18"/>
  <c r="CT15" i="18"/>
  <c r="DB15" i="18" s="1"/>
  <c r="DC15" i="18" s="1"/>
  <c r="CT20" i="18"/>
  <c r="DB20" i="18" s="1"/>
  <c r="CI9" i="18"/>
  <c r="CL14" i="18"/>
  <c r="CV14" i="18" s="1"/>
  <c r="CW14" i="18" s="1"/>
  <c r="DB14" i="18" s="1"/>
  <c r="AV23" i="18"/>
  <c r="BF23" i="18" s="1"/>
  <c r="BG23" i="18" s="1"/>
  <c r="BL23" i="18" s="1"/>
  <c r="BM23" i="18" s="1"/>
  <c r="CX33" i="18"/>
  <c r="DH33" i="18" s="1"/>
  <c r="DI33" i="18" s="1"/>
  <c r="DN33" i="18" s="1"/>
  <c r="CX39" i="18"/>
  <c r="DH39" i="18" s="1"/>
  <c r="DI39" i="18" s="1"/>
  <c r="DN39" i="18" s="1"/>
  <c r="CX43" i="18"/>
  <c r="DH43" i="18" s="1"/>
  <c r="DI43" i="18" s="1"/>
  <c r="DN43" i="18" s="1"/>
  <c r="DK43" i="18"/>
  <c r="DM43" i="18" s="1"/>
  <c r="BU50" i="18"/>
  <c r="BW50" i="18" s="1"/>
  <c r="BH50" i="18"/>
  <c r="BR50" i="18" s="1"/>
  <c r="BS50" i="18" s="1"/>
  <c r="BX50" i="18" s="1"/>
  <c r="BY50" i="18" s="1"/>
  <c r="AS14" i="18"/>
  <c r="AS16" i="18"/>
  <c r="CI21" i="18"/>
  <c r="AS22" i="18"/>
  <c r="AS24" i="18"/>
  <c r="CU34" i="18"/>
  <c r="DB34" i="18"/>
  <c r="DC34" i="18" s="1"/>
  <c r="CT23" i="18"/>
  <c r="CY23" i="18" s="1"/>
  <c r="DA23" i="18" s="1"/>
  <c r="BC26" i="18"/>
  <c r="BD26" i="18" s="1"/>
  <c r="AV26" i="18"/>
  <c r="BF26" i="18" s="1"/>
  <c r="BG26" i="18" s="1"/>
  <c r="BL26" i="18" s="1"/>
  <c r="BM26" i="18" s="1"/>
  <c r="BY30" i="18"/>
  <c r="BO31" i="18"/>
  <c r="BP31" i="18" s="1"/>
  <c r="BH31" i="18"/>
  <c r="BR31" i="18" s="1"/>
  <c r="BS31" i="18" s="1"/>
  <c r="BX31" i="18" s="1"/>
  <c r="BY31" i="18" s="1"/>
  <c r="BO32" i="18"/>
  <c r="BP32" i="18" s="1"/>
  <c r="BH32" i="18"/>
  <c r="BR32" i="18" s="1"/>
  <c r="BS32" i="18" s="1"/>
  <c r="BX32" i="18" s="1"/>
  <c r="BY32" i="18" s="1"/>
  <c r="BU32" i="18"/>
  <c r="BW32" i="18" s="1"/>
  <c r="DF41" i="18"/>
  <c r="DE43" i="18"/>
  <c r="DF43" i="18" s="1"/>
  <c r="BU45" i="18"/>
  <c r="BW45" i="18" s="1"/>
  <c r="BO45" i="18"/>
  <c r="BH45" i="18"/>
  <c r="BR45" i="18" s="1"/>
  <c r="BS45" i="18" s="1"/>
  <c r="BX45" i="18" s="1"/>
  <c r="BY45" i="18" s="1"/>
  <c r="BH46" i="18"/>
  <c r="BR46" i="18" s="1"/>
  <c r="BS46" i="18" s="1"/>
  <c r="BX46" i="18" s="1"/>
  <c r="BU46" i="18"/>
  <c r="BW46" i="18" s="1"/>
  <c r="BY51" i="18"/>
  <c r="AS7" i="18"/>
  <c r="BP33" i="18"/>
  <c r="DK33" i="18"/>
  <c r="DM33" i="18" s="1"/>
  <c r="I9" i="18"/>
  <c r="F24" i="18" s="1"/>
  <c r="B28" i="18" s="1"/>
  <c r="E28" i="18" s="1"/>
  <c r="CI7" i="18"/>
  <c r="CP8" i="18"/>
  <c r="CQ8" i="18" s="1"/>
  <c r="AS21" i="18"/>
  <c r="BC23" i="18"/>
  <c r="BD23" i="18" s="1"/>
  <c r="BI26" i="18"/>
  <c r="BK26" i="18" s="1"/>
  <c r="CL28" i="18"/>
  <c r="CV28" i="18" s="1"/>
  <c r="CW28" i="18" s="1"/>
  <c r="BL31" i="18"/>
  <c r="BM31" i="18" s="1"/>
  <c r="BL32" i="18"/>
  <c r="BM32" i="18" s="1"/>
  <c r="BH33" i="18"/>
  <c r="BR33" i="18" s="1"/>
  <c r="BS33" i="18" s="1"/>
  <c r="BX33" i="18" s="1"/>
  <c r="BY33" i="18" s="1"/>
  <c r="CU35" i="18"/>
  <c r="BE37" i="18"/>
  <c r="BL45" i="18"/>
  <c r="BM45" i="18" s="1"/>
  <c r="DK50" i="18"/>
  <c r="DM50" i="18" s="1"/>
  <c r="AS9" i="18"/>
  <c r="BU49" i="18"/>
  <c r="BW49" i="18" s="1"/>
  <c r="BH49" i="18"/>
  <c r="BR49" i="18" s="1"/>
  <c r="BS49" i="18" s="1"/>
  <c r="BX49" i="18" s="1"/>
  <c r="BY49" i="18" s="1"/>
  <c r="CS25" i="18"/>
  <c r="CT25" i="18" s="1"/>
  <c r="CL25" i="18"/>
  <c r="CV25" i="18" s="1"/>
  <c r="CW25" i="18" s="1"/>
  <c r="DB25" i="18" s="1"/>
  <c r="BU31" i="18"/>
  <c r="BW31" i="18" s="1"/>
  <c r="BP38" i="18"/>
  <c r="BP39" i="18"/>
  <c r="BL40" i="18"/>
  <c r="BM40" i="18" s="1"/>
  <c r="BE40" i="18"/>
  <c r="BO42" i="18"/>
  <c r="BP42" i="18" s="1"/>
  <c r="BH42" i="18"/>
  <c r="BR42" i="18" s="1"/>
  <c r="BS42" i="18" s="1"/>
  <c r="BX42" i="18" s="1"/>
  <c r="BO44" i="18"/>
  <c r="BP44" i="18" s="1"/>
  <c r="BH44" i="18"/>
  <c r="BR44" i="18" s="1"/>
  <c r="BS44" i="18" s="1"/>
  <c r="BX44" i="18" s="1"/>
  <c r="BY44" i="18" s="1"/>
  <c r="BU44" i="18"/>
  <c r="BW44" i="18" s="1"/>
  <c r="BO46" i="18"/>
  <c r="BP46" i="18" s="1"/>
  <c r="BY48" i="18"/>
  <c r="BO49" i="18"/>
  <c r="BP49" i="18" s="1"/>
  <c r="DK39" i="18"/>
  <c r="DM39" i="18" s="1"/>
  <c r="O28" i="18"/>
  <c r="B51" i="18"/>
  <c r="CS8" i="18"/>
  <c r="CT8" i="18" s="1"/>
  <c r="DB8" i="18" s="1"/>
  <c r="CY14" i="18"/>
  <c r="DA14" i="18" s="1"/>
  <c r="BC19" i="18"/>
  <c r="BD19" i="18" s="1"/>
  <c r="AV19" i="18"/>
  <c r="BF19" i="18" s="1"/>
  <c r="BG19" i="18" s="1"/>
  <c r="BL19" i="18" s="1"/>
  <c r="BM19" i="18" s="1"/>
  <c r="BH39" i="18"/>
  <c r="BR39" i="18" s="1"/>
  <c r="BS39" i="18" s="1"/>
  <c r="BX39" i="18" s="1"/>
  <c r="DE45" i="18"/>
  <c r="CX45" i="18"/>
  <c r="DH45" i="18" s="1"/>
  <c r="DI45" i="18" s="1"/>
  <c r="G17" i="18"/>
  <c r="CI18" i="18"/>
  <c r="CP19" i="18"/>
  <c r="CQ19" i="18" s="1"/>
  <c r="BH34" i="18"/>
  <c r="BR34" i="18" s="1"/>
  <c r="BS34" i="18" s="1"/>
  <c r="BX34" i="18" s="1"/>
  <c r="BY34" i="18" s="1"/>
  <c r="BO34" i="18"/>
  <c r="BP34" i="18" s="1"/>
  <c r="DN48" i="18"/>
  <c r="DO48" i="18" s="1"/>
  <c r="CX49" i="18"/>
  <c r="DH49" i="18" s="1"/>
  <c r="DI49" i="18" s="1"/>
  <c r="DN49" i="18" s="1"/>
  <c r="DF50" i="18"/>
  <c r="BC8" i="18"/>
  <c r="BD8" i="18" s="1"/>
  <c r="CS19" i="18"/>
  <c r="AS28" i="18"/>
  <c r="AZ28" i="18"/>
  <c r="BA28" i="18" s="1"/>
  <c r="CS28" i="18"/>
  <c r="CT28" i="18" s="1"/>
  <c r="CY28" i="18" s="1"/>
  <c r="DA28" i="18" s="1"/>
  <c r="DE31" i="18"/>
  <c r="DF31" i="18" s="1"/>
  <c r="DK31" i="18" s="1"/>
  <c r="DM31" i="18" s="1"/>
  <c r="CX31" i="18"/>
  <c r="DH31" i="18" s="1"/>
  <c r="DI31" i="18" s="1"/>
  <c r="DN31" i="18" s="1"/>
  <c r="DE32" i="18"/>
  <c r="DF32" i="18" s="1"/>
  <c r="CX32" i="18"/>
  <c r="DH32" i="18" s="1"/>
  <c r="DI32" i="18" s="1"/>
  <c r="DN32" i="18" s="1"/>
  <c r="DK32" i="18"/>
  <c r="DM32" i="18" s="1"/>
  <c r="DF36" i="18"/>
  <c r="DN36" i="18" s="1"/>
  <c r="DO36" i="18" s="1"/>
  <c r="E51" i="18"/>
  <c r="R58" i="18"/>
  <c r="R59" i="18" s="1"/>
  <c r="AS18" i="18"/>
  <c r="AZ19" i="18"/>
  <c r="BA19" i="18" s="1"/>
  <c r="CI24" i="18"/>
  <c r="CS26" i="18"/>
  <c r="CT26" i="18" s="1"/>
  <c r="CL26" i="18"/>
  <c r="CV26" i="18" s="1"/>
  <c r="CW26" i="18" s="1"/>
  <c r="DB26" i="18" s="1"/>
  <c r="BU33" i="18"/>
  <c r="BW33" i="18" s="1"/>
  <c r="BH35" i="18"/>
  <c r="BR35" i="18" s="1"/>
  <c r="BS35" i="18" s="1"/>
  <c r="BX35" i="18" s="1"/>
  <c r="BU35" i="18"/>
  <c r="BW35" i="18" s="1"/>
  <c r="CU37" i="18"/>
  <c r="DB37" i="18"/>
  <c r="DC37" i="18" s="1"/>
  <c r="BU39" i="18"/>
  <c r="BW39" i="18" s="1"/>
  <c r="BU42" i="18"/>
  <c r="BW42" i="18" s="1"/>
  <c r="DB45" i="18"/>
  <c r="DC45" i="18" s="1"/>
  <c r="CX46" i="18"/>
  <c r="DH46" i="18" s="1"/>
  <c r="DI46" i="18" s="1"/>
  <c r="DN46" i="18" s="1"/>
  <c r="BU41" i="18"/>
  <c r="BW41" i="18" s="1"/>
  <c r="BH41" i="18"/>
  <c r="BR41" i="18" s="1"/>
  <c r="BS41" i="18" s="1"/>
  <c r="BX41" i="18" s="1"/>
  <c r="BY41" i="18" s="1"/>
  <c r="DE51" i="18"/>
  <c r="DF51" i="18" s="1"/>
  <c r="DK51" i="18" s="1"/>
  <c r="DM51" i="18" s="1"/>
  <c r="CT22" i="18"/>
  <c r="CY22" i="18" s="1"/>
  <c r="DA22" i="18" s="1"/>
  <c r="BP30" i="18"/>
  <c r="CU40" i="18"/>
  <c r="DB40" i="18"/>
  <c r="DC40" i="18" s="1"/>
  <c r="CX41" i="18"/>
  <c r="DH41" i="18" s="1"/>
  <c r="DI41" i="18" s="1"/>
  <c r="DN41" i="18" s="1"/>
  <c r="DK41" i="18"/>
  <c r="DM41" i="18" s="1"/>
  <c r="DE49" i="18"/>
  <c r="DF49" i="18" s="1"/>
  <c r="CL6" i="18"/>
  <c r="CV6" i="18" s="1"/>
  <c r="CW6" i="18" s="1"/>
  <c r="DB6" i="18" s="1"/>
  <c r="P28" i="18"/>
  <c r="T54" i="18"/>
  <c r="T52" i="18"/>
  <c r="J25" i="18" s="1"/>
  <c r="S52" i="18"/>
  <c r="J24" i="18" s="1"/>
  <c r="S54" i="18"/>
  <c r="R54" i="18"/>
  <c r="BC25" i="18"/>
  <c r="BD25" i="18" s="1"/>
  <c r="AV25" i="18"/>
  <c r="BF25" i="18" s="1"/>
  <c r="BG25" i="18" s="1"/>
  <c r="BL25" i="18" s="1"/>
  <c r="BM25" i="18" s="1"/>
  <c r="DE42" i="18"/>
  <c r="DF42" i="18" s="1"/>
  <c r="DK42" i="18" s="1"/>
  <c r="DM42" i="18" s="1"/>
  <c r="CX42" i="18"/>
  <c r="DH42" i="18" s="1"/>
  <c r="DI42" i="18" s="1"/>
  <c r="BU51" i="18"/>
  <c r="BW51" i="18" s="1"/>
  <c r="BO51" i="18"/>
  <c r="BP51" i="18" s="1"/>
  <c r="CX50" i="18"/>
  <c r="DH50" i="18" s="1"/>
  <c r="DI50" i="18" s="1"/>
  <c r="BH38" i="18"/>
  <c r="BR38" i="18" s="1"/>
  <c r="BS38" i="18" s="1"/>
  <c r="BX38" i="18" s="1"/>
  <c r="BY38" i="18" s="1"/>
  <c r="CX38" i="18"/>
  <c r="DH38" i="18" s="1"/>
  <c r="DI38" i="18" s="1"/>
  <c r="DN38" i="18" s="1"/>
  <c r="BU29" i="18"/>
  <c r="BW29" i="18" s="1"/>
  <c r="BH29" i="18"/>
  <c r="BR29" i="18" s="1"/>
  <c r="BS29" i="18" s="1"/>
  <c r="BX29" i="18" s="1"/>
  <c r="BY29" i="18" s="1"/>
  <c r="B64" i="18"/>
  <c r="CY15" i="18"/>
  <c r="DA15" i="18" s="1"/>
  <c r="K9" i="17"/>
  <c r="F25" i="17" s="1"/>
  <c r="CX44" i="17"/>
  <c r="DH44" i="17" s="1"/>
  <c r="DI44" i="17" s="1"/>
  <c r="DN44" i="17" s="1"/>
  <c r="DE44" i="17"/>
  <c r="DF44" i="17" s="1"/>
  <c r="DK44" i="17" s="1"/>
  <c r="DM44" i="17" s="1"/>
  <c r="BD8" i="17"/>
  <c r="DK33" i="17"/>
  <c r="DM33" i="17" s="1"/>
  <c r="DF34" i="17"/>
  <c r="DK34" i="17"/>
  <c r="DM34" i="17" s="1"/>
  <c r="DF39" i="17"/>
  <c r="CY17" i="17"/>
  <c r="DA17" i="17" s="1"/>
  <c r="CT22" i="17"/>
  <c r="DB22" i="17" s="1"/>
  <c r="DC22" i="17" s="1"/>
  <c r="CY22" i="17"/>
  <c r="DA22" i="17" s="1"/>
  <c r="DN33" i="17"/>
  <c r="DN34" i="17"/>
  <c r="DO34" i="17" s="1"/>
  <c r="DF38" i="17"/>
  <c r="DK38" i="17" s="1"/>
  <c r="DM38" i="17" s="1"/>
  <c r="DK50" i="17"/>
  <c r="DM50" i="17" s="1"/>
  <c r="BM17" i="17"/>
  <c r="DB17" i="17"/>
  <c r="CY21" i="17"/>
  <c r="DA21" i="17" s="1"/>
  <c r="I9" i="17"/>
  <c r="F24" i="17" s="1"/>
  <c r="BD17" i="17"/>
  <c r="BU41" i="17"/>
  <c r="BW41" i="17" s="1"/>
  <c r="BO41" i="17"/>
  <c r="BP41" i="17" s="1"/>
  <c r="BH41" i="17"/>
  <c r="BR41" i="17" s="1"/>
  <c r="BS41" i="17" s="1"/>
  <c r="BX41" i="17" s="1"/>
  <c r="BI18" i="17"/>
  <c r="BK18" i="17" s="1"/>
  <c r="AV18" i="17"/>
  <c r="BF18" i="17" s="1"/>
  <c r="BG18" i="17" s="1"/>
  <c r="BL18" i="17" s="1"/>
  <c r="BM18" i="17" s="1"/>
  <c r="BC18" i="17"/>
  <c r="BD18" i="17" s="1"/>
  <c r="DN36" i="17"/>
  <c r="DO36" i="17" s="1"/>
  <c r="DK37" i="17"/>
  <c r="DM37" i="17" s="1"/>
  <c r="BY44" i="17"/>
  <c r="O28" i="17"/>
  <c r="DB21" i="17"/>
  <c r="DC21" i="17" s="1"/>
  <c r="DK36" i="17"/>
  <c r="DM36" i="17" s="1"/>
  <c r="O6" i="17"/>
  <c r="CI15" i="17"/>
  <c r="AV16" i="17"/>
  <c r="BF16" i="17" s="1"/>
  <c r="BG16" i="17" s="1"/>
  <c r="BL16" i="17" s="1"/>
  <c r="CL24" i="17"/>
  <c r="CV24" i="17" s="1"/>
  <c r="CW24" i="17" s="1"/>
  <c r="BE30" i="17"/>
  <c r="BH39" i="17"/>
  <c r="BR39" i="17" s="1"/>
  <c r="BS39" i="17" s="1"/>
  <c r="BX39" i="17" s="1"/>
  <c r="BY39" i="17" s="1"/>
  <c r="B64" i="17"/>
  <c r="B28" i="17"/>
  <c r="E28" i="17" s="1"/>
  <c r="BI21" i="17"/>
  <c r="BK21" i="17" s="1"/>
  <c r="AV21" i="17"/>
  <c r="BF21" i="17" s="1"/>
  <c r="BG21" i="17" s="1"/>
  <c r="BL21" i="17" s="1"/>
  <c r="BM21" i="17" s="1"/>
  <c r="P28" i="17"/>
  <c r="DE29" i="17"/>
  <c r="DF29" i="17" s="1"/>
  <c r="DN29" i="17" s="1"/>
  <c r="DF33" i="17"/>
  <c r="T54" i="17"/>
  <c r="S54" i="17"/>
  <c r="R54" i="17"/>
  <c r="T52" i="17"/>
  <c r="J25" i="17" s="1"/>
  <c r="CX46" i="17"/>
  <c r="DH46" i="17" s="1"/>
  <c r="DI46" i="17" s="1"/>
  <c r="DE46" i="17"/>
  <c r="DF46" i="17" s="1"/>
  <c r="DK46" i="17" s="1"/>
  <c r="DM46" i="17" s="1"/>
  <c r="CL7" i="17"/>
  <c r="CV7" i="17" s="1"/>
  <c r="CW7" i="17" s="1"/>
  <c r="CL9" i="17"/>
  <c r="CV9" i="17" s="1"/>
  <c r="CW9" i="17" s="1"/>
  <c r="BE42" i="17"/>
  <c r="CX48" i="17"/>
  <c r="DH48" i="17" s="1"/>
  <c r="DI48" i="17" s="1"/>
  <c r="DN48" i="17" s="1"/>
  <c r="B46" i="17"/>
  <c r="G55" i="17"/>
  <c r="H49" i="17" s="1"/>
  <c r="B49" i="17" s="1"/>
  <c r="E49" i="17" s="1"/>
  <c r="CI6" i="17"/>
  <c r="AS14" i="17"/>
  <c r="CI19" i="17"/>
  <c r="AS20" i="17"/>
  <c r="CP20" i="17"/>
  <c r="CQ20" i="17" s="1"/>
  <c r="BC21" i="17"/>
  <c r="BD21" i="17" s="1"/>
  <c r="DB35" i="17"/>
  <c r="DC35" i="17" s="1"/>
  <c r="DB40" i="17"/>
  <c r="DC40" i="17" s="1"/>
  <c r="S52" i="17"/>
  <c r="DF48" i="17"/>
  <c r="CI8" i="17"/>
  <c r="BH36" i="17"/>
  <c r="BR36" i="17" s="1"/>
  <c r="BS36" i="17" s="1"/>
  <c r="BX36" i="17" s="1"/>
  <c r="CX38" i="17"/>
  <c r="DH38" i="17" s="1"/>
  <c r="DI38" i="17" s="1"/>
  <c r="CP9" i="17"/>
  <c r="CQ9" i="17" s="1"/>
  <c r="CY9" i="17" s="1"/>
  <c r="DA9" i="17" s="1"/>
  <c r="CS20" i="17"/>
  <c r="CS24" i="17"/>
  <c r="CT24" i="17" s="1"/>
  <c r="CY24" i="17" s="1"/>
  <c r="DA24" i="17" s="1"/>
  <c r="AV26" i="17"/>
  <c r="BF26" i="17" s="1"/>
  <c r="BG26" i="17" s="1"/>
  <c r="BL26" i="17" s="1"/>
  <c r="BM26" i="17" s="1"/>
  <c r="AS27" i="17"/>
  <c r="CP27" i="17"/>
  <c r="CQ27" i="17" s="1"/>
  <c r="BE29" i="17"/>
  <c r="BU49" i="17"/>
  <c r="BW49" i="17" s="1"/>
  <c r="BY49" i="17" s="1"/>
  <c r="CU51" i="17"/>
  <c r="BI24" i="17"/>
  <c r="BK24" i="17" s="1"/>
  <c r="CL26" i="17"/>
  <c r="CV26" i="17" s="1"/>
  <c r="CW26" i="17" s="1"/>
  <c r="DB26" i="17" s="1"/>
  <c r="AS6" i="17"/>
  <c r="AV8" i="17"/>
  <c r="BF8" i="17" s="1"/>
  <c r="BG8" i="17" s="1"/>
  <c r="BL8" i="17" s="1"/>
  <c r="BI16" i="17"/>
  <c r="BK16" i="17" s="1"/>
  <c r="CX31" i="17"/>
  <c r="DH31" i="17" s="1"/>
  <c r="DI31" i="17" s="1"/>
  <c r="DN31" i="17" s="1"/>
  <c r="BH40" i="17"/>
  <c r="BR40" i="17" s="1"/>
  <c r="BS40" i="17" s="1"/>
  <c r="BX40" i="17" s="1"/>
  <c r="BU40" i="17"/>
  <c r="BW40" i="17" s="1"/>
  <c r="DE40" i="17"/>
  <c r="DF40" i="17" s="1"/>
  <c r="DN40" i="17" s="1"/>
  <c r="CX43" i="17"/>
  <c r="DH43" i="17" s="1"/>
  <c r="DI43" i="17" s="1"/>
  <c r="BL46" i="17"/>
  <c r="BM46" i="17" s="1"/>
  <c r="BE50" i="17"/>
  <c r="DN37" i="17"/>
  <c r="DN39" i="17"/>
  <c r="BU44" i="17"/>
  <c r="BW44" i="17" s="1"/>
  <c r="AV24" i="17"/>
  <c r="BF24" i="17" s="1"/>
  <c r="BG24" i="17" s="1"/>
  <c r="BL24" i="17" s="1"/>
  <c r="BM24" i="17" s="1"/>
  <c r="CX45" i="17"/>
  <c r="DH45" i="17" s="1"/>
  <c r="DI45" i="17" s="1"/>
  <c r="DN45" i="17" s="1"/>
  <c r="AZ7" i="17"/>
  <c r="BA7" i="17" s="1"/>
  <c r="AZ9" i="17"/>
  <c r="BA9" i="17" s="1"/>
  <c r="CS9" i="17"/>
  <c r="CT9" i="17" s="1"/>
  <c r="CS14" i="17"/>
  <c r="CT14" i="17" s="1"/>
  <c r="CY14" i="17" s="1"/>
  <c r="DA14" i="17" s="1"/>
  <c r="AS19" i="17"/>
  <c r="BI23" i="17"/>
  <c r="BK23" i="17" s="1"/>
  <c r="BM23" i="17" s="1"/>
  <c r="CS27" i="17"/>
  <c r="CL28" i="17"/>
  <c r="CV28" i="17" s="1"/>
  <c r="CW28" i="17" s="1"/>
  <c r="BE38" i="17"/>
  <c r="CU41" i="17"/>
  <c r="BE45" i="17"/>
  <c r="BH48" i="17"/>
  <c r="BR48" i="17" s="1"/>
  <c r="BS48" i="17" s="1"/>
  <c r="BX48" i="17" s="1"/>
  <c r="BY48" i="17" s="1"/>
  <c r="CL14" i="17"/>
  <c r="CV14" i="17" s="1"/>
  <c r="CW14" i="17" s="1"/>
  <c r="BP46" i="17"/>
  <c r="AS15" i="17"/>
  <c r="BO39" i="17"/>
  <c r="BP39" i="17" s="1"/>
  <c r="CS7" i="17"/>
  <c r="CT7" i="17" s="1"/>
  <c r="CY7" i="17" s="1"/>
  <c r="DA7" i="17" s="1"/>
  <c r="G17" i="17"/>
  <c r="BC24" i="17"/>
  <c r="BD24" i="17" s="1"/>
  <c r="CS26" i="17"/>
  <c r="CT26" i="17" s="1"/>
  <c r="CY26" i="17" s="1"/>
  <c r="DA26" i="17" s="1"/>
  <c r="BO32" i="17"/>
  <c r="BP32" i="17" s="1"/>
  <c r="DK39" i="17"/>
  <c r="DM39" i="17" s="1"/>
  <c r="BO44" i="17"/>
  <c r="BP44" i="17" s="1"/>
  <c r="DE45" i="17"/>
  <c r="DF45" i="17" s="1"/>
  <c r="DK45" i="17" s="1"/>
  <c r="DM45" i="17" s="1"/>
  <c r="BU46" i="17"/>
  <c r="BW46" i="17" s="1"/>
  <c r="DK48" i="17"/>
  <c r="DM48" i="17" s="1"/>
  <c r="BC9" i="17"/>
  <c r="BD9" i="17" s="1"/>
  <c r="CS25" i="17"/>
  <c r="CT25" i="17" s="1"/>
  <c r="CY25" i="17" s="1"/>
  <c r="DA25" i="17" s="1"/>
  <c r="CX50" i="17"/>
  <c r="DH50" i="17" s="1"/>
  <c r="DI50" i="17" s="1"/>
  <c r="DE50" i="17"/>
  <c r="DF50" i="17" s="1"/>
  <c r="BH46" i="17"/>
  <c r="BR46" i="17" s="1"/>
  <c r="BS46" i="17" s="1"/>
  <c r="BX46" i="17" s="1"/>
  <c r="BC25" i="17"/>
  <c r="BD25" i="17" s="1"/>
  <c r="AV28" i="17"/>
  <c r="BF28" i="17" s="1"/>
  <c r="BG28" i="17" s="1"/>
  <c r="BL28" i="17" s="1"/>
  <c r="BM28" i="17" s="1"/>
  <c r="CU30" i="17"/>
  <c r="BU32" i="17"/>
  <c r="BW32" i="17" s="1"/>
  <c r="BY32" i="17" s="1"/>
  <c r="BU36" i="17"/>
  <c r="BW36" i="17" s="1"/>
  <c r="BH43" i="17"/>
  <c r="BR43" i="17" s="1"/>
  <c r="BS43" i="17" s="1"/>
  <c r="BX43" i="17" s="1"/>
  <c r="BY43" i="17" s="1"/>
  <c r="BL48" i="17"/>
  <c r="BM48" i="17" s="1"/>
  <c r="BP48" i="17" s="1"/>
  <c r="CU49" i="17"/>
  <c r="CL18" i="17"/>
  <c r="CV18" i="17" s="1"/>
  <c r="CW18" i="17" s="1"/>
  <c r="DB18" i="17" s="1"/>
  <c r="B51" i="17"/>
  <c r="E51" i="17" s="1"/>
  <c r="CI16" i="17"/>
  <c r="DE31" i="17"/>
  <c r="DF31" i="17" s="1"/>
  <c r="BO40" i="17"/>
  <c r="BP40" i="17" s="1"/>
  <c r="DE43" i="17"/>
  <c r="DF43" i="17" s="1"/>
  <c r="DK43" i="17" s="1"/>
  <c r="DM43" i="17" s="1"/>
  <c r="BL51" i="17"/>
  <c r="BM51" i="17" s="1"/>
  <c r="BE51" i="17"/>
  <c r="CX35" i="17"/>
  <c r="DH35" i="17" s="1"/>
  <c r="DI35" i="17" s="1"/>
  <c r="BC7" i="17"/>
  <c r="BI8" i="17"/>
  <c r="BK8" i="17" s="1"/>
  <c r="CT23" i="17"/>
  <c r="CY23" i="17" s="1"/>
  <c r="DA23" i="17" s="1"/>
  <c r="CS28" i="17"/>
  <c r="CT28" i="17" s="1"/>
  <c r="CY28" i="17" s="1"/>
  <c r="DA28" i="17" s="1"/>
  <c r="BH37" i="17"/>
  <c r="BR37" i="17" s="1"/>
  <c r="BS37" i="17" s="1"/>
  <c r="BX37" i="17" s="1"/>
  <c r="BU37" i="17"/>
  <c r="BW37" i="17" s="1"/>
  <c r="CU42" i="17"/>
  <c r="BU48" i="17"/>
  <c r="BW48" i="17" s="1"/>
  <c r="R52" i="17"/>
  <c r="J23" i="17" s="1"/>
  <c r="U57" i="17"/>
  <c r="U59" i="17" s="1"/>
  <c r="R57" i="17"/>
  <c r="R59" i="17" s="1"/>
  <c r="CX32" i="17"/>
  <c r="DH32" i="17" s="1"/>
  <c r="DI32" i="17" s="1"/>
  <c r="DN32" i="17" s="1"/>
  <c r="J24" i="17"/>
  <c r="AS22" i="17"/>
  <c r="BE33" i="17"/>
  <c r="O28" i="16"/>
  <c r="DB7" i="16"/>
  <c r="DF37" i="16"/>
  <c r="DK40" i="16"/>
  <c r="DM40" i="16" s="1"/>
  <c r="DN37" i="16"/>
  <c r="DO40" i="16"/>
  <c r="DK37" i="16"/>
  <c r="DM37" i="16" s="1"/>
  <c r="CY28" i="16"/>
  <c r="DA28" i="16" s="1"/>
  <c r="BY32" i="16"/>
  <c r="CT16" i="16"/>
  <c r="DB16" i="16" s="1"/>
  <c r="DB28" i="16"/>
  <c r="DC28" i="16" s="1"/>
  <c r="DB8" i="16"/>
  <c r="BI15" i="16"/>
  <c r="BK15" i="16" s="1"/>
  <c r="N28" i="16"/>
  <c r="R31" i="16" s="1"/>
  <c r="J48" i="16" s="1"/>
  <c r="G9" i="16"/>
  <c r="O30" i="16"/>
  <c r="DE41" i="16"/>
  <c r="DF41" i="16" s="1"/>
  <c r="DN41" i="16" s="1"/>
  <c r="DO41" i="16" s="1"/>
  <c r="DK41" i="16"/>
  <c r="DM41" i="16" s="1"/>
  <c r="BY45" i="16"/>
  <c r="BM15" i="16"/>
  <c r="CY17" i="16"/>
  <c r="DA17" i="16" s="1"/>
  <c r="BI16" i="16"/>
  <c r="BK16" i="16" s="1"/>
  <c r="CU33" i="16"/>
  <c r="BU35" i="16"/>
  <c r="BW35" i="16" s="1"/>
  <c r="BH35" i="16"/>
  <c r="BR35" i="16" s="1"/>
  <c r="BS35" i="16" s="1"/>
  <c r="BX35" i="16" s="1"/>
  <c r="BY35" i="16" s="1"/>
  <c r="BL49" i="16"/>
  <c r="BM49" i="16" s="1"/>
  <c r="BE49" i="16"/>
  <c r="CY7" i="16"/>
  <c r="DA7" i="16" s="1"/>
  <c r="CI9" i="16"/>
  <c r="BM17" i="16"/>
  <c r="AS19" i="16"/>
  <c r="BI20" i="16"/>
  <c r="BK20" i="16" s="1"/>
  <c r="BC20" i="16"/>
  <c r="BD20" i="16" s="1"/>
  <c r="AS21" i="16"/>
  <c r="AZ22" i="16"/>
  <c r="BA22" i="16" s="1"/>
  <c r="AS22" i="16"/>
  <c r="CY23" i="16"/>
  <c r="DA23" i="16" s="1"/>
  <c r="CL25" i="16"/>
  <c r="CV25" i="16" s="1"/>
  <c r="CW25" i="16" s="1"/>
  <c r="DB25" i="16" s="1"/>
  <c r="CL26" i="16"/>
  <c r="CV26" i="16" s="1"/>
  <c r="CW26" i="16" s="1"/>
  <c r="BY31" i="16"/>
  <c r="BU44" i="16"/>
  <c r="BW44" i="16" s="1"/>
  <c r="BO44" i="16"/>
  <c r="BP44" i="16" s="1"/>
  <c r="BH44" i="16"/>
  <c r="BR44" i="16" s="1"/>
  <c r="BS44" i="16" s="1"/>
  <c r="BX44" i="16" s="1"/>
  <c r="CY14" i="16"/>
  <c r="DA14" i="16" s="1"/>
  <c r="AV20" i="16"/>
  <c r="BF20" i="16" s="1"/>
  <c r="BG20" i="16" s="1"/>
  <c r="BL20" i="16" s="1"/>
  <c r="BM20" i="16" s="1"/>
  <c r="CL23" i="16"/>
  <c r="CV23" i="16" s="1"/>
  <c r="CW23" i="16" s="1"/>
  <c r="CU32" i="16"/>
  <c r="DB32" i="16"/>
  <c r="DC32" i="16" s="1"/>
  <c r="DE44" i="16"/>
  <c r="DF44" i="16" s="1"/>
  <c r="DK44" i="16" s="1"/>
  <c r="DM44" i="16" s="1"/>
  <c r="CX44" i="16"/>
  <c r="DH44" i="16" s="1"/>
  <c r="DI44" i="16" s="1"/>
  <c r="DN44" i="16" s="1"/>
  <c r="BU51" i="16"/>
  <c r="BW51" i="16" s="1"/>
  <c r="BO51" i="16"/>
  <c r="BP51" i="16" s="1"/>
  <c r="BH51" i="16"/>
  <c r="BR51" i="16" s="1"/>
  <c r="BS51" i="16" s="1"/>
  <c r="BX51" i="16" s="1"/>
  <c r="BY51" i="16" s="1"/>
  <c r="BI27" i="16"/>
  <c r="BK27" i="16" s="1"/>
  <c r="BM27" i="16" s="1"/>
  <c r="BC27" i="16"/>
  <c r="BD27" i="16" s="1"/>
  <c r="K9" i="16"/>
  <c r="F25" i="16" s="1"/>
  <c r="AV16" i="16"/>
  <c r="BF16" i="16" s="1"/>
  <c r="BG16" i="16" s="1"/>
  <c r="BL16" i="16" s="1"/>
  <c r="CY8" i="16"/>
  <c r="DA8" i="16" s="1"/>
  <c r="BC16" i="16"/>
  <c r="BD16" i="16" s="1"/>
  <c r="AS18" i="16"/>
  <c r="AZ18" i="16"/>
  <c r="BA18" i="16" s="1"/>
  <c r="CS27" i="16"/>
  <c r="CT27" i="16" s="1"/>
  <c r="CY27" i="16" s="1"/>
  <c r="DA27" i="16" s="1"/>
  <c r="BU34" i="16"/>
  <c r="BW34" i="16" s="1"/>
  <c r="BO34" i="16"/>
  <c r="BP34" i="16" s="1"/>
  <c r="BO35" i="16"/>
  <c r="BP35" i="16" s="1"/>
  <c r="BP43" i="16"/>
  <c r="BP46" i="16"/>
  <c r="BE48" i="16"/>
  <c r="BY38" i="16"/>
  <c r="CL27" i="16"/>
  <c r="CV27" i="16" s="1"/>
  <c r="CW27" i="16" s="1"/>
  <c r="BH34" i="16"/>
  <c r="BR34" i="16" s="1"/>
  <c r="BS34" i="16" s="1"/>
  <c r="BX34" i="16" s="1"/>
  <c r="DB51" i="16"/>
  <c r="DC51" i="16" s="1"/>
  <c r="CU51" i="16"/>
  <c r="I9" i="16"/>
  <c r="F24" i="16" s="1"/>
  <c r="BD25" i="16"/>
  <c r="BD7" i="16"/>
  <c r="CS26" i="16"/>
  <c r="CT26" i="16" s="1"/>
  <c r="CY26" i="16" s="1"/>
  <c r="DA26" i="16" s="1"/>
  <c r="AV28" i="16"/>
  <c r="BF28" i="16" s="1"/>
  <c r="BG28" i="16" s="1"/>
  <c r="BL28" i="16" s="1"/>
  <c r="BI28" i="16"/>
  <c r="BK28" i="16" s="1"/>
  <c r="CS19" i="16"/>
  <c r="CT19" i="16" s="1"/>
  <c r="CY19" i="16" s="1"/>
  <c r="DA19" i="16" s="1"/>
  <c r="CS23" i="16"/>
  <c r="CT23" i="16" s="1"/>
  <c r="DE48" i="16"/>
  <c r="DF48" i="16" s="1"/>
  <c r="DK48" i="16" s="1"/>
  <c r="DM48" i="16" s="1"/>
  <c r="CX48" i="16"/>
  <c r="DH48" i="16" s="1"/>
  <c r="DI48" i="16" s="1"/>
  <c r="DN48" i="16" s="1"/>
  <c r="AV8" i="16"/>
  <c r="BF8" i="16" s="1"/>
  <c r="BG8" i="16" s="1"/>
  <c r="BL8" i="16" s="1"/>
  <c r="BM8" i="16" s="1"/>
  <c r="DB14" i="16"/>
  <c r="DC14" i="16" s="1"/>
  <c r="CI21" i="16"/>
  <c r="BE33" i="16"/>
  <c r="DE34" i="16"/>
  <c r="DF34" i="16" s="1"/>
  <c r="DK34" i="16" s="1"/>
  <c r="DM34" i="16" s="1"/>
  <c r="CT17" i="16"/>
  <c r="BC15" i="16"/>
  <c r="BD15" i="16" s="1"/>
  <c r="CS20" i="16"/>
  <c r="CT20" i="16" s="1"/>
  <c r="CY20" i="16" s="1"/>
  <c r="DA20" i="16" s="1"/>
  <c r="J25" i="16"/>
  <c r="CS18" i="16"/>
  <c r="CT18" i="16" s="1"/>
  <c r="DB18" i="16" s="1"/>
  <c r="CL20" i="16"/>
  <c r="CV20" i="16" s="1"/>
  <c r="CW20" i="16" s="1"/>
  <c r="DB20" i="16" s="1"/>
  <c r="BI25" i="16"/>
  <c r="BK25" i="16" s="1"/>
  <c r="CX34" i="16"/>
  <c r="DH34" i="16" s="1"/>
  <c r="DI34" i="16" s="1"/>
  <c r="DN45" i="16"/>
  <c r="BP50" i="16"/>
  <c r="R59" i="16"/>
  <c r="CL19" i="16"/>
  <c r="CV19" i="16" s="1"/>
  <c r="CW19" i="16" s="1"/>
  <c r="BI9" i="16"/>
  <c r="BK9" i="16" s="1"/>
  <c r="BM9" i="16" s="1"/>
  <c r="BC9" i="16"/>
  <c r="BD9" i="16" s="1"/>
  <c r="DB17" i="16"/>
  <c r="DC17" i="16" s="1"/>
  <c r="BC23" i="16"/>
  <c r="BD23" i="16" s="1"/>
  <c r="BI23" i="16"/>
  <c r="BK23" i="16" s="1"/>
  <c r="BM23" i="16" s="1"/>
  <c r="CP24" i="16"/>
  <c r="CQ24" i="16" s="1"/>
  <c r="CI24" i="16"/>
  <c r="AV25" i="16"/>
  <c r="BF25" i="16" s="1"/>
  <c r="BG25" i="16" s="1"/>
  <c r="BL25" i="16" s="1"/>
  <c r="BM25" i="16" s="1"/>
  <c r="BC26" i="16"/>
  <c r="BD26" i="16" s="1"/>
  <c r="AV26" i="16"/>
  <c r="BF26" i="16" s="1"/>
  <c r="BG26" i="16" s="1"/>
  <c r="BL26" i="16" s="1"/>
  <c r="BI26" i="16"/>
  <c r="BK26" i="16" s="1"/>
  <c r="DK39" i="16"/>
  <c r="DM39" i="16" s="1"/>
  <c r="DO39" i="16" s="1"/>
  <c r="DK42" i="16"/>
  <c r="DM42" i="16" s="1"/>
  <c r="DO42" i="16" s="1"/>
  <c r="B51" i="16"/>
  <c r="E51" i="16" s="1"/>
  <c r="G55" i="16"/>
  <c r="H49" i="16" s="1"/>
  <c r="B49" i="16" s="1"/>
  <c r="E49" i="16" s="1"/>
  <c r="B46" i="16"/>
  <c r="BP45" i="16"/>
  <c r="CU30" i="16"/>
  <c r="BH41" i="16"/>
  <c r="BR41" i="16" s="1"/>
  <c r="BS41" i="16" s="1"/>
  <c r="BX41" i="16" s="1"/>
  <c r="BY41" i="16" s="1"/>
  <c r="B65" i="16"/>
  <c r="E65" i="16" s="1"/>
  <c r="CI22" i="16"/>
  <c r="AS24" i="16"/>
  <c r="CU29" i="16"/>
  <c r="CX50" i="16"/>
  <c r="DH50" i="16" s="1"/>
  <c r="DI50" i="16" s="1"/>
  <c r="AS6" i="16"/>
  <c r="CI6" i="16"/>
  <c r="BE30" i="16"/>
  <c r="BL32" i="16"/>
  <c r="BM32" i="16" s="1"/>
  <c r="BU43" i="16"/>
  <c r="BW43" i="16" s="1"/>
  <c r="BY43" i="16" s="1"/>
  <c r="DB50" i="16"/>
  <c r="DC50" i="16" s="1"/>
  <c r="BH29" i="16"/>
  <c r="BR29" i="16" s="1"/>
  <c r="BS29" i="16" s="1"/>
  <c r="BX29" i="16" s="1"/>
  <c r="BY29" i="16" s="1"/>
  <c r="DB31" i="16"/>
  <c r="DC31" i="16" s="1"/>
  <c r="BO32" i="16"/>
  <c r="BP32" i="16" s="1"/>
  <c r="CX35" i="16"/>
  <c r="DH35" i="16" s="1"/>
  <c r="DI35" i="16" s="1"/>
  <c r="DN35" i="16" s="1"/>
  <c r="CU36" i="16"/>
  <c r="DE38" i="16"/>
  <c r="CX38" i="16"/>
  <c r="DH38" i="16" s="1"/>
  <c r="DI38" i="16" s="1"/>
  <c r="BH40" i="16"/>
  <c r="BR40" i="16" s="1"/>
  <c r="BS40" i="16" s="1"/>
  <c r="BX40" i="16" s="1"/>
  <c r="BY40" i="16" s="1"/>
  <c r="DE50" i="16"/>
  <c r="R54" i="16"/>
  <c r="T54" i="16"/>
  <c r="BH50" i="16"/>
  <c r="BR50" i="16" s="1"/>
  <c r="BS50" i="16" s="1"/>
  <c r="BX50" i="16" s="1"/>
  <c r="BU50" i="16"/>
  <c r="BW50" i="16" s="1"/>
  <c r="BO41" i="16"/>
  <c r="BP41" i="16" s="1"/>
  <c r="DE43" i="16"/>
  <c r="DF43" i="16" s="1"/>
  <c r="DK43" i="16" s="1"/>
  <c r="DM43" i="16" s="1"/>
  <c r="CX46" i="16"/>
  <c r="DH46" i="16" s="1"/>
  <c r="DI46" i="16" s="1"/>
  <c r="DN46" i="16" s="1"/>
  <c r="CU49" i="16"/>
  <c r="BL31" i="16"/>
  <c r="BM31" i="16" s="1"/>
  <c r="BP31" i="16" s="1"/>
  <c r="DE31" i="16"/>
  <c r="R52" i="16"/>
  <c r="J23" i="16" s="1"/>
  <c r="CL15" i="16"/>
  <c r="CV15" i="16" s="1"/>
  <c r="CW15" i="16" s="1"/>
  <c r="DB15" i="16" s="1"/>
  <c r="BU32" i="16"/>
  <c r="BW32" i="16" s="1"/>
  <c r="BH36" i="16"/>
  <c r="BR36" i="16" s="1"/>
  <c r="BS36" i="16" s="1"/>
  <c r="BX36" i="16" s="1"/>
  <c r="BY36" i="16" s="1"/>
  <c r="DB38" i="16"/>
  <c r="DC38" i="16" s="1"/>
  <c r="BE42" i="16"/>
  <c r="BU46" i="16"/>
  <c r="BW46" i="16" s="1"/>
  <c r="BY46" i="16" s="1"/>
  <c r="S52" i="16"/>
  <c r="J24" i="16" s="1"/>
  <c r="BP38" i="16"/>
  <c r="DF45" i="16"/>
  <c r="DK45" i="16" s="1"/>
  <c r="DM45" i="16" s="1"/>
  <c r="P40" i="15"/>
  <c r="G84" i="12"/>
  <c r="G85" i="5"/>
  <c r="H87" i="9"/>
  <c r="F37" i="19" l="1"/>
  <c r="L42" i="19"/>
  <c r="L41" i="19"/>
  <c r="P41" i="19"/>
  <c r="I38" i="19"/>
  <c r="I37" i="19"/>
  <c r="G38" i="19"/>
  <c r="P42" i="19"/>
  <c r="L40" i="19"/>
  <c r="F38" i="19"/>
  <c r="J38" i="19"/>
  <c r="H38" i="19"/>
  <c r="H37" i="19"/>
  <c r="J37" i="19"/>
  <c r="D45" i="19"/>
  <c r="D32" i="19"/>
  <c r="D33" i="19" s="1"/>
  <c r="H56" i="19"/>
  <c r="H57" i="19" s="1"/>
  <c r="F67" i="19"/>
  <c r="CX37" i="18"/>
  <c r="DH37" i="18" s="1"/>
  <c r="DI37" i="18" s="1"/>
  <c r="DE37" i="18"/>
  <c r="DF37" i="18" s="1"/>
  <c r="DK37" i="18" s="1"/>
  <c r="DM37" i="18" s="1"/>
  <c r="DK49" i="18"/>
  <c r="DM49" i="18" s="1"/>
  <c r="DO49" i="18" s="1"/>
  <c r="BH37" i="18"/>
  <c r="BR37" i="18" s="1"/>
  <c r="BS37" i="18" s="1"/>
  <c r="BX37" i="18" s="1"/>
  <c r="BU37" i="18"/>
  <c r="BW37" i="18" s="1"/>
  <c r="BO37" i="18"/>
  <c r="BP37" i="18" s="1"/>
  <c r="BC14" i="18"/>
  <c r="BD14" i="18" s="1"/>
  <c r="BI14" i="18"/>
  <c r="BK14" i="18" s="1"/>
  <c r="AV14" i="18"/>
  <c r="BF14" i="18" s="1"/>
  <c r="BG14" i="18" s="1"/>
  <c r="BL14" i="18" s="1"/>
  <c r="BM14" i="18" s="1"/>
  <c r="DN44" i="18"/>
  <c r="DO44" i="18" s="1"/>
  <c r="DB22" i="18"/>
  <c r="DC22" i="18" s="1"/>
  <c r="CS21" i="18"/>
  <c r="CT21" i="18" s="1"/>
  <c r="CY21" i="18" s="1"/>
  <c r="DA21" i="18" s="1"/>
  <c r="CL21" i="18"/>
  <c r="CV21" i="18" s="1"/>
  <c r="CW21" i="18" s="1"/>
  <c r="DB21" i="18" s="1"/>
  <c r="CX40" i="18"/>
  <c r="DH40" i="18" s="1"/>
  <c r="DI40" i="18" s="1"/>
  <c r="DE40" i="18"/>
  <c r="DF40" i="18" s="1"/>
  <c r="DK40" i="18" s="1"/>
  <c r="DM40" i="18" s="1"/>
  <c r="BI16" i="18"/>
  <c r="BK16" i="18" s="1"/>
  <c r="AV16" i="18"/>
  <c r="BF16" i="18" s="1"/>
  <c r="BG16" i="18" s="1"/>
  <c r="BL16" i="18" s="1"/>
  <c r="BM16" i="18" s="1"/>
  <c r="BC16" i="18"/>
  <c r="BD16" i="18" s="1"/>
  <c r="E64" i="18"/>
  <c r="B65" i="18"/>
  <c r="E65" i="18" s="1"/>
  <c r="CY8" i="18"/>
  <c r="DA8" i="18" s="1"/>
  <c r="DC8" i="18" s="1"/>
  <c r="DO31" i="18"/>
  <c r="DN51" i="18"/>
  <c r="DO51" i="18" s="1"/>
  <c r="DO29" i="18"/>
  <c r="E46" i="18"/>
  <c r="DC23" i="18"/>
  <c r="B24" i="18"/>
  <c r="E24" i="18" s="1"/>
  <c r="B47" i="18"/>
  <c r="E47" i="18" s="1"/>
  <c r="B36" i="18"/>
  <c r="B29" i="18"/>
  <c r="E29" i="18" s="1"/>
  <c r="BY35" i="18"/>
  <c r="BI7" i="18"/>
  <c r="BK7" i="18" s="1"/>
  <c r="BC7" i="18"/>
  <c r="BD7" i="18" s="1"/>
  <c r="AV7" i="18"/>
  <c r="BF7" i="18" s="1"/>
  <c r="BG7" i="18" s="1"/>
  <c r="BL7" i="18" s="1"/>
  <c r="CY26" i="18"/>
  <c r="DA26" i="18" s="1"/>
  <c r="CS18" i="18"/>
  <c r="CT18" i="18" s="1"/>
  <c r="CY18" i="18" s="1"/>
  <c r="DA18" i="18" s="1"/>
  <c r="CL18" i="18"/>
  <c r="CV18" i="18" s="1"/>
  <c r="CW18" i="18" s="1"/>
  <c r="BY46" i="18"/>
  <c r="DO43" i="18"/>
  <c r="DO32" i="18"/>
  <c r="CY25" i="18"/>
  <c r="DA25" i="18" s="1"/>
  <c r="DC25" i="18" s="1"/>
  <c r="DB28" i="18"/>
  <c r="DC28" i="18" s="1"/>
  <c r="DO39" i="18"/>
  <c r="CY20" i="18"/>
  <c r="DA20" i="18" s="1"/>
  <c r="DC20" i="18" s="1"/>
  <c r="BM17" i="18"/>
  <c r="O30" i="18"/>
  <c r="G9" i="18"/>
  <c r="N28" i="18"/>
  <c r="P31" i="18" s="1"/>
  <c r="J46" i="18" s="1"/>
  <c r="CL24" i="18"/>
  <c r="CV24" i="18" s="1"/>
  <c r="CW24" i="18" s="1"/>
  <c r="CS24" i="18"/>
  <c r="CT24" i="18" s="1"/>
  <c r="CY24" i="18"/>
  <c r="DA24" i="18" s="1"/>
  <c r="BP45" i="18"/>
  <c r="DK38" i="18"/>
  <c r="DM38" i="18" s="1"/>
  <c r="DO38" i="18" s="1"/>
  <c r="B25" i="18"/>
  <c r="E25" i="18" s="1"/>
  <c r="DN50" i="18"/>
  <c r="DO50" i="18" s="1"/>
  <c r="DC6" i="18"/>
  <c r="DK46" i="18"/>
  <c r="DM46" i="18" s="1"/>
  <c r="BC28" i="18"/>
  <c r="BD28" i="18" s="1"/>
  <c r="AV28" i="18"/>
  <c r="BF28" i="18" s="1"/>
  <c r="BG28" i="18" s="1"/>
  <c r="BL28" i="18" s="1"/>
  <c r="BI28" i="18"/>
  <c r="BK28" i="18" s="1"/>
  <c r="DO33" i="18"/>
  <c r="DO46" i="18"/>
  <c r="CT19" i="18"/>
  <c r="DB19" i="18" s="1"/>
  <c r="DN45" i="18"/>
  <c r="DO45" i="18" s="1"/>
  <c r="BI21" i="18"/>
  <c r="BK21" i="18" s="1"/>
  <c r="BC21" i="18"/>
  <c r="BD21" i="18" s="1"/>
  <c r="AV21" i="18"/>
  <c r="BF21" i="18" s="1"/>
  <c r="BG21" i="18" s="1"/>
  <c r="BL21" i="18" s="1"/>
  <c r="BM21" i="18" s="1"/>
  <c r="DE34" i="18"/>
  <c r="DF34" i="18" s="1"/>
  <c r="CX34" i="18"/>
  <c r="DH34" i="18" s="1"/>
  <c r="DI34" i="18" s="1"/>
  <c r="DN34" i="18" s="1"/>
  <c r="DC17" i="18"/>
  <c r="DC26" i="18"/>
  <c r="DF45" i="18"/>
  <c r="DK45" i="18" s="1"/>
  <c r="DM45" i="18" s="1"/>
  <c r="BI9" i="18"/>
  <c r="BK9" i="18" s="1"/>
  <c r="BC9" i="18"/>
  <c r="BD9" i="18" s="1"/>
  <c r="AV9" i="18"/>
  <c r="BF9" i="18" s="1"/>
  <c r="BG9" i="18" s="1"/>
  <c r="BL9" i="18" s="1"/>
  <c r="BM9" i="18" s="1"/>
  <c r="BI24" i="18"/>
  <c r="BK24" i="18" s="1"/>
  <c r="AV24" i="18"/>
  <c r="BF24" i="18" s="1"/>
  <c r="BG24" i="18" s="1"/>
  <c r="BL24" i="18" s="1"/>
  <c r="BM24" i="18" s="1"/>
  <c r="BC24" i="18"/>
  <c r="BD24" i="18" s="1"/>
  <c r="DC14" i="18"/>
  <c r="CY16" i="18"/>
  <c r="DA16" i="18" s="1"/>
  <c r="DC16" i="18" s="1"/>
  <c r="CS9" i="18"/>
  <c r="CT9" i="18" s="1"/>
  <c r="CY9" i="18" s="1"/>
  <c r="DA9" i="18" s="1"/>
  <c r="CL9" i="18"/>
  <c r="CV9" i="18" s="1"/>
  <c r="CW9" i="18" s="1"/>
  <c r="BH40" i="18"/>
  <c r="BR40" i="18" s="1"/>
  <c r="BS40" i="18" s="1"/>
  <c r="BX40" i="18" s="1"/>
  <c r="BU40" i="18"/>
  <c r="BW40" i="18" s="1"/>
  <c r="BO40" i="18"/>
  <c r="BP40" i="18" s="1"/>
  <c r="CX35" i="18"/>
  <c r="DH35" i="18" s="1"/>
  <c r="DI35" i="18" s="1"/>
  <c r="DE35" i="18"/>
  <c r="DF35" i="18" s="1"/>
  <c r="DK35" i="18" s="1"/>
  <c r="DM35" i="18" s="1"/>
  <c r="BI18" i="18"/>
  <c r="BK18" i="18" s="1"/>
  <c r="AV18" i="18"/>
  <c r="BF18" i="18" s="1"/>
  <c r="BG18" i="18" s="1"/>
  <c r="BL18" i="18" s="1"/>
  <c r="BM18" i="18" s="1"/>
  <c r="BC18" i="18"/>
  <c r="BD18" i="18" s="1"/>
  <c r="DN42" i="18"/>
  <c r="DO42" i="18" s="1"/>
  <c r="DO41" i="18"/>
  <c r="CY6" i="18"/>
  <c r="DA6" i="18" s="1"/>
  <c r="BY39" i="18"/>
  <c r="BY42" i="18"/>
  <c r="CS7" i="18"/>
  <c r="CT7" i="18" s="1"/>
  <c r="CL7" i="18"/>
  <c r="CV7" i="18" s="1"/>
  <c r="CW7" i="18" s="1"/>
  <c r="DB7" i="18" s="1"/>
  <c r="CY7" i="18"/>
  <c r="DA7" i="18" s="1"/>
  <c r="BC22" i="18"/>
  <c r="BD22" i="18" s="1"/>
  <c r="BI22" i="18"/>
  <c r="BK22" i="18" s="1"/>
  <c r="AV22" i="18"/>
  <c r="BF22" i="18" s="1"/>
  <c r="BG22" i="18" s="1"/>
  <c r="BL22" i="18" s="1"/>
  <c r="BM22" i="18" s="1"/>
  <c r="BU29" i="17"/>
  <c r="BW29" i="17" s="1"/>
  <c r="BO29" i="17"/>
  <c r="BP29" i="17" s="1"/>
  <c r="BH29" i="17"/>
  <c r="BR29" i="17" s="1"/>
  <c r="BS29" i="17" s="1"/>
  <c r="BX29" i="17" s="1"/>
  <c r="BY29" i="17" s="1"/>
  <c r="DO44" i="17"/>
  <c r="DF35" i="17"/>
  <c r="DK35" i="17" s="1"/>
  <c r="DM35" i="17" s="1"/>
  <c r="DO33" i="17"/>
  <c r="DB24" i="17"/>
  <c r="DC24" i="17" s="1"/>
  <c r="DK40" i="17"/>
  <c r="DM40" i="17" s="1"/>
  <c r="DO40" i="17" s="1"/>
  <c r="BU33" i="17"/>
  <c r="BW33" i="17" s="1"/>
  <c r="BO33" i="17"/>
  <c r="BP33" i="17" s="1"/>
  <c r="BH33" i="17"/>
  <c r="BR33" i="17" s="1"/>
  <c r="BS33" i="17" s="1"/>
  <c r="BX33" i="17" s="1"/>
  <c r="CS6" i="17"/>
  <c r="CT6" i="17" s="1"/>
  <c r="CL6" i="17"/>
  <c r="CV6" i="17" s="1"/>
  <c r="CW6" i="17" s="1"/>
  <c r="DB6" i="17" s="1"/>
  <c r="BY40" i="17"/>
  <c r="B36" i="17"/>
  <c r="B24" i="17"/>
  <c r="E24" i="17" s="1"/>
  <c r="B47" i="17"/>
  <c r="E47" i="17" s="1"/>
  <c r="B29" i="17"/>
  <c r="E29" i="17" s="1"/>
  <c r="CT20" i="17"/>
  <c r="DB20" i="17" s="1"/>
  <c r="DO32" i="17"/>
  <c r="BU45" i="17"/>
  <c r="BW45" i="17" s="1"/>
  <c r="BH45" i="17"/>
  <c r="BR45" i="17" s="1"/>
  <c r="BS45" i="17" s="1"/>
  <c r="BX45" i="17" s="1"/>
  <c r="BY45" i="17" s="1"/>
  <c r="BO45" i="17"/>
  <c r="BP45" i="17" s="1"/>
  <c r="DO39" i="17"/>
  <c r="BM8" i="17"/>
  <c r="DN38" i="17"/>
  <c r="DO38" i="17" s="1"/>
  <c r="DB23" i="17"/>
  <c r="DC23" i="17" s="1"/>
  <c r="B65" i="17"/>
  <c r="E65" i="17" s="1"/>
  <c r="E64" i="17"/>
  <c r="DE49" i="17"/>
  <c r="DF49" i="17" s="1"/>
  <c r="CX49" i="17"/>
  <c r="DH49" i="17" s="1"/>
  <c r="DI49" i="17" s="1"/>
  <c r="DN49" i="17" s="1"/>
  <c r="DK49" i="17"/>
  <c r="DM49" i="17" s="1"/>
  <c r="BI22" i="17"/>
  <c r="BK22" i="17" s="1"/>
  <c r="BC22" i="17"/>
  <c r="BD22" i="17" s="1"/>
  <c r="AV22" i="17"/>
  <c r="BF22" i="17" s="1"/>
  <c r="BG22" i="17" s="1"/>
  <c r="BL22" i="17" s="1"/>
  <c r="BU51" i="17"/>
  <c r="BW51" i="17" s="1"/>
  <c r="BH51" i="17"/>
  <c r="BR51" i="17" s="1"/>
  <c r="BS51" i="17" s="1"/>
  <c r="BX51" i="17" s="1"/>
  <c r="BY51" i="17" s="1"/>
  <c r="BO51" i="17"/>
  <c r="BP51" i="17" s="1"/>
  <c r="DE30" i="17"/>
  <c r="DF30" i="17" s="1"/>
  <c r="CX30" i="17"/>
  <c r="DH30" i="17" s="1"/>
  <c r="DI30" i="17" s="1"/>
  <c r="DN30" i="17" s="1"/>
  <c r="DK30" i="17"/>
  <c r="DM30" i="17" s="1"/>
  <c r="CX41" i="17"/>
  <c r="DH41" i="17" s="1"/>
  <c r="DI41" i="17" s="1"/>
  <c r="DE41" i="17"/>
  <c r="DF41" i="17" s="1"/>
  <c r="DK41" i="17" s="1"/>
  <c r="DM41" i="17" s="1"/>
  <c r="DO37" i="17"/>
  <c r="BC6" i="17"/>
  <c r="BD6" i="17" s="1"/>
  <c r="AV6" i="17"/>
  <c r="BF6" i="17" s="1"/>
  <c r="BG6" i="17" s="1"/>
  <c r="BL6" i="17" s="1"/>
  <c r="BI6" i="17"/>
  <c r="BK6" i="17" s="1"/>
  <c r="BY36" i="17"/>
  <c r="E46" i="17"/>
  <c r="BM16" i="17"/>
  <c r="BY37" i="17"/>
  <c r="DN46" i="17"/>
  <c r="DO46" i="17" s="1"/>
  <c r="BC15" i="17"/>
  <c r="BD15" i="17" s="1"/>
  <c r="BI15" i="17"/>
  <c r="BK15" i="17" s="1"/>
  <c r="AV15" i="17"/>
  <c r="BF15" i="17" s="1"/>
  <c r="BG15" i="17" s="1"/>
  <c r="BL15" i="17" s="1"/>
  <c r="BM15" i="17" s="1"/>
  <c r="AV20" i="17"/>
  <c r="BF20" i="17" s="1"/>
  <c r="BG20" i="17" s="1"/>
  <c r="BL20" i="17" s="1"/>
  <c r="BI20" i="17"/>
  <c r="BK20" i="17" s="1"/>
  <c r="BC20" i="17"/>
  <c r="BD20" i="17" s="1"/>
  <c r="DO45" i="17"/>
  <c r="BO30" i="17"/>
  <c r="BP30" i="17" s="1"/>
  <c r="BU30" i="17"/>
  <c r="BW30" i="17" s="1"/>
  <c r="BH30" i="17"/>
  <c r="BR30" i="17" s="1"/>
  <c r="BS30" i="17" s="1"/>
  <c r="BX30" i="17" s="1"/>
  <c r="DB14" i="17"/>
  <c r="DC14" i="17" s="1"/>
  <c r="BU38" i="17"/>
  <c r="BW38" i="17" s="1"/>
  <c r="BH38" i="17"/>
  <c r="BR38" i="17" s="1"/>
  <c r="BS38" i="17" s="1"/>
  <c r="BX38" i="17" s="1"/>
  <c r="BY38" i="17" s="1"/>
  <c r="BO38" i="17"/>
  <c r="BP38" i="17" s="1"/>
  <c r="BO50" i="17"/>
  <c r="BP50" i="17" s="1"/>
  <c r="BU50" i="17"/>
  <c r="BW50" i="17" s="1"/>
  <c r="BH50" i="17"/>
  <c r="BR50" i="17" s="1"/>
  <c r="BS50" i="17" s="1"/>
  <c r="BX50" i="17" s="1"/>
  <c r="BY50" i="17" s="1"/>
  <c r="DC26" i="17"/>
  <c r="CS8" i="17"/>
  <c r="CT8" i="17" s="1"/>
  <c r="CY8" i="17" s="1"/>
  <c r="DA8" i="17" s="1"/>
  <c r="CL8" i="17"/>
  <c r="CV8" i="17" s="1"/>
  <c r="CW8" i="17" s="1"/>
  <c r="DO48" i="17"/>
  <c r="DK29" i="17"/>
  <c r="DM29" i="17" s="1"/>
  <c r="DO29" i="17" s="1"/>
  <c r="CS15" i="17"/>
  <c r="CT15" i="17" s="1"/>
  <c r="CY15" i="17" s="1"/>
  <c r="DA15" i="17" s="1"/>
  <c r="CL15" i="17"/>
  <c r="CV15" i="17" s="1"/>
  <c r="CW15" i="17" s="1"/>
  <c r="DB15" i="17" s="1"/>
  <c r="DC17" i="17"/>
  <c r="DB25" i="17"/>
  <c r="DC25" i="17" s="1"/>
  <c r="AV27" i="17"/>
  <c r="BF27" i="17" s="1"/>
  <c r="BG27" i="17" s="1"/>
  <c r="BL27" i="17" s="1"/>
  <c r="BI27" i="17"/>
  <c r="BK27" i="17" s="1"/>
  <c r="BC27" i="17"/>
  <c r="BD27" i="17" s="1"/>
  <c r="CS19" i="17"/>
  <c r="CT19" i="17" s="1"/>
  <c r="CY19" i="17" s="1"/>
  <c r="DA19" i="17" s="1"/>
  <c r="CL19" i="17"/>
  <c r="CV19" i="17" s="1"/>
  <c r="CW19" i="17" s="1"/>
  <c r="DB19" i="17" s="1"/>
  <c r="DB28" i="17"/>
  <c r="DC28" i="17" s="1"/>
  <c r="BU42" i="17"/>
  <c r="BW42" i="17" s="1"/>
  <c r="BO42" i="17"/>
  <c r="BP42" i="17" s="1"/>
  <c r="BH42" i="17"/>
  <c r="BR42" i="17" s="1"/>
  <c r="BS42" i="17" s="1"/>
  <c r="BX42" i="17" s="1"/>
  <c r="BY42" i="17" s="1"/>
  <c r="O30" i="17"/>
  <c r="N28" i="17"/>
  <c r="P31" i="17" s="1"/>
  <c r="J46" i="17" s="1"/>
  <c r="G9" i="17"/>
  <c r="B25" i="17"/>
  <c r="E25" i="17" s="1"/>
  <c r="BD7" i="17"/>
  <c r="BY46" i="17"/>
  <c r="CT27" i="17"/>
  <c r="DB27" i="17" s="1"/>
  <c r="CX51" i="17"/>
  <c r="DH51" i="17" s="1"/>
  <c r="DI51" i="17" s="1"/>
  <c r="DN51" i="17" s="1"/>
  <c r="DE51" i="17"/>
  <c r="DF51" i="17" s="1"/>
  <c r="DB9" i="17"/>
  <c r="DC9" i="17" s="1"/>
  <c r="DK32" i="17"/>
  <c r="DM32" i="17" s="1"/>
  <c r="BI14" i="17"/>
  <c r="BK14" i="17" s="1"/>
  <c r="BC14" i="17"/>
  <c r="BD14" i="17" s="1"/>
  <c r="AV14" i="17"/>
  <c r="BF14" i="17" s="1"/>
  <c r="BG14" i="17" s="1"/>
  <c r="BL14" i="17" s="1"/>
  <c r="BM14" i="17" s="1"/>
  <c r="DB7" i="17"/>
  <c r="DC7" i="17" s="1"/>
  <c r="DK31" i="17"/>
  <c r="DM31" i="17" s="1"/>
  <c r="DO31" i="17" s="1"/>
  <c r="DE42" i="17"/>
  <c r="DF42" i="17" s="1"/>
  <c r="CX42" i="17"/>
  <c r="DH42" i="17" s="1"/>
  <c r="DI42" i="17" s="1"/>
  <c r="DN42" i="17" s="1"/>
  <c r="DK42" i="17"/>
  <c r="DM42" i="17" s="1"/>
  <c r="CS16" i="17"/>
  <c r="CT16" i="17" s="1"/>
  <c r="CY16" i="17" s="1"/>
  <c r="DA16" i="17" s="1"/>
  <c r="CL16" i="17"/>
  <c r="CV16" i="17" s="1"/>
  <c r="CW16" i="17" s="1"/>
  <c r="DB16" i="17" s="1"/>
  <c r="DN50" i="17"/>
  <c r="DO50" i="17" s="1"/>
  <c r="CY18" i="17"/>
  <c r="DA18" i="17" s="1"/>
  <c r="DC18" i="17" s="1"/>
  <c r="BC19" i="17"/>
  <c r="BD19" i="17" s="1"/>
  <c r="BI19" i="17"/>
  <c r="BK19" i="17" s="1"/>
  <c r="AV19" i="17"/>
  <c r="BF19" i="17" s="1"/>
  <c r="BG19" i="17" s="1"/>
  <c r="BL19" i="17" s="1"/>
  <c r="BM19" i="17" s="1"/>
  <c r="DN43" i="17"/>
  <c r="DO43" i="17" s="1"/>
  <c r="BY41" i="17"/>
  <c r="E67" i="16"/>
  <c r="O31" i="16"/>
  <c r="P31" i="16"/>
  <c r="J46" i="16" s="1"/>
  <c r="Q31" i="16"/>
  <c r="J47" i="16" s="1"/>
  <c r="CL9" i="16"/>
  <c r="CV9" i="16" s="1"/>
  <c r="CW9" i="16" s="1"/>
  <c r="DB9" i="16" s="1"/>
  <c r="CS9" i="16"/>
  <c r="CT9" i="16" s="1"/>
  <c r="CY9" i="16" s="1"/>
  <c r="DA9" i="16" s="1"/>
  <c r="DK31" i="16"/>
  <c r="DM31" i="16" s="1"/>
  <c r="DO45" i="16"/>
  <c r="BU42" i="16"/>
  <c r="BW42" i="16" s="1"/>
  <c r="BO42" i="16"/>
  <c r="BP42" i="16" s="1"/>
  <c r="BH42" i="16"/>
  <c r="BR42" i="16" s="1"/>
  <c r="BS42" i="16" s="1"/>
  <c r="BX42" i="16" s="1"/>
  <c r="BY42" i="16" s="1"/>
  <c r="CY18" i="16"/>
  <c r="DA18" i="16" s="1"/>
  <c r="DC18" i="16" s="1"/>
  <c r="DO48" i="16"/>
  <c r="DK51" i="16"/>
  <c r="DM51" i="16" s="1"/>
  <c r="DE51" i="16"/>
  <c r="DF51" i="16" s="1"/>
  <c r="CX51" i="16"/>
  <c r="DH51" i="16" s="1"/>
  <c r="DI51" i="16" s="1"/>
  <c r="DN51" i="16" s="1"/>
  <c r="BC22" i="16"/>
  <c r="BD22" i="16" s="1"/>
  <c r="AV22" i="16"/>
  <c r="BF22" i="16" s="1"/>
  <c r="BG22" i="16" s="1"/>
  <c r="BL22" i="16" s="1"/>
  <c r="BI22" i="16"/>
  <c r="BK22" i="16" s="1"/>
  <c r="G7" i="16"/>
  <c r="F23" i="16"/>
  <c r="CS21" i="16"/>
  <c r="CT21" i="16" s="1"/>
  <c r="CL21" i="16"/>
  <c r="CV21" i="16" s="1"/>
  <c r="CW21" i="16" s="1"/>
  <c r="DB21" i="16" s="1"/>
  <c r="DC15" i="16"/>
  <c r="DE30" i="16"/>
  <c r="DF30" i="16" s="1"/>
  <c r="CX30" i="16"/>
  <c r="DH30" i="16" s="1"/>
  <c r="DI30" i="16" s="1"/>
  <c r="DN30" i="16" s="1"/>
  <c r="DK30" i="16"/>
  <c r="DM30" i="16" s="1"/>
  <c r="J50" i="16"/>
  <c r="BO30" i="16"/>
  <c r="BP30" i="16" s="1"/>
  <c r="BH30" i="16"/>
  <c r="BR30" i="16" s="1"/>
  <c r="BS30" i="16" s="1"/>
  <c r="BX30" i="16" s="1"/>
  <c r="BU30" i="16"/>
  <c r="BW30" i="16" s="1"/>
  <c r="E46" i="16"/>
  <c r="BI18" i="16"/>
  <c r="BK18" i="16" s="1"/>
  <c r="BC18" i="16"/>
  <c r="BD18" i="16" s="1"/>
  <c r="AV18" i="16"/>
  <c r="BF18" i="16" s="1"/>
  <c r="BG18" i="16" s="1"/>
  <c r="BL18" i="16" s="1"/>
  <c r="BM18" i="16" s="1"/>
  <c r="CX33" i="16"/>
  <c r="DH33" i="16" s="1"/>
  <c r="DI33" i="16" s="1"/>
  <c r="DE33" i="16"/>
  <c r="DF33" i="16" s="1"/>
  <c r="DK33" i="16" s="1"/>
  <c r="DM33" i="16" s="1"/>
  <c r="DO37" i="16"/>
  <c r="BC24" i="16"/>
  <c r="BD24" i="16" s="1"/>
  <c r="AV24" i="16"/>
  <c r="BF24" i="16" s="1"/>
  <c r="BG24" i="16" s="1"/>
  <c r="BL24" i="16" s="1"/>
  <c r="BI24" i="16"/>
  <c r="BK24" i="16" s="1"/>
  <c r="BM28" i="16"/>
  <c r="DN43" i="16"/>
  <c r="DO43" i="16" s="1"/>
  <c r="DK35" i="16"/>
  <c r="DM35" i="16" s="1"/>
  <c r="BY50" i="16"/>
  <c r="CL6" i="16"/>
  <c r="CV6" i="16" s="1"/>
  <c r="CW6" i="16" s="1"/>
  <c r="CS6" i="16"/>
  <c r="CT6" i="16" s="1"/>
  <c r="CY6" i="16" s="1"/>
  <c r="DA6" i="16" s="1"/>
  <c r="BY34" i="16"/>
  <c r="DE32" i="16"/>
  <c r="DF32" i="16" s="1"/>
  <c r="DK32" i="16" s="1"/>
  <c r="DM32" i="16" s="1"/>
  <c r="CX32" i="16"/>
  <c r="DH32" i="16" s="1"/>
  <c r="DI32" i="16" s="1"/>
  <c r="DN32" i="16" s="1"/>
  <c r="BC21" i="16"/>
  <c r="BD21" i="16" s="1"/>
  <c r="BI21" i="16"/>
  <c r="BK21" i="16" s="1"/>
  <c r="AV21" i="16"/>
  <c r="BF21" i="16" s="1"/>
  <c r="BG21" i="16" s="1"/>
  <c r="BL21" i="16" s="1"/>
  <c r="BM21" i="16" s="1"/>
  <c r="CX49" i="16"/>
  <c r="DH49" i="16" s="1"/>
  <c r="DI49" i="16" s="1"/>
  <c r="DE49" i="16"/>
  <c r="DF49" i="16" s="1"/>
  <c r="DK49" i="16" s="1"/>
  <c r="DM49" i="16" s="1"/>
  <c r="CL22" i="16"/>
  <c r="CV22" i="16" s="1"/>
  <c r="CW22" i="16" s="1"/>
  <c r="CS22" i="16"/>
  <c r="CT22" i="16" s="1"/>
  <c r="CY22" i="16"/>
  <c r="DA22" i="16" s="1"/>
  <c r="CS24" i="16"/>
  <c r="CT24" i="16" s="1"/>
  <c r="CL24" i="16"/>
  <c r="CV24" i="16" s="1"/>
  <c r="CW24" i="16" s="1"/>
  <c r="DB24" i="16" s="1"/>
  <c r="CY24" i="16"/>
  <c r="DA24" i="16" s="1"/>
  <c r="BO49" i="16"/>
  <c r="BP49" i="16" s="1"/>
  <c r="BU49" i="16"/>
  <c r="BW49" i="16" s="1"/>
  <c r="BH49" i="16"/>
  <c r="BR49" i="16" s="1"/>
  <c r="BS49" i="16" s="1"/>
  <c r="BX49" i="16" s="1"/>
  <c r="BY49" i="16" s="1"/>
  <c r="DO44" i="16"/>
  <c r="B28" i="16"/>
  <c r="E28" i="16" s="1"/>
  <c r="B24" i="16"/>
  <c r="E24" i="16" s="1"/>
  <c r="B47" i="16"/>
  <c r="E47" i="16" s="1"/>
  <c r="B36" i="16"/>
  <c r="B29" i="16"/>
  <c r="E29" i="16" s="1"/>
  <c r="DF50" i="16"/>
  <c r="DN50" i="16" s="1"/>
  <c r="DB27" i="16"/>
  <c r="DC27" i="16" s="1"/>
  <c r="DB23" i="16"/>
  <c r="DC23" i="16" s="1"/>
  <c r="CY16" i="16"/>
  <c r="DA16" i="16" s="1"/>
  <c r="DC16" i="16" s="1"/>
  <c r="BU33" i="16"/>
  <c r="BW33" i="16" s="1"/>
  <c r="BO33" i="16"/>
  <c r="BP33" i="16" s="1"/>
  <c r="BH33" i="16"/>
  <c r="BR33" i="16" s="1"/>
  <c r="BS33" i="16" s="1"/>
  <c r="BX33" i="16" s="1"/>
  <c r="BY33" i="16" s="1"/>
  <c r="DF31" i="16"/>
  <c r="DN31" i="16" s="1"/>
  <c r="AV6" i="16"/>
  <c r="BF6" i="16" s="1"/>
  <c r="BG6" i="16" s="1"/>
  <c r="BL6" i="16" s="1"/>
  <c r="BI6" i="16"/>
  <c r="BK6" i="16" s="1"/>
  <c r="BC6" i="16"/>
  <c r="BD6" i="16" s="1"/>
  <c r="BM16" i="16"/>
  <c r="DO35" i="16"/>
  <c r="BM26" i="16"/>
  <c r="DB26" i="16"/>
  <c r="DC26" i="16" s="1"/>
  <c r="DC20" i="16"/>
  <c r="DK46" i="16"/>
  <c r="DM46" i="16" s="1"/>
  <c r="DO46" i="16" s="1"/>
  <c r="DB19" i="16"/>
  <c r="DC19" i="16" s="1"/>
  <c r="CY25" i="16"/>
  <c r="DA25" i="16" s="1"/>
  <c r="BI19" i="16"/>
  <c r="BK19" i="16" s="1"/>
  <c r="BC19" i="16"/>
  <c r="BD19" i="16" s="1"/>
  <c r="AV19" i="16"/>
  <c r="BF19" i="16" s="1"/>
  <c r="BG19" i="16" s="1"/>
  <c r="BL19" i="16" s="1"/>
  <c r="BM19" i="16" s="1"/>
  <c r="DN34" i="16"/>
  <c r="DO34" i="16" s="1"/>
  <c r="DC25" i="16"/>
  <c r="CY15" i="16"/>
  <c r="DA15" i="16" s="1"/>
  <c r="DF38" i="16"/>
  <c r="DN38" i="16" s="1"/>
  <c r="DE36" i="16"/>
  <c r="DF36" i="16" s="1"/>
  <c r="CX36" i="16"/>
  <c r="DH36" i="16" s="1"/>
  <c r="DI36" i="16" s="1"/>
  <c r="DN36" i="16" s="1"/>
  <c r="DK36" i="16"/>
  <c r="DM36" i="16" s="1"/>
  <c r="DE29" i="16"/>
  <c r="DF29" i="16" s="1"/>
  <c r="DK29" i="16" s="1"/>
  <c r="DM29" i="16" s="1"/>
  <c r="CX29" i="16"/>
  <c r="DH29" i="16" s="1"/>
  <c r="DI29" i="16" s="1"/>
  <c r="DN29" i="16" s="1"/>
  <c r="BU48" i="16"/>
  <c r="BW48" i="16" s="1"/>
  <c r="BO48" i="16"/>
  <c r="BP48" i="16" s="1"/>
  <c r="BH48" i="16"/>
  <c r="BR48" i="16" s="1"/>
  <c r="BS48" i="16" s="1"/>
  <c r="BX48" i="16" s="1"/>
  <c r="BY48" i="16" s="1"/>
  <c r="B25" i="16"/>
  <c r="E25" i="16" s="1"/>
  <c r="BY44" i="16"/>
  <c r="DC8" i="16"/>
  <c r="DC7" i="16"/>
  <c r="E67" i="17" l="1"/>
  <c r="D46" i="19"/>
  <c r="D47" i="19" s="1"/>
  <c r="E38" i="19"/>
  <c r="E37" i="19"/>
  <c r="I44" i="19"/>
  <c r="I45" i="19" s="1"/>
  <c r="E45" i="19"/>
  <c r="J84" i="19"/>
  <c r="H33" i="19"/>
  <c r="E33" i="19"/>
  <c r="D74" i="19"/>
  <c r="DK34" i="18"/>
  <c r="DM34" i="18" s="1"/>
  <c r="E67" i="18"/>
  <c r="BY37" i="18"/>
  <c r="DO34" i="18"/>
  <c r="E36" i="18"/>
  <c r="H50" i="18"/>
  <c r="DN35" i="18"/>
  <c r="DO35" i="18" s="1"/>
  <c r="Q31" i="18"/>
  <c r="J47" i="18" s="1"/>
  <c r="R31" i="18"/>
  <c r="J48" i="18" s="1"/>
  <c r="J50" i="18" s="1"/>
  <c r="DB18" i="18"/>
  <c r="DC18" i="18" s="1"/>
  <c r="DN40" i="18"/>
  <c r="DO40" i="18" s="1"/>
  <c r="DN37" i="18"/>
  <c r="DO37" i="18" s="1"/>
  <c r="DB24" i="18"/>
  <c r="DC24" i="18" s="1"/>
  <c r="DC21" i="18"/>
  <c r="BM28" i="18"/>
  <c r="O31" i="18"/>
  <c r="BY40" i="18"/>
  <c r="CY19" i="18"/>
  <c r="DA19" i="18" s="1"/>
  <c r="DC19" i="18" s="1"/>
  <c r="BM7" i="18"/>
  <c r="F23" i="18"/>
  <c r="G7" i="18"/>
  <c r="DC7" i="18"/>
  <c r="DB9" i="18"/>
  <c r="DC9" i="18" s="1"/>
  <c r="DC16" i="17"/>
  <c r="E36" i="17"/>
  <c r="H50" i="17"/>
  <c r="DC19" i="17"/>
  <c r="DO49" i="17"/>
  <c r="DC15" i="17"/>
  <c r="DO30" i="17"/>
  <c r="BM20" i="17"/>
  <c r="BM27" i="17"/>
  <c r="O31" i="17"/>
  <c r="CY20" i="17"/>
  <c r="DA20" i="17" s="1"/>
  <c r="DC20" i="17"/>
  <c r="R31" i="17"/>
  <c r="J48" i="17" s="1"/>
  <c r="J50" i="17" s="1"/>
  <c r="Q31" i="17"/>
  <c r="J47" i="17" s="1"/>
  <c r="BY30" i="17"/>
  <c r="CY6" i="17"/>
  <c r="DA6" i="17" s="1"/>
  <c r="DC6" i="17" s="1"/>
  <c r="DN41" i="17"/>
  <c r="DO41" i="17" s="1"/>
  <c r="CY27" i="17"/>
  <c r="DA27" i="17" s="1"/>
  <c r="DC27" i="17" s="1"/>
  <c r="DK51" i="17"/>
  <c r="DM51" i="17" s="1"/>
  <c r="DO51" i="17" s="1"/>
  <c r="F23" i="17"/>
  <c r="G7" i="17"/>
  <c r="BY33" i="17"/>
  <c r="BM6" i="17"/>
  <c r="DO42" i="17"/>
  <c r="DN35" i="17"/>
  <c r="DO35" i="17" s="1"/>
  <c r="DB8" i="17"/>
  <c r="DC8" i="17" s="1"/>
  <c r="BM22" i="17"/>
  <c r="DO36" i="16"/>
  <c r="DO30" i="16"/>
  <c r="DK38" i="16"/>
  <c r="DM38" i="16" s="1"/>
  <c r="DO38" i="16" s="1"/>
  <c r="CY21" i="16"/>
  <c r="DA21" i="16" s="1"/>
  <c r="DC21" i="16" s="1"/>
  <c r="DO32" i="16"/>
  <c r="DB6" i="16"/>
  <c r="DC6" i="16" s="1"/>
  <c r="DN49" i="16"/>
  <c r="DO49" i="16" s="1"/>
  <c r="DB22" i="16"/>
  <c r="DC22" i="16" s="1"/>
  <c r="B27" i="16"/>
  <c r="E27" i="16" s="1"/>
  <c r="B23" i="16"/>
  <c r="F22" i="16"/>
  <c r="E36" i="16"/>
  <c r="H50" i="16"/>
  <c r="DC9" i="16"/>
  <c r="BM24" i="16"/>
  <c r="BY30" i="16"/>
  <c r="DK50" i="16"/>
  <c r="DM50" i="16" s="1"/>
  <c r="DO50" i="16" s="1"/>
  <c r="DN33" i="16"/>
  <c r="DO33" i="16" s="1"/>
  <c r="BM6" i="16"/>
  <c r="DO31" i="16"/>
  <c r="BM22" i="16"/>
  <c r="DO51" i="16"/>
  <c r="DC24" i="16"/>
  <c r="DO29" i="16"/>
  <c r="H50" i="9"/>
  <c r="H49" i="9"/>
  <c r="D64" i="19" l="1"/>
  <c r="E64" i="19" s="1"/>
  <c r="J85" i="19"/>
  <c r="L37" i="16"/>
  <c r="B27" i="18"/>
  <c r="E27" i="18" s="1"/>
  <c r="L37" i="18" s="1"/>
  <c r="F22" i="18"/>
  <c r="B23" i="18"/>
  <c r="B27" i="17"/>
  <c r="E27" i="17" s="1"/>
  <c r="L37" i="17" s="1"/>
  <c r="B23" i="17"/>
  <c r="F22" i="17"/>
  <c r="E23" i="16"/>
  <c r="H33" i="16"/>
  <c r="S8" i="16" s="1"/>
  <c r="B43" i="16"/>
  <c r="S24" i="16"/>
  <c r="H30" i="16"/>
  <c r="B36" i="9"/>
  <c r="B49" i="9" s="1"/>
  <c r="B67" i="19" l="1"/>
  <c r="D67" i="19" s="1"/>
  <c r="D68" i="19" s="1"/>
  <c r="S22" i="16"/>
  <c r="S6" i="16"/>
  <c r="S10" i="16"/>
  <c r="S5" i="16"/>
  <c r="S23" i="16"/>
  <c r="S25" i="16"/>
  <c r="S20" i="16"/>
  <c r="S26" i="16"/>
  <c r="S9" i="16"/>
  <c r="S7" i="16"/>
  <c r="S16" i="16"/>
  <c r="S17" i="16"/>
  <c r="S27" i="16"/>
  <c r="S18" i="16"/>
  <c r="S21" i="16"/>
  <c r="S13" i="16"/>
  <c r="S3" i="16"/>
  <c r="S28" i="16" s="1"/>
  <c r="S12" i="16"/>
  <c r="S14" i="16"/>
  <c r="S4" i="16"/>
  <c r="S19" i="16"/>
  <c r="H33" i="18"/>
  <c r="S25" i="18" s="1"/>
  <c r="E23" i="18"/>
  <c r="B43" i="18"/>
  <c r="H30" i="18"/>
  <c r="S21" i="18"/>
  <c r="S17" i="18"/>
  <c r="S18" i="18"/>
  <c r="S27" i="18"/>
  <c r="S9" i="18"/>
  <c r="S26" i="18"/>
  <c r="B43" i="17"/>
  <c r="H30" i="17"/>
  <c r="S9" i="17"/>
  <c r="S11" i="17"/>
  <c r="S26" i="17"/>
  <c r="S8" i="17"/>
  <c r="E23" i="17"/>
  <c r="H33" i="17"/>
  <c r="S12" i="17" s="1"/>
  <c r="B58" i="16"/>
  <c r="E58" i="16" s="1"/>
  <c r="E61" i="16" s="1"/>
  <c r="C86" i="16"/>
  <c r="I62" i="16"/>
  <c r="B48" i="16"/>
  <c r="B33" i="16"/>
  <c r="E33" i="16" s="1"/>
  <c r="E38" i="16" s="1"/>
  <c r="S11" i="16"/>
  <c r="S15" i="16"/>
  <c r="E39" i="16"/>
  <c r="L36" i="16"/>
  <c r="L38" i="16" s="1"/>
  <c r="E40" i="16"/>
  <c r="S22" i="17" l="1"/>
  <c r="S10" i="17"/>
  <c r="S7" i="17"/>
  <c r="S16" i="17"/>
  <c r="S20" i="17"/>
  <c r="S3" i="17"/>
  <c r="S28" i="17" s="1"/>
  <c r="S4" i="17"/>
  <c r="S13" i="17"/>
  <c r="S27" i="17"/>
  <c r="S6" i="17"/>
  <c r="S24" i="17"/>
  <c r="S15" i="17"/>
  <c r="S21" i="17"/>
  <c r="S23" i="17"/>
  <c r="S19" i="17"/>
  <c r="S14" i="17"/>
  <c r="S18" i="17"/>
  <c r="S12" i="18"/>
  <c r="S23" i="18"/>
  <c r="S24" i="18"/>
  <c r="S19" i="18"/>
  <c r="S16" i="18"/>
  <c r="S7" i="18"/>
  <c r="S10" i="18"/>
  <c r="S22" i="18"/>
  <c r="S8" i="18"/>
  <c r="S5" i="18"/>
  <c r="S20" i="18"/>
  <c r="S3" i="18"/>
  <c r="S28" i="18" s="1"/>
  <c r="S11" i="18"/>
  <c r="S17" i="17"/>
  <c r="S4" i="18"/>
  <c r="S14" i="18"/>
  <c r="S6" i="18"/>
  <c r="S15" i="18"/>
  <c r="S13" i="18"/>
  <c r="F81" i="19"/>
  <c r="D69" i="19"/>
  <c r="D70" i="19" s="1"/>
  <c r="I62" i="18"/>
  <c r="B58" i="18"/>
  <c r="E58" i="18" s="1"/>
  <c r="E61" i="18" s="1"/>
  <c r="C86" i="18"/>
  <c r="E39" i="18"/>
  <c r="L36" i="18"/>
  <c r="L38" i="18" s="1"/>
  <c r="E40" i="18"/>
  <c r="B48" i="18"/>
  <c r="B33" i="18"/>
  <c r="E33" i="18" s="1"/>
  <c r="E38" i="18" s="1"/>
  <c r="E39" i="17"/>
  <c r="L36" i="17"/>
  <c r="L38" i="17" s="1"/>
  <c r="E40" i="17"/>
  <c r="B58" i="17"/>
  <c r="E58" i="17" s="1"/>
  <c r="E61" i="17" s="1"/>
  <c r="I62" i="17"/>
  <c r="C86" i="17"/>
  <c r="B48" i="17"/>
  <c r="B33" i="17"/>
  <c r="E33" i="17" s="1"/>
  <c r="E38" i="17" s="1"/>
  <c r="S5" i="17"/>
  <c r="S25" i="17"/>
  <c r="E41" i="16"/>
  <c r="E48" i="16"/>
  <c r="E52" i="16" s="1"/>
  <c r="H57" i="16"/>
  <c r="H58" i="16" s="1"/>
  <c r="I58" i="16" s="1"/>
  <c r="G72" i="16"/>
  <c r="H61" i="16"/>
  <c r="H60" i="16" s="1"/>
  <c r="I60" i="16" s="1"/>
  <c r="G47" i="9"/>
  <c r="G47" i="15"/>
  <c r="S43" i="9"/>
  <c r="D27" i="9"/>
  <c r="B70" i="12"/>
  <c r="D76" i="12"/>
  <c r="B71" i="5"/>
  <c r="E41" i="18" l="1"/>
  <c r="G81" i="19"/>
  <c r="F68" i="19"/>
  <c r="I41" i="18"/>
  <c r="F41" i="18"/>
  <c r="E79" i="18"/>
  <c r="E48" i="18"/>
  <c r="E52" i="18" s="1"/>
  <c r="H57" i="18"/>
  <c r="H58" i="18" s="1"/>
  <c r="I58" i="18" s="1"/>
  <c r="H61" i="18"/>
  <c r="H60" i="18" s="1"/>
  <c r="I60" i="18" s="1"/>
  <c r="G72" i="18"/>
  <c r="E41" i="17"/>
  <c r="E79" i="17" s="1"/>
  <c r="E48" i="17"/>
  <c r="E52" i="17" s="1"/>
  <c r="G72" i="17"/>
  <c r="H61" i="17"/>
  <c r="H60" i="17" s="1"/>
  <c r="I60" i="17" s="1"/>
  <c r="H57" i="17"/>
  <c r="H58" i="17" s="1"/>
  <c r="I58" i="17" s="1"/>
  <c r="F52" i="16"/>
  <c r="E54" i="16"/>
  <c r="F41" i="16"/>
  <c r="I41" i="16"/>
  <c r="E79" i="16"/>
  <c r="L61" i="9"/>
  <c r="L55" i="9"/>
  <c r="L61" i="15"/>
  <c r="L55" i="15"/>
  <c r="L48" i="1"/>
  <c r="L52" i="12"/>
  <c r="J52" i="12"/>
  <c r="L48" i="13"/>
  <c r="J48" i="13"/>
  <c r="L53" i="5"/>
  <c r="J53" i="5"/>
  <c r="J48" i="1"/>
  <c r="L56" i="14"/>
  <c r="D83" i="14"/>
  <c r="C44" i="8"/>
  <c r="G44" i="8"/>
  <c r="C86" i="9"/>
  <c r="E82" i="9"/>
  <c r="B79" i="9"/>
  <c r="I73" i="9"/>
  <c r="A77" i="12"/>
  <c r="A75" i="13"/>
  <c r="A75" i="19" s="1"/>
  <c r="D7" i="15"/>
  <c r="I73" i="15"/>
  <c r="E82" i="15"/>
  <c r="B79" i="15"/>
  <c r="H70" i="12"/>
  <c r="F69" i="12"/>
  <c r="D79" i="12"/>
  <c r="B76" i="12"/>
  <c r="D77" i="13"/>
  <c r="B74" i="13"/>
  <c r="H68" i="13"/>
  <c r="B68" i="13"/>
  <c r="F70" i="5"/>
  <c r="A78" i="5"/>
  <c r="D80" i="5"/>
  <c r="B77" i="5"/>
  <c r="H71" i="5"/>
  <c r="A81" i="14"/>
  <c r="B42" i="8" s="1"/>
  <c r="I41" i="17" l="1"/>
  <c r="F41" i="17"/>
  <c r="D7" i="17"/>
  <c r="E43" i="17" s="1"/>
  <c r="D7" i="16"/>
  <c r="E43" i="16" s="1"/>
  <c r="D7" i="18"/>
  <c r="E43" i="18" s="1"/>
  <c r="H81" i="19"/>
  <c r="E54" i="18"/>
  <c r="F52" i="18"/>
  <c r="E54" i="17"/>
  <c r="F52" i="17"/>
  <c r="E69" i="16"/>
  <c r="B75" i="16" s="1"/>
  <c r="E69" i="18" l="1"/>
  <c r="B75" i="18" s="1"/>
  <c r="E69" i="17"/>
  <c r="B75" i="17" s="1"/>
  <c r="B72" i="16"/>
  <c r="E72" i="16" s="1"/>
  <c r="E73" i="16" s="1"/>
  <c r="F69" i="16"/>
  <c r="F69" i="18" l="1"/>
  <c r="B72" i="18"/>
  <c r="E72" i="18" s="1"/>
  <c r="E73" i="18" s="1"/>
  <c r="E74" i="18" s="1"/>
  <c r="F69" i="17"/>
  <c r="B72" i="17"/>
  <c r="E72" i="17" s="1"/>
  <c r="G86" i="16"/>
  <c r="E74" i="16"/>
  <c r="E75" i="16" s="1"/>
  <c r="E75" i="18" l="1"/>
  <c r="G86" i="18"/>
  <c r="E73" i="17"/>
  <c r="H86" i="16"/>
  <c r="G73" i="16"/>
  <c r="H74" i="16" s="1"/>
  <c r="I86" i="18" l="1"/>
  <c r="G73" i="18"/>
  <c r="H74" i="18" s="1"/>
  <c r="H86" i="18"/>
  <c r="E74" i="17"/>
  <c r="E75" i="17" s="1"/>
  <c r="G86" i="17"/>
  <c r="I86" i="16"/>
  <c r="I86" i="17" l="1"/>
  <c r="H86" i="17"/>
  <c r="G73" i="17"/>
  <c r="H74" i="17" s="1"/>
  <c r="H68" i="1" l="1"/>
  <c r="B68" i="1"/>
  <c r="D77" i="1"/>
  <c r="B74" i="1"/>
  <c r="B80" i="14"/>
  <c r="C37" i="8" s="1"/>
  <c r="H74" i="14"/>
  <c r="B74" i="14"/>
  <c r="J56" i="14"/>
  <c r="J61" i="14" s="1"/>
  <c r="G115" i="5"/>
  <c r="G114" i="5"/>
  <c r="H113" i="5"/>
  <c r="G113" i="5"/>
  <c r="G110" i="5"/>
  <c r="H109" i="5"/>
  <c r="G109" i="5"/>
  <c r="G111" i="5" s="1"/>
  <c r="G106" i="5"/>
  <c r="G107" i="5" s="1"/>
  <c r="D302" i="8"/>
  <c r="F303" i="8"/>
  <c r="AF302" i="8"/>
  <c r="AM303" i="8"/>
  <c r="AF303" i="8"/>
  <c r="D301" i="8"/>
  <c r="V519" i="8"/>
  <c r="V518" i="8"/>
  <c r="V511" i="8"/>
  <c r="V510" i="8"/>
  <c r="V503" i="8"/>
  <c r="V502" i="8"/>
  <c r="V495" i="8"/>
  <c r="V494" i="8"/>
  <c r="W493" i="8"/>
  <c r="V470" i="8"/>
  <c r="V469" i="8"/>
  <c r="V462" i="8"/>
  <c r="V461" i="8"/>
  <c r="V454" i="8"/>
  <c r="V453" i="8"/>
  <c r="V446" i="8"/>
  <c r="V445" i="8"/>
  <c r="AC235" i="8"/>
  <c r="AC234" i="8"/>
  <c r="Y234" i="8" s="1"/>
  <c r="AC227" i="8"/>
  <c r="AC226" i="8"/>
  <c r="AC220" i="8"/>
  <c r="AC219" i="8"/>
  <c r="AC218" i="8"/>
  <c r="AC217" i="8"/>
  <c r="AC211" i="8"/>
  <c r="AC210" i="8"/>
  <c r="AC209" i="8"/>
  <c r="AC203" i="8"/>
  <c r="AC202" i="8"/>
  <c r="AC201" i="8"/>
  <c r="AC200" i="8"/>
  <c r="Y235" i="8"/>
  <c r="Y227" i="8"/>
  <c r="Y226" i="8"/>
  <c r="Y220" i="8"/>
  <c r="Y219" i="8"/>
  <c r="Y217" i="8"/>
  <c r="Y218" i="8"/>
  <c r="Y211" i="8"/>
  <c r="Y210" i="8"/>
  <c r="Y209" i="8"/>
  <c r="Y203" i="8"/>
  <c r="Y202" i="8"/>
  <c r="Y201" i="8"/>
  <c r="Y200" i="8"/>
  <c r="S519" i="8"/>
  <c r="S518" i="8"/>
  <c r="S511" i="8"/>
  <c r="S510" i="8"/>
  <c r="S503" i="8"/>
  <c r="S502" i="8"/>
  <c r="S495" i="8"/>
  <c r="S494" i="8"/>
  <c r="S470" i="8"/>
  <c r="S469" i="8"/>
  <c r="S462" i="8"/>
  <c r="S461" i="8"/>
  <c r="S454" i="8"/>
  <c r="S453" i="8"/>
  <c r="S446" i="8"/>
  <c r="S445" i="8"/>
  <c r="D7" i="9"/>
  <c r="E43" i="9" s="1"/>
  <c r="E43" i="15"/>
  <c r="E36" i="1"/>
  <c r="E43" i="5"/>
  <c r="E43" i="12"/>
  <c r="AE82" i="14"/>
  <c r="AE84" i="14"/>
  <c r="AE86" i="14" s="1"/>
  <c r="AI86" i="14"/>
  <c r="AH86" i="14"/>
  <c r="AG86" i="14"/>
  <c r="AC86" i="14"/>
  <c r="AJ84" i="14"/>
  <c r="AJ86" i="14" s="1"/>
  <c r="AF84" i="14"/>
  <c r="AF86" i="14" s="1"/>
  <c r="AD84" i="14"/>
  <c r="AD86" i="14" s="1"/>
  <c r="W76" i="14"/>
  <c r="W67" i="14"/>
  <c r="W58" i="14"/>
  <c r="W48" i="14"/>
  <c r="E46" i="14"/>
  <c r="B61" i="12"/>
  <c r="E36" i="13" l="1"/>
  <c r="E36" i="19"/>
  <c r="G116" i="5"/>
  <c r="G117" i="5" s="1"/>
  <c r="AC87" i="14"/>
  <c r="AC82" i="14" s="1"/>
  <c r="AD82" i="14" s="1"/>
  <c r="K13" i="15" l="1"/>
  <c r="I13" i="15"/>
  <c r="I57" i="9" l="1"/>
  <c r="A51" i="9"/>
  <c r="A48" i="9"/>
  <c r="D27" i="15"/>
  <c r="I57" i="15"/>
  <c r="A48" i="15"/>
  <c r="A51" i="15"/>
  <c r="T38" i="15" l="1"/>
  <c r="E66" i="15"/>
  <c r="B64" i="15"/>
  <c r="B65" i="15" s="1"/>
  <c r="E65" i="15" s="1"/>
  <c r="W62" i="15"/>
  <c r="W61" i="15"/>
  <c r="W60" i="15"/>
  <c r="W59" i="15"/>
  <c r="E60" i="15"/>
  <c r="W58" i="15"/>
  <c r="E59" i="15"/>
  <c r="W57" i="15"/>
  <c r="P58" i="15"/>
  <c r="R58" i="15" s="1"/>
  <c r="W56" i="15"/>
  <c r="P57" i="15"/>
  <c r="E57" i="15"/>
  <c r="W55" i="15"/>
  <c r="H56" i="15"/>
  <c r="W54" i="15"/>
  <c r="W53" i="15"/>
  <c r="W52" i="15"/>
  <c r="CY51" i="15"/>
  <c r="CZ51" i="15" s="1"/>
  <c r="CR51" i="15"/>
  <c r="BI51" i="15"/>
  <c r="BJ51" i="15" s="1"/>
  <c r="BB51" i="15"/>
  <c r="BL51" i="15" s="1"/>
  <c r="BM51" i="15" s="1"/>
  <c r="W51" i="15"/>
  <c r="CY50" i="15"/>
  <c r="CZ50" i="15" s="1"/>
  <c r="CR50" i="15"/>
  <c r="DB50" i="15" s="1"/>
  <c r="DC50" i="15" s="1"/>
  <c r="BI50" i="15"/>
  <c r="BJ50" i="15" s="1"/>
  <c r="BB50" i="15"/>
  <c r="BE50" i="15" s="1"/>
  <c r="BH50" i="15" s="1"/>
  <c r="BR50" i="15" s="1"/>
  <c r="BS50" i="15" s="1"/>
  <c r="BX50" i="15" s="1"/>
  <c r="CY49" i="15"/>
  <c r="CZ49" i="15" s="1"/>
  <c r="CR49" i="15"/>
  <c r="DB49" i="15" s="1"/>
  <c r="DC49" i="15" s="1"/>
  <c r="BI49" i="15"/>
  <c r="BJ49" i="15" s="1"/>
  <c r="BB49" i="15"/>
  <c r="BE49" i="15" s="1"/>
  <c r="BH49" i="15" s="1"/>
  <c r="BR49" i="15" s="1"/>
  <c r="BS49" i="15" s="1"/>
  <c r="BX49" i="15" s="1"/>
  <c r="C49" i="15"/>
  <c r="CY48" i="15"/>
  <c r="CZ48" i="15" s="1"/>
  <c r="CR48" i="15"/>
  <c r="DB48" i="15" s="1"/>
  <c r="DC48" i="15" s="1"/>
  <c r="BI48" i="15"/>
  <c r="BJ48" i="15" s="1"/>
  <c r="BB48" i="15"/>
  <c r="BL48" i="15" s="1"/>
  <c r="BM48" i="15" s="1"/>
  <c r="C48" i="15"/>
  <c r="C47" i="15"/>
  <c r="CY46" i="15"/>
  <c r="CZ46" i="15" s="1"/>
  <c r="CR46" i="15"/>
  <c r="DB46" i="15" s="1"/>
  <c r="DC46" i="15" s="1"/>
  <c r="BI46" i="15"/>
  <c r="BJ46" i="15" s="1"/>
  <c r="BB46" i="15"/>
  <c r="BE46" i="15" s="1"/>
  <c r="BO46" i="15" s="1"/>
  <c r="C46" i="15"/>
  <c r="CY45" i="15"/>
  <c r="CZ45" i="15" s="1"/>
  <c r="CR45" i="15"/>
  <c r="DB45" i="15" s="1"/>
  <c r="DC45" i="15" s="1"/>
  <c r="BI45" i="15"/>
  <c r="BJ45" i="15" s="1"/>
  <c r="BB45" i="15"/>
  <c r="BL45" i="15" s="1"/>
  <c r="BM45" i="15" s="1"/>
  <c r="E45" i="15"/>
  <c r="CY44" i="15"/>
  <c r="CZ44" i="15" s="1"/>
  <c r="CR44" i="15"/>
  <c r="DB44" i="15" s="1"/>
  <c r="DC44" i="15" s="1"/>
  <c r="BI44" i="15"/>
  <c r="BJ44" i="15" s="1"/>
  <c r="BB44" i="15"/>
  <c r="BL44" i="15" s="1"/>
  <c r="BM44" i="15" s="1"/>
  <c r="R48" i="15"/>
  <c r="CY43" i="15"/>
  <c r="CZ43" i="15" s="1"/>
  <c r="CR43" i="15"/>
  <c r="DB43" i="15" s="1"/>
  <c r="DC43" i="15" s="1"/>
  <c r="BI43" i="15"/>
  <c r="BJ43" i="15" s="1"/>
  <c r="BB43" i="15"/>
  <c r="BL43" i="15" s="1"/>
  <c r="BM43" i="15" s="1"/>
  <c r="R47" i="15"/>
  <c r="CY42" i="15"/>
  <c r="CZ42" i="15" s="1"/>
  <c r="CR42" i="15"/>
  <c r="CU42" i="15" s="1"/>
  <c r="CX42" i="15" s="1"/>
  <c r="DH42" i="15" s="1"/>
  <c r="DI42" i="15" s="1"/>
  <c r="BI42" i="15"/>
  <c r="BJ42" i="15" s="1"/>
  <c r="BB42" i="15"/>
  <c r="BE42" i="15" s="1"/>
  <c r="BH42" i="15" s="1"/>
  <c r="BR42" i="15" s="1"/>
  <c r="BS42" i="15" s="1"/>
  <c r="BX42" i="15" s="1"/>
  <c r="R46" i="15"/>
  <c r="CY41" i="15"/>
  <c r="CZ41" i="15" s="1"/>
  <c r="CR41" i="15"/>
  <c r="DB41" i="15" s="1"/>
  <c r="DC41" i="15" s="1"/>
  <c r="BI41" i="15"/>
  <c r="BJ41" i="15" s="1"/>
  <c r="BB41" i="15"/>
  <c r="BL41" i="15" s="1"/>
  <c r="BM41" i="15" s="1"/>
  <c r="CY40" i="15"/>
  <c r="CZ40" i="15" s="1"/>
  <c r="CR40" i="15"/>
  <c r="CU40" i="15" s="1"/>
  <c r="BI40" i="15"/>
  <c r="BJ40" i="15" s="1"/>
  <c r="BB40" i="15"/>
  <c r="BE40" i="15" s="1"/>
  <c r="CY39" i="15"/>
  <c r="CZ39" i="15" s="1"/>
  <c r="CR39" i="15"/>
  <c r="DB39" i="15" s="1"/>
  <c r="DC39" i="15" s="1"/>
  <c r="BI39" i="15"/>
  <c r="BJ39" i="15" s="1"/>
  <c r="BB39" i="15"/>
  <c r="BL39" i="15" s="1"/>
  <c r="BM39" i="15" s="1"/>
  <c r="P39" i="15"/>
  <c r="P48" i="15" s="1"/>
  <c r="CY38" i="15"/>
  <c r="CZ38" i="15" s="1"/>
  <c r="CR38" i="15"/>
  <c r="DB38" i="15" s="1"/>
  <c r="DC38" i="15" s="1"/>
  <c r="BI38" i="15"/>
  <c r="BJ38" i="15" s="1"/>
  <c r="BB38" i="15"/>
  <c r="BE38" i="15" s="1"/>
  <c r="BH38" i="15" s="1"/>
  <c r="BR38" i="15" s="1"/>
  <c r="BS38" i="15" s="1"/>
  <c r="BX38" i="15" s="1"/>
  <c r="P38" i="15"/>
  <c r="P47" i="15" s="1"/>
  <c r="CY37" i="15"/>
  <c r="CZ37" i="15" s="1"/>
  <c r="CR37" i="15"/>
  <c r="DB37" i="15" s="1"/>
  <c r="DC37" i="15" s="1"/>
  <c r="BI37" i="15"/>
  <c r="BJ37" i="15" s="1"/>
  <c r="BB37" i="15"/>
  <c r="BE37" i="15" s="1"/>
  <c r="BO37" i="15" s="1"/>
  <c r="P37" i="15"/>
  <c r="CY36" i="15"/>
  <c r="CZ36" i="15" s="1"/>
  <c r="CR36" i="15"/>
  <c r="DB36" i="15" s="1"/>
  <c r="DC36" i="15" s="1"/>
  <c r="BI36" i="15"/>
  <c r="BJ36" i="15" s="1"/>
  <c r="BB36" i="15"/>
  <c r="BE36" i="15" s="1"/>
  <c r="CY35" i="15"/>
  <c r="CZ35" i="15" s="1"/>
  <c r="CR35" i="15"/>
  <c r="DB35" i="15" s="1"/>
  <c r="DC35" i="15" s="1"/>
  <c r="BI35" i="15"/>
  <c r="BJ35" i="15" s="1"/>
  <c r="BB35" i="15"/>
  <c r="BL35" i="15" s="1"/>
  <c r="BM35" i="15" s="1"/>
  <c r="CY34" i="15"/>
  <c r="CZ34" i="15" s="1"/>
  <c r="CR34" i="15"/>
  <c r="DB34" i="15" s="1"/>
  <c r="DC34" i="15" s="1"/>
  <c r="BI34" i="15"/>
  <c r="BJ34" i="15" s="1"/>
  <c r="BB34" i="15"/>
  <c r="BL34" i="15" s="1"/>
  <c r="BM34" i="15" s="1"/>
  <c r="CY33" i="15"/>
  <c r="CZ33" i="15" s="1"/>
  <c r="CR33" i="15"/>
  <c r="CU33" i="15" s="1"/>
  <c r="BI33" i="15"/>
  <c r="BJ33" i="15" s="1"/>
  <c r="BB33" i="15"/>
  <c r="BE33" i="15" s="1"/>
  <c r="CY32" i="15"/>
  <c r="CZ32" i="15" s="1"/>
  <c r="CR32" i="15"/>
  <c r="CU32" i="15" s="1"/>
  <c r="DE32" i="15" s="1"/>
  <c r="BI32" i="15"/>
  <c r="BJ32" i="15" s="1"/>
  <c r="BB32" i="15"/>
  <c r="BE32" i="15" s="1"/>
  <c r="CY31" i="15"/>
  <c r="CZ31" i="15" s="1"/>
  <c r="CR31" i="15"/>
  <c r="CU31" i="15" s="1"/>
  <c r="BI31" i="15"/>
  <c r="BJ31" i="15" s="1"/>
  <c r="BB31" i="15"/>
  <c r="BE31" i="15" s="1"/>
  <c r="BH31" i="15" s="1"/>
  <c r="BR31" i="15" s="1"/>
  <c r="BS31" i="15" s="1"/>
  <c r="BX31" i="15" s="1"/>
  <c r="CY30" i="15"/>
  <c r="CZ30" i="15" s="1"/>
  <c r="CR30" i="15"/>
  <c r="DB30" i="15" s="1"/>
  <c r="DC30" i="15" s="1"/>
  <c r="BI30" i="15"/>
  <c r="BJ30" i="15" s="1"/>
  <c r="BB30" i="15"/>
  <c r="CY29" i="15"/>
  <c r="CZ29" i="15" s="1"/>
  <c r="CR29" i="15"/>
  <c r="CU29" i="15" s="1"/>
  <c r="BI29" i="15"/>
  <c r="BJ29" i="15" s="1"/>
  <c r="BB29" i="15"/>
  <c r="BE29" i="15" s="1"/>
  <c r="BH29" i="15" s="1"/>
  <c r="BR29" i="15" s="1"/>
  <c r="BS29" i="15" s="1"/>
  <c r="BX29" i="15" s="1"/>
  <c r="CM28" i="15"/>
  <c r="CN28" i="15" s="1"/>
  <c r="CF28" i="15"/>
  <c r="CP28" i="15" s="1"/>
  <c r="CQ28" i="15" s="1"/>
  <c r="AW28" i="15"/>
  <c r="AX28" i="15" s="1"/>
  <c r="AP28" i="15"/>
  <c r="AZ28" i="15" s="1"/>
  <c r="BA28" i="15" s="1"/>
  <c r="X28" i="15"/>
  <c r="W28" i="15"/>
  <c r="V28" i="15"/>
  <c r="U28" i="15"/>
  <c r="T28" i="15"/>
  <c r="R28" i="15"/>
  <c r="Q28" i="15"/>
  <c r="I9" i="15" s="1"/>
  <c r="P28" i="15"/>
  <c r="G9" i="15" s="1"/>
  <c r="F23" i="15" s="1"/>
  <c r="CM27" i="15"/>
  <c r="CN27" i="15" s="1"/>
  <c r="CF27" i="15"/>
  <c r="CP27" i="15" s="1"/>
  <c r="CQ27" i="15" s="1"/>
  <c r="AW27" i="15"/>
  <c r="AX27" i="15" s="1"/>
  <c r="AP27" i="15"/>
  <c r="AZ27" i="15" s="1"/>
  <c r="BA27" i="15" s="1"/>
  <c r="O27" i="15"/>
  <c r="CM26" i="15"/>
  <c r="CN26" i="15" s="1"/>
  <c r="CF26" i="15"/>
  <c r="CI26" i="15" s="1"/>
  <c r="CS26" i="15" s="1"/>
  <c r="AW26" i="15"/>
  <c r="AX26" i="15" s="1"/>
  <c r="AP26" i="15"/>
  <c r="AS26" i="15" s="1"/>
  <c r="O26" i="15"/>
  <c r="CN25" i="15"/>
  <c r="CM25" i="15"/>
  <c r="CF25" i="15"/>
  <c r="CP25" i="15" s="1"/>
  <c r="CQ25" i="15" s="1"/>
  <c r="AW25" i="15"/>
  <c r="AX25" i="15" s="1"/>
  <c r="AP25" i="15"/>
  <c r="AZ25" i="15" s="1"/>
  <c r="BA25" i="15" s="1"/>
  <c r="O25" i="15"/>
  <c r="H25" i="15"/>
  <c r="I25" i="15" s="1"/>
  <c r="D25" i="15"/>
  <c r="C25" i="15"/>
  <c r="CM24" i="15"/>
  <c r="CN24" i="15" s="1"/>
  <c r="CF24" i="15"/>
  <c r="CI24" i="15" s="1"/>
  <c r="AW24" i="15"/>
  <c r="AX24" i="15" s="1"/>
  <c r="AP24" i="15"/>
  <c r="AS24" i="15" s="1"/>
  <c r="BC24" i="15" s="1"/>
  <c r="O24" i="15"/>
  <c r="H24" i="15"/>
  <c r="I24" i="15" s="1"/>
  <c r="D24" i="15"/>
  <c r="C24" i="15"/>
  <c r="CM23" i="15"/>
  <c r="CN23" i="15" s="1"/>
  <c r="CF23" i="15"/>
  <c r="CP23" i="15" s="1"/>
  <c r="CQ23" i="15" s="1"/>
  <c r="AW23" i="15"/>
  <c r="AX23" i="15" s="1"/>
  <c r="AP23" i="15"/>
  <c r="AS23" i="15" s="1"/>
  <c r="O23" i="15"/>
  <c r="H23" i="15"/>
  <c r="I23" i="15" s="1"/>
  <c r="CM22" i="15"/>
  <c r="CN22" i="15" s="1"/>
  <c r="CF22" i="15"/>
  <c r="CI22" i="15" s="1"/>
  <c r="AW22" i="15"/>
  <c r="AX22" i="15" s="1"/>
  <c r="AP22" i="15"/>
  <c r="AZ22" i="15" s="1"/>
  <c r="BA22" i="15" s="1"/>
  <c r="O22" i="15"/>
  <c r="E22" i="15"/>
  <c r="CM21" i="15"/>
  <c r="CN21" i="15" s="1"/>
  <c r="CF21" i="15"/>
  <c r="CI21" i="15" s="1"/>
  <c r="AW21" i="15"/>
  <c r="AX21" i="15" s="1"/>
  <c r="AP21" i="15"/>
  <c r="AS21" i="15" s="1"/>
  <c r="O21" i="15"/>
  <c r="E21" i="15"/>
  <c r="CM20" i="15"/>
  <c r="CN20" i="15" s="1"/>
  <c r="CF20" i="15"/>
  <c r="CP20" i="15" s="1"/>
  <c r="CQ20" i="15" s="1"/>
  <c r="AW20" i="15"/>
  <c r="AX20" i="15" s="1"/>
  <c r="AP20" i="15"/>
  <c r="AS20" i="15" s="1"/>
  <c r="O20" i="15"/>
  <c r="E20" i="15"/>
  <c r="CM19" i="15"/>
  <c r="CN19" i="15" s="1"/>
  <c r="CF19" i="15"/>
  <c r="CI19" i="15" s="1"/>
  <c r="CS19" i="15" s="1"/>
  <c r="AW19" i="15"/>
  <c r="AX19" i="15" s="1"/>
  <c r="AP19" i="15"/>
  <c r="AS19" i="15" s="1"/>
  <c r="AV19" i="15" s="1"/>
  <c r="BF19" i="15" s="1"/>
  <c r="BG19" i="15" s="1"/>
  <c r="BL19" i="15" s="1"/>
  <c r="O19" i="15"/>
  <c r="CM18" i="15"/>
  <c r="CN18" i="15" s="1"/>
  <c r="CF18" i="15"/>
  <c r="CI18" i="15" s="1"/>
  <c r="CL18" i="15" s="1"/>
  <c r="CV18" i="15" s="1"/>
  <c r="CW18" i="15" s="1"/>
  <c r="AW18" i="15"/>
  <c r="AX18" i="15" s="1"/>
  <c r="AP18" i="15"/>
  <c r="AZ18" i="15" s="1"/>
  <c r="BA18" i="15" s="1"/>
  <c r="O18" i="15"/>
  <c r="CM17" i="15"/>
  <c r="CN17" i="15" s="1"/>
  <c r="CF17" i="15"/>
  <c r="CP17" i="15" s="1"/>
  <c r="CQ17" i="15" s="1"/>
  <c r="AW17" i="15"/>
  <c r="AX17" i="15" s="1"/>
  <c r="AP17" i="15"/>
  <c r="AZ17" i="15" s="1"/>
  <c r="BA17" i="15" s="1"/>
  <c r="O17" i="15"/>
  <c r="CM16" i="15"/>
  <c r="CN16" i="15" s="1"/>
  <c r="CF16" i="15"/>
  <c r="CP16" i="15" s="1"/>
  <c r="CQ16" i="15" s="1"/>
  <c r="AW16" i="15"/>
  <c r="AX16" i="15" s="1"/>
  <c r="AP16" i="15"/>
  <c r="AS16" i="15" s="1"/>
  <c r="O16" i="15"/>
  <c r="CM15" i="15"/>
  <c r="CN15" i="15" s="1"/>
  <c r="CF15" i="15"/>
  <c r="CP15" i="15" s="1"/>
  <c r="CQ15" i="15" s="1"/>
  <c r="AW15" i="15"/>
  <c r="AX15" i="15" s="1"/>
  <c r="AP15" i="15"/>
  <c r="AZ15" i="15" s="1"/>
  <c r="BA15" i="15" s="1"/>
  <c r="O15" i="15"/>
  <c r="G15" i="15"/>
  <c r="G17" i="15" s="1"/>
  <c r="CM14" i="15"/>
  <c r="CN14" i="15" s="1"/>
  <c r="CF14" i="15"/>
  <c r="CI14" i="15" s="1"/>
  <c r="AW14" i="15"/>
  <c r="AX14" i="15" s="1"/>
  <c r="BI14" i="15" s="1"/>
  <c r="BK14" i="15" s="1"/>
  <c r="AP14" i="15"/>
  <c r="AS14" i="15" s="1"/>
  <c r="AV14" i="15" s="1"/>
  <c r="BF14" i="15" s="1"/>
  <c r="BG14" i="15" s="1"/>
  <c r="BL14" i="15" s="1"/>
  <c r="O14" i="15"/>
  <c r="O13" i="15"/>
  <c r="O12" i="15"/>
  <c r="O11" i="15"/>
  <c r="K11" i="15"/>
  <c r="I11" i="15"/>
  <c r="O10" i="15"/>
  <c r="CM9" i="15"/>
  <c r="CN9" i="15" s="1"/>
  <c r="CF9" i="15"/>
  <c r="CP9" i="15" s="1"/>
  <c r="CQ9" i="15" s="1"/>
  <c r="AW9" i="15"/>
  <c r="AX9" i="15" s="1"/>
  <c r="AP9" i="15"/>
  <c r="AZ9" i="15" s="1"/>
  <c r="BA9" i="15" s="1"/>
  <c r="O9" i="15"/>
  <c r="CM8" i="15"/>
  <c r="CN8" i="15" s="1"/>
  <c r="CF8" i="15"/>
  <c r="CI8" i="15" s="1"/>
  <c r="CL8" i="15" s="1"/>
  <c r="CV8" i="15" s="1"/>
  <c r="CW8" i="15" s="1"/>
  <c r="AW8" i="15"/>
  <c r="AX8" i="15" s="1"/>
  <c r="AP8" i="15"/>
  <c r="O8" i="15"/>
  <c r="CM7" i="15"/>
  <c r="CN7" i="15" s="1"/>
  <c r="CF7" i="15"/>
  <c r="CP7" i="15" s="1"/>
  <c r="CQ7" i="15" s="1"/>
  <c r="AW7" i="15"/>
  <c r="AX7" i="15" s="1"/>
  <c r="AP7" i="15"/>
  <c r="AZ7" i="15" s="1"/>
  <c r="BA7" i="15" s="1"/>
  <c r="O7" i="15"/>
  <c r="CM6" i="15"/>
  <c r="CN6" i="15" s="1"/>
  <c r="CF6" i="15"/>
  <c r="CI6" i="15" s="1"/>
  <c r="AW6" i="15"/>
  <c r="AX6" i="15" s="1"/>
  <c r="AP6" i="15"/>
  <c r="AZ6" i="15" s="1"/>
  <c r="BA6" i="15" s="1"/>
  <c r="O6" i="15"/>
  <c r="O5" i="15"/>
  <c r="O4" i="15"/>
  <c r="O3" i="15"/>
  <c r="R106" i="8"/>
  <c r="R105" i="8"/>
  <c r="K106" i="8"/>
  <c r="K105" i="8"/>
  <c r="R33" i="8"/>
  <c r="R29" i="8"/>
  <c r="R25" i="8"/>
  <c r="R14" i="8"/>
  <c r="R10" i="8"/>
  <c r="R6" i="8"/>
  <c r="G55" i="15" l="1"/>
  <c r="H49" i="15" s="1"/>
  <c r="B49" i="15" s="1"/>
  <c r="B46" i="15"/>
  <c r="CU48" i="15"/>
  <c r="CX48" i="15" s="1"/>
  <c r="DH48" i="15" s="1"/>
  <c r="DI48" i="15" s="1"/>
  <c r="T52" i="15"/>
  <c r="CP24" i="15"/>
  <c r="CQ24" i="15" s="1"/>
  <c r="CU36" i="15"/>
  <c r="DE36" i="15" s="1"/>
  <c r="DF36" i="15" s="1"/>
  <c r="R52" i="15"/>
  <c r="J23" i="15" s="1"/>
  <c r="P46" i="15"/>
  <c r="D36" i="15"/>
  <c r="BI19" i="15"/>
  <c r="BK19" i="15" s="1"/>
  <c r="BM19" i="15" s="1"/>
  <c r="DB42" i="15"/>
  <c r="DC42" i="15" s="1"/>
  <c r="AZ26" i="15"/>
  <c r="BA26" i="15" s="1"/>
  <c r="DB32" i="15"/>
  <c r="DC32" i="15" s="1"/>
  <c r="DF32" i="15" s="1"/>
  <c r="DK32" i="15" s="1"/>
  <c r="DM32" i="15" s="1"/>
  <c r="AS28" i="15"/>
  <c r="BC28" i="15" s="1"/>
  <c r="BD28" i="15" s="1"/>
  <c r="CU38" i="15"/>
  <c r="CX38" i="15" s="1"/>
  <c r="DH38" i="15" s="1"/>
  <c r="DI38" i="15" s="1"/>
  <c r="AZ14" i="15"/>
  <c r="BA14" i="15" s="1"/>
  <c r="BC14" i="15"/>
  <c r="DB33" i="15"/>
  <c r="DC33" i="15" s="1"/>
  <c r="S52" i="15"/>
  <c r="DB31" i="15"/>
  <c r="DC31" i="15" s="1"/>
  <c r="BU42" i="15"/>
  <c r="BW42" i="15" s="1"/>
  <c r="AZ19" i="15"/>
  <c r="BA19" i="15" s="1"/>
  <c r="BL42" i="15"/>
  <c r="BM42" i="15" s="1"/>
  <c r="BE39" i="15"/>
  <c r="BH39" i="15" s="1"/>
  <c r="BR39" i="15" s="1"/>
  <c r="BS39" i="15" s="1"/>
  <c r="BX39" i="15" s="1"/>
  <c r="AV26" i="15"/>
  <c r="BF26" i="15" s="1"/>
  <c r="BG26" i="15" s="1"/>
  <c r="BL26" i="15" s="1"/>
  <c r="BC26" i="15"/>
  <c r="BD26" i="15" s="1"/>
  <c r="F24" i="15"/>
  <c r="BI26" i="15"/>
  <c r="BK26" i="15" s="1"/>
  <c r="BU37" i="15"/>
  <c r="BW37" i="15" s="1"/>
  <c r="AV23" i="15"/>
  <c r="BF23" i="15" s="1"/>
  <c r="BG23" i="15" s="1"/>
  <c r="BL23" i="15" s="1"/>
  <c r="BI23" i="15"/>
  <c r="BK23" i="15" s="1"/>
  <c r="BC23" i="15"/>
  <c r="BD23" i="15" s="1"/>
  <c r="BD14" i="15"/>
  <c r="BL32" i="15"/>
  <c r="BM32" i="15" s="1"/>
  <c r="BU50" i="15"/>
  <c r="BW50" i="15" s="1"/>
  <c r="BY50" i="15" s="1"/>
  <c r="BY42" i="15"/>
  <c r="BL36" i="15"/>
  <c r="BM36" i="15" s="1"/>
  <c r="BL37" i="15"/>
  <c r="BM37" i="15" s="1"/>
  <c r="BP37" i="15" s="1"/>
  <c r="DE38" i="15"/>
  <c r="BU49" i="15"/>
  <c r="BW49" i="15" s="1"/>
  <c r="BY49" i="15" s="1"/>
  <c r="BL50" i="15"/>
  <c r="BM50" i="15" s="1"/>
  <c r="CI17" i="15"/>
  <c r="CP19" i="15"/>
  <c r="CQ19" i="15" s="1"/>
  <c r="CX32" i="15"/>
  <c r="DH32" i="15" s="1"/>
  <c r="DI32" i="15" s="1"/>
  <c r="BL49" i="15"/>
  <c r="BM49" i="15" s="1"/>
  <c r="BO50" i="15"/>
  <c r="CI23" i="15"/>
  <c r="CL23" i="15" s="1"/>
  <c r="CV23" i="15" s="1"/>
  <c r="CW23" i="15" s="1"/>
  <c r="CP26" i="15"/>
  <c r="CQ26" i="15" s="1"/>
  <c r="CT26" i="15" s="1"/>
  <c r="BL29" i="15"/>
  <c r="BM29" i="15" s="1"/>
  <c r="DB40" i="15"/>
  <c r="DC40" i="15" s="1"/>
  <c r="BO49" i="15"/>
  <c r="BP49" i="15" s="1"/>
  <c r="CP8" i="15"/>
  <c r="CQ8" i="15" s="1"/>
  <c r="CU50" i="15"/>
  <c r="J25" i="15"/>
  <c r="BO29" i="15"/>
  <c r="CP21" i="15"/>
  <c r="CQ21" i="15" s="1"/>
  <c r="AZ23" i="15"/>
  <c r="BA23" i="15" s="1"/>
  <c r="AS27" i="15"/>
  <c r="BI27" i="15" s="1"/>
  <c r="BK27" i="15" s="1"/>
  <c r="BU29" i="15"/>
  <c r="BW29" i="15" s="1"/>
  <c r="BY29" i="15" s="1"/>
  <c r="BL31" i="15"/>
  <c r="BM31" i="15" s="1"/>
  <c r="BU33" i="15"/>
  <c r="BW33" i="15" s="1"/>
  <c r="BE48" i="15"/>
  <c r="BH48" i="15" s="1"/>
  <c r="BR48" i="15" s="1"/>
  <c r="BS48" i="15" s="1"/>
  <c r="BX48" i="15" s="1"/>
  <c r="CU49" i="15"/>
  <c r="BU31" i="15"/>
  <c r="BW31" i="15" s="1"/>
  <c r="BY31" i="15" s="1"/>
  <c r="U58" i="15"/>
  <c r="AZ16" i="15"/>
  <c r="BA16" i="15" s="1"/>
  <c r="AS9" i="15"/>
  <c r="AV9" i="15" s="1"/>
  <c r="BF9" i="15" s="1"/>
  <c r="BG9" i="15" s="1"/>
  <c r="BL9" i="15" s="1"/>
  <c r="CS18" i="15"/>
  <c r="CI20" i="15"/>
  <c r="CU35" i="15"/>
  <c r="DE35" i="15" s="1"/>
  <c r="DF35" i="15" s="1"/>
  <c r="CP22" i="15"/>
  <c r="CQ22" i="15" s="1"/>
  <c r="AS7" i="15"/>
  <c r="BC7" i="15" s="1"/>
  <c r="BD7" i="15" s="1"/>
  <c r="BL33" i="15"/>
  <c r="BM33" i="15" s="1"/>
  <c r="BU38" i="15"/>
  <c r="BW38" i="15" s="1"/>
  <c r="BY38" i="15" s="1"/>
  <c r="CI9" i="15"/>
  <c r="CL9" i="15" s="1"/>
  <c r="CV9" i="15" s="1"/>
  <c r="CW9" i="15" s="1"/>
  <c r="CU46" i="15"/>
  <c r="DE46" i="15" s="1"/>
  <c r="DF46" i="15" s="1"/>
  <c r="BM14" i="15"/>
  <c r="CP14" i="15"/>
  <c r="CQ14" i="15" s="1"/>
  <c r="DB29" i="15"/>
  <c r="DC29" i="15" s="1"/>
  <c r="BL46" i="15"/>
  <c r="BM46" i="15" s="1"/>
  <c r="BP46" i="15" s="1"/>
  <c r="O28" i="15"/>
  <c r="CS22" i="15"/>
  <c r="CL22" i="15"/>
  <c r="CV22" i="15" s="1"/>
  <c r="CW22" i="15" s="1"/>
  <c r="BC20" i="15"/>
  <c r="BI20" i="15"/>
  <c r="BK20" i="15" s="1"/>
  <c r="AV20" i="15"/>
  <c r="BF20" i="15" s="1"/>
  <c r="BG20" i="15" s="1"/>
  <c r="BL20" i="15" s="1"/>
  <c r="CS6" i="15"/>
  <c r="CL6" i="15"/>
  <c r="CV6" i="15" s="1"/>
  <c r="CW6" i="15" s="1"/>
  <c r="CT19" i="15"/>
  <c r="BU40" i="15"/>
  <c r="BW40" i="15" s="1"/>
  <c r="BO40" i="15"/>
  <c r="BH40" i="15"/>
  <c r="BR40" i="15" s="1"/>
  <c r="BS40" i="15" s="1"/>
  <c r="BX40" i="15" s="1"/>
  <c r="CU30" i="15"/>
  <c r="BE44" i="15"/>
  <c r="CX31" i="15"/>
  <c r="DH31" i="15" s="1"/>
  <c r="DI31" i="15" s="1"/>
  <c r="DE31" i="15"/>
  <c r="DF31" i="15" s="1"/>
  <c r="DK31" i="15" s="1"/>
  <c r="DM31" i="15" s="1"/>
  <c r="BU36" i="15"/>
  <c r="BW36" i="15" s="1"/>
  <c r="BO36" i="15"/>
  <c r="J24" i="15"/>
  <c r="CI15" i="15"/>
  <c r="N28" i="15"/>
  <c r="R31" i="15" s="1"/>
  <c r="J48" i="15" s="1"/>
  <c r="K9" i="15"/>
  <c r="O30" i="15"/>
  <c r="O31" i="15" s="1"/>
  <c r="AS15" i="15"/>
  <c r="AZ20" i="15"/>
  <c r="BA20" i="15" s="1"/>
  <c r="BE35" i="15"/>
  <c r="BH36" i="15"/>
  <c r="BR36" i="15" s="1"/>
  <c r="BS36" i="15" s="1"/>
  <c r="BX36" i="15" s="1"/>
  <c r="DB51" i="15"/>
  <c r="DC51" i="15" s="1"/>
  <c r="CU51" i="15"/>
  <c r="AS22" i="15"/>
  <c r="CS14" i="15"/>
  <c r="CL14" i="15"/>
  <c r="CV14" i="15" s="1"/>
  <c r="CW14" i="15" s="1"/>
  <c r="CI16" i="15"/>
  <c r="E49" i="15"/>
  <c r="BH33" i="15"/>
  <c r="BR33" i="15" s="1"/>
  <c r="BS33" i="15" s="1"/>
  <c r="BX33" i="15" s="1"/>
  <c r="BL40" i="15"/>
  <c r="BM40" i="15" s="1"/>
  <c r="U57" i="15"/>
  <c r="R57" i="15"/>
  <c r="R59" i="15" s="1"/>
  <c r="BU46" i="15"/>
  <c r="BW46" i="15" s="1"/>
  <c r="BH46" i="15"/>
  <c r="BR46" i="15" s="1"/>
  <c r="BS46" i="15" s="1"/>
  <c r="BX46" i="15" s="1"/>
  <c r="BY46" i="15" s="1"/>
  <c r="AS6" i="15"/>
  <c r="AS8" i="15"/>
  <c r="AZ8" i="15"/>
  <c r="BA8" i="15" s="1"/>
  <c r="BL30" i="15"/>
  <c r="BM30" i="15" s="1"/>
  <c r="BE30" i="15"/>
  <c r="DE40" i="15"/>
  <c r="CX40" i="15"/>
  <c r="DH40" i="15" s="1"/>
  <c r="DI40" i="15" s="1"/>
  <c r="AV21" i="15"/>
  <c r="BF21" i="15" s="1"/>
  <c r="BG21" i="15" s="1"/>
  <c r="BL21" i="15" s="1"/>
  <c r="BI21" i="15"/>
  <c r="BK21" i="15" s="1"/>
  <c r="CS21" i="15"/>
  <c r="BH32" i="15"/>
  <c r="BR32" i="15" s="1"/>
  <c r="BS32" i="15" s="1"/>
  <c r="BX32" i="15" s="1"/>
  <c r="BU32" i="15"/>
  <c r="BW32" i="15" s="1"/>
  <c r="BO32" i="15"/>
  <c r="BO48" i="15"/>
  <c r="BP48" i="15" s="1"/>
  <c r="CU34" i="15"/>
  <c r="CP6" i="15"/>
  <c r="CQ6" i="15" s="1"/>
  <c r="CS24" i="15"/>
  <c r="CT24" i="15" s="1"/>
  <c r="T54" i="15"/>
  <c r="CL19" i="15"/>
  <c r="CV19" i="15" s="1"/>
  <c r="CW19" i="15" s="1"/>
  <c r="AV24" i="15"/>
  <c r="BF24" i="15" s="1"/>
  <c r="BG24" i="15" s="1"/>
  <c r="BL24" i="15" s="1"/>
  <c r="BI24" i="15"/>
  <c r="BK24" i="15" s="1"/>
  <c r="CI7" i="15"/>
  <c r="CS8" i="15"/>
  <c r="DF38" i="15"/>
  <c r="DN38" i="15" s="1"/>
  <c r="CU43" i="15"/>
  <c r="E51" i="15"/>
  <c r="AS17" i="15"/>
  <c r="CL24" i="15"/>
  <c r="CV24" i="15" s="1"/>
  <c r="CW24" i="15" s="1"/>
  <c r="BC19" i="15"/>
  <c r="AZ21" i="15"/>
  <c r="BA21" i="15" s="1"/>
  <c r="BO33" i="15"/>
  <c r="BI16" i="15"/>
  <c r="BK16" i="15" s="1"/>
  <c r="BC16" i="15"/>
  <c r="AV16" i="15"/>
  <c r="BF16" i="15" s="1"/>
  <c r="BG16" i="15" s="1"/>
  <c r="BL16" i="15" s="1"/>
  <c r="AZ24" i="15"/>
  <c r="BA24" i="15" s="1"/>
  <c r="BD24" i="15" s="1"/>
  <c r="DE29" i="15"/>
  <c r="CX29" i="15"/>
  <c r="DH29" i="15" s="1"/>
  <c r="DI29" i="15" s="1"/>
  <c r="DE33" i="15"/>
  <c r="DF33" i="15" s="1"/>
  <c r="CX33" i="15"/>
  <c r="DH33" i="15" s="1"/>
  <c r="DI33" i="15" s="1"/>
  <c r="DN33" i="15" s="1"/>
  <c r="CU39" i="15"/>
  <c r="DE48" i="15"/>
  <c r="DF48" i="15" s="1"/>
  <c r="DK48" i="15" s="1"/>
  <c r="DM48" i="15" s="1"/>
  <c r="CL26" i="15"/>
  <c r="CV26" i="15" s="1"/>
  <c r="CW26" i="15" s="1"/>
  <c r="CL21" i="15"/>
  <c r="CV21" i="15" s="1"/>
  <c r="CW21" i="15" s="1"/>
  <c r="BC21" i="15"/>
  <c r="BE43" i="15"/>
  <c r="BE34" i="15"/>
  <c r="CU37" i="15"/>
  <c r="CU45" i="15"/>
  <c r="CX46" i="15"/>
  <c r="DH46" i="15" s="1"/>
  <c r="DI46" i="15" s="1"/>
  <c r="BE51" i="15"/>
  <c r="AS18" i="15"/>
  <c r="AS25" i="15"/>
  <c r="CI25" i="15"/>
  <c r="BO31" i="15"/>
  <c r="CU41" i="15"/>
  <c r="BE45" i="15"/>
  <c r="E64" i="15"/>
  <c r="E67" i="15" s="1"/>
  <c r="BL38" i="15"/>
  <c r="BM38" i="15" s="1"/>
  <c r="S54" i="15"/>
  <c r="R54" i="15"/>
  <c r="BO38" i="15"/>
  <c r="DE42" i="15"/>
  <c r="CX36" i="15"/>
  <c r="DH36" i="15" s="1"/>
  <c r="DI36" i="15" s="1"/>
  <c r="BH37" i="15"/>
  <c r="BR37" i="15" s="1"/>
  <c r="BS37" i="15" s="1"/>
  <c r="BX37" i="15" s="1"/>
  <c r="BE41" i="15"/>
  <c r="CU44" i="15"/>
  <c r="CI28" i="15"/>
  <c r="CP18" i="15"/>
  <c r="CQ18" i="15" s="1"/>
  <c r="CI27" i="15"/>
  <c r="BO42" i="15"/>
  <c r="H87" i="15"/>
  <c r="DF42" i="15" l="1"/>
  <c r="DK42" i="15" s="1"/>
  <c r="DM42" i="15" s="1"/>
  <c r="DK33" i="15"/>
  <c r="DM33" i="15" s="1"/>
  <c r="CX35" i="15"/>
  <c r="DH35" i="15" s="1"/>
  <c r="DI35" i="15" s="1"/>
  <c r="BC9" i="15"/>
  <c r="BD9" i="15" s="1"/>
  <c r="CT14" i="15"/>
  <c r="CY14" i="15" s="1"/>
  <c r="DA14" i="15" s="1"/>
  <c r="BP50" i="15"/>
  <c r="BD19" i="15"/>
  <c r="BI9" i="15"/>
  <c r="BK9" i="15" s="1"/>
  <c r="BM9" i="15" s="1"/>
  <c r="DN36" i="15"/>
  <c r="CT21" i="15"/>
  <c r="DB24" i="15"/>
  <c r="CT18" i="15"/>
  <c r="DB18" i="15" s="1"/>
  <c r="BU48" i="15"/>
  <c r="BW48" i="15" s="1"/>
  <c r="BY48" i="15" s="1"/>
  <c r="B36" i="15"/>
  <c r="H50" i="15" s="1"/>
  <c r="B47" i="15"/>
  <c r="B24" i="15"/>
  <c r="E24" i="15" s="1"/>
  <c r="BP36" i="15"/>
  <c r="U59" i="15"/>
  <c r="BP32" i="15"/>
  <c r="BM16" i="15"/>
  <c r="BD16" i="15"/>
  <c r="DK35" i="15"/>
  <c r="DM35" i="15" s="1"/>
  <c r="BU39" i="15"/>
  <c r="BW39" i="15" s="1"/>
  <c r="BY39" i="15" s="1"/>
  <c r="DB21" i="15"/>
  <c r="DC21" i="15" s="1"/>
  <c r="DN48" i="15"/>
  <c r="DO48" i="15" s="1"/>
  <c r="DF40" i="15"/>
  <c r="DK40" i="15" s="1"/>
  <c r="DM40" i="15" s="1"/>
  <c r="BP29" i="15"/>
  <c r="CY26" i="15"/>
  <c r="DA26" i="15" s="1"/>
  <c r="BP42" i="15"/>
  <c r="CT8" i="15"/>
  <c r="CY8" i="15" s="1"/>
  <c r="DA8" i="15" s="1"/>
  <c r="E46" i="15"/>
  <c r="CY19" i="15"/>
  <c r="DA19" i="15" s="1"/>
  <c r="BO39" i="15"/>
  <c r="BP39" i="15" s="1"/>
  <c r="BP33" i="15"/>
  <c r="CS9" i="15"/>
  <c r="CT9" i="15" s="1"/>
  <c r="DB9" i="15" s="1"/>
  <c r="AV28" i="15"/>
  <c r="BF28" i="15" s="1"/>
  <c r="BG28" i="15" s="1"/>
  <c r="BL28" i="15" s="1"/>
  <c r="BI28" i="15"/>
  <c r="BK28" i="15" s="1"/>
  <c r="DK36" i="15"/>
  <c r="DM36" i="15" s="1"/>
  <c r="DO36" i="15" s="1"/>
  <c r="DN35" i="15"/>
  <c r="DO35" i="15" s="1"/>
  <c r="BM23" i="15"/>
  <c r="CY21" i="15"/>
  <c r="DA21" i="15" s="1"/>
  <c r="CS17" i="15"/>
  <c r="CT17" i="15" s="1"/>
  <c r="CL17" i="15"/>
  <c r="CV17" i="15" s="1"/>
  <c r="CW17" i="15" s="1"/>
  <c r="DB17" i="15" s="1"/>
  <c r="BM24" i="15"/>
  <c r="B28" i="15"/>
  <c r="E28" i="15" s="1"/>
  <c r="E47" i="15"/>
  <c r="CS23" i="15"/>
  <c r="CT23" i="15" s="1"/>
  <c r="CY23" i="15" s="1"/>
  <c r="DA23" i="15" s="1"/>
  <c r="B29" i="15"/>
  <c r="E29" i="15" s="1"/>
  <c r="CS20" i="15"/>
  <c r="CT20" i="15" s="1"/>
  <c r="CL20" i="15"/>
  <c r="CV20" i="15" s="1"/>
  <c r="CW20" i="15" s="1"/>
  <c r="DB20" i="15" s="1"/>
  <c r="DE50" i="15"/>
  <c r="DF50" i="15" s="1"/>
  <c r="CX50" i="15"/>
  <c r="DH50" i="15" s="1"/>
  <c r="DI50" i="15" s="1"/>
  <c r="AV7" i="15"/>
  <c r="BF7" i="15" s="1"/>
  <c r="BG7" i="15" s="1"/>
  <c r="BL7" i="15" s="1"/>
  <c r="BI7" i="15"/>
  <c r="BK7" i="15" s="1"/>
  <c r="BM26" i="15"/>
  <c r="BP31" i="15"/>
  <c r="BY33" i="15"/>
  <c r="F25" i="15"/>
  <c r="F22" i="15" s="1"/>
  <c r="BY40" i="15"/>
  <c r="CT22" i="15"/>
  <c r="CY22" i="15" s="1"/>
  <c r="DA22" i="15" s="1"/>
  <c r="BC27" i="15"/>
  <c r="BD27" i="15" s="1"/>
  <c r="AV27" i="15"/>
  <c r="BF27" i="15" s="1"/>
  <c r="BG27" i="15" s="1"/>
  <c r="BL27" i="15" s="1"/>
  <c r="BM27" i="15" s="1"/>
  <c r="DB26" i="15"/>
  <c r="DC26" i="15" s="1"/>
  <c r="DK46" i="15"/>
  <c r="DM46" i="15" s="1"/>
  <c r="DF29" i="15"/>
  <c r="DK29" i="15" s="1"/>
  <c r="DM29" i="15" s="1"/>
  <c r="BY37" i="15"/>
  <c r="BP40" i="15"/>
  <c r="CX49" i="15"/>
  <c r="DH49" i="15" s="1"/>
  <c r="DI49" i="15" s="1"/>
  <c r="DE49" i="15"/>
  <c r="DF49" i="15" s="1"/>
  <c r="DE44" i="15"/>
  <c r="DF44" i="15" s="1"/>
  <c r="CX44" i="15"/>
  <c r="DH44" i="15" s="1"/>
  <c r="DI44" i="15" s="1"/>
  <c r="CS16" i="15"/>
  <c r="CT16" i="15" s="1"/>
  <c r="CL16" i="15"/>
  <c r="CV16" i="15" s="1"/>
  <c r="CW16" i="15" s="1"/>
  <c r="DB16" i="15" s="1"/>
  <c r="Q31" i="15"/>
  <c r="J47" i="15" s="1"/>
  <c r="P31" i="15"/>
  <c r="J46" i="15" s="1"/>
  <c r="J50" i="15" s="1"/>
  <c r="DK38" i="15"/>
  <c r="DM38" i="15" s="1"/>
  <c r="DO38" i="15" s="1"/>
  <c r="BH41" i="15"/>
  <c r="BR41" i="15" s="1"/>
  <c r="BS41" i="15" s="1"/>
  <c r="BX41" i="15" s="1"/>
  <c r="BO41" i="15"/>
  <c r="BP41" i="15" s="1"/>
  <c r="BU41" i="15"/>
  <c r="BW41" i="15" s="1"/>
  <c r="CS7" i="15"/>
  <c r="CT7" i="15" s="1"/>
  <c r="CY7" i="15" s="1"/>
  <c r="DA7" i="15" s="1"/>
  <c r="CL7" i="15"/>
  <c r="CV7" i="15" s="1"/>
  <c r="CW7" i="15" s="1"/>
  <c r="CL15" i="15"/>
  <c r="CV15" i="15" s="1"/>
  <c r="CW15" i="15" s="1"/>
  <c r="CS15" i="15"/>
  <c r="CT15" i="15" s="1"/>
  <c r="G7" i="15"/>
  <c r="BD20" i="15"/>
  <c r="CX41" i="15"/>
  <c r="DH41" i="15" s="1"/>
  <c r="DI41" i="15" s="1"/>
  <c r="DE41" i="15"/>
  <c r="DF41" i="15" s="1"/>
  <c r="BY32" i="15"/>
  <c r="BC8" i="15"/>
  <c r="BD8" i="15" s="1"/>
  <c r="BI8" i="15"/>
  <c r="BK8" i="15" s="1"/>
  <c r="AV8" i="15"/>
  <c r="BF8" i="15" s="1"/>
  <c r="BG8" i="15" s="1"/>
  <c r="BL8" i="15" s="1"/>
  <c r="BM8" i="15" s="1"/>
  <c r="BI15" i="15"/>
  <c r="BK15" i="15" s="1"/>
  <c r="BC15" i="15"/>
  <c r="BD15" i="15" s="1"/>
  <c r="AV15" i="15"/>
  <c r="BF15" i="15" s="1"/>
  <c r="BG15" i="15" s="1"/>
  <c r="BL15" i="15" s="1"/>
  <c r="CL25" i="15"/>
  <c r="CV25" i="15" s="1"/>
  <c r="CW25" i="15" s="1"/>
  <c r="CS25" i="15"/>
  <c r="CT25" i="15" s="1"/>
  <c r="CY25" i="15" s="1"/>
  <c r="DA25" i="15" s="1"/>
  <c r="DN42" i="15"/>
  <c r="DO42" i="15" s="1"/>
  <c r="CY24" i="15"/>
  <c r="DA24" i="15" s="1"/>
  <c r="DE51" i="15"/>
  <c r="DF51" i="15" s="1"/>
  <c r="CX51" i="15"/>
  <c r="DH51" i="15" s="1"/>
  <c r="DI51" i="15" s="1"/>
  <c r="DN51" i="15" s="1"/>
  <c r="CT6" i="15"/>
  <c r="CY6" i="15" s="1"/>
  <c r="DA6" i="15" s="1"/>
  <c r="DE43" i="15"/>
  <c r="DF43" i="15" s="1"/>
  <c r="CX43" i="15"/>
  <c r="DH43" i="15" s="1"/>
  <c r="DI43" i="15" s="1"/>
  <c r="DN43" i="15" s="1"/>
  <c r="BO44" i="15"/>
  <c r="BP44" i="15" s="1"/>
  <c r="BU44" i="15"/>
  <c r="BW44" i="15" s="1"/>
  <c r="BH44" i="15"/>
  <c r="BR44" i="15" s="1"/>
  <c r="BS44" i="15" s="1"/>
  <c r="BX44" i="15" s="1"/>
  <c r="BY44" i="15" s="1"/>
  <c r="BU30" i="15"/>
  <c r="BW30" i="15" s="1"/>
  <c r="BH30" i="15"/>
  <c r="BR30" i="15" s="1"/>
  <c r="BS30" i="15" s="1"/>
  <c r="BX30" i="15" s="1"/>
  <c r="BO30" i="15"/>
  <c r="BP30" i="15" s="1"/>
  <c r="BU43" i="15"/>
  <c r="BW43" i="15" s="1"/>
  <c r="BO43" i="15"/>
  <c r="BP43" i="15" s="1"/>
  <c r="BH43" i="15"/>
  <c r="BR43" i="15" s="1"/>
  <c r="BS43" i="15" s="1"/>
  <c r="BX43" i="15" s="1"/>
  <c r="BY43" i="15" s="1"/>
  <c r="AV18" i="15"/>
  <c r="BF18" i="15" s="1"/>
  <c r="BG18" i="15" s="1"/>
  <c r="BL18" i="15" s="1"/>
  <c r="BC18" i="15"/>
  <c r="BD18" i="15" s="1"/>
  <c r="BI18" i="15"/>
  <c r="BK18" i="15" s="1"/>
  <c r="BC17" i="15"/>
  <c r="BD17" i="15" s="1"/>
  <c r="BI17" i="15"/>
  <c r="BK17" i="15" s="1"/>
  <c r="AV17" i="15"/>
  <c r="BF17" i="15" s="1"/>
  <c r="BG17" i="15" s="1"/>
  <c r="BL17" i="15" s="1"/>
  <c r="BO34" i="15"/>
  <c r="BP34" i="15" s="1"/>
  <c r="BH34" i="15"/>
  <c r="BR34" i="15" s="1"/>
  <c r="BS34" i="15" s="1"/>
  <c r="BX34" i="15" s="1"/>
  <c r="BU34" i="15"/>
  <c r="BW34" i="15" s="1"/>
  <c r="DE34" i="15"/>
  <c r="DF34" i="15" s="1"/>
  <c r="CX34" i="15"/>
  <c r="DH34" i="15" s="1"/>
  <c r="DI34" i="15" s="1"/>
  <c r="BP38" i="15"/>
  <c r="DE39" i="15"/>
  <c r="DF39" i="15" s="1"/>
  <c r="CX39" i="15"/>
  <c r="DH39" i="15" s="1"/>
  <c r="DI39" i="15" s="1"/>
  <c r="DN39" i="15" s="1"/>
  <c r="BM21" i="15"/>
  <c r="BO45" i="15"/>
  <c r="BP45" i="15" s="1"/>
  <c r="BH45" i="15"/>
  <c r="BR45" i="15" s="1"/>
  <c r="BS45" i="15" s="1"/>
  <c r="BX45" i="15" s="1"/>
  <c r="BU45" i="15"/>
  <c r="BW45" i="15" s="1"/>
  <c r="DO33" i="15"/>
  <c r="DN32" i="15"/>
  <c r="DO32" i="15" s="1"/>
  <c r="CS27" i="15"/>
  <c r="CT27" i="15" s="1"/>
  <c r="CL27" i="15"/>
  <c r="CV27" i="15" s="1"/>
  <c r="CW27" i="15" s="1"/>
  <c r="DB27" i="15" s="1"/>
  <c r="DN46" i="15"/>
  <c r="BD21" i="15"/>
  <c r="BY36" i="15"/>
  <c r="DE30" i="15"/>
  <c r="DF30" i="15" s="1"/>
  <c r="CX30" i="15"/>
  <c r="DH30" i="15" s="1"/>
  <c r="DI30" i="15" s="1"/>
  <c r="DN30" i="15" s="1"/>
  <c r="AV25" i="15"/>
  <c r="BF25" i="15" s="1"/>
  <c r="BG25" i="15" s="1"/>
  <c r="BL25" i="15" s="1"/>
  <c r="BI25" i="15"/>
  <c r="BK25" i="15" s="1"/>
  <c r="BC25" i="15"/>
  <c r="BD25" i="15" s="1"/>
  <c r="BI22" i="15"/>
  <c r="BK22" i="15" s="1"/>
  <c r="BC22" i="15"/>
  <c r="BD22" i="15" s="1"/>
  <c r="AV22" i="15"/>
  <c r="BF22" i="15" s="1"/>
  <c r="BG22" i="15" s="1"/>
  <c r="BL22" i="15" s="1"/>
  <c r="DB19" i="15"/>
  <c r="DC19" i="15" s="1"/>
  <c r="CX45" i="15"/>
  <c r="DH45" i="15" s="1"/>
  <c r="DI45" i="15" s="1"/>
  <c r="DE45" i="15"/>
  <c r="DF45" i="15" s="1"/>
  <c r="DK45" i="15" s="1"/>
  <c r="DM45" i="15" s="1"/>
  <c r="BU35" i="15"/>
  <c r="BW35" i="15" s="1"/>
  <c r="BO35" i="15"/>
  <c r="BP35" i="15" s="1"/>
  <c r="BH35" i="15"/>
  <c r="BR35" i="15" s="1"/>
  <c r="BS35" i="15" s="1"/>
  <c r="BX35" i="15" s="1"/>
  <c r="DN31" i="15"/>
  <c r="DO31" i="15" s="1"/>
  <c r="DB8" i="15"/>
  <c r="DC8" i="15" s="1"/>
  <c r="BI6" i="15"/>
  <c r="BK6" i="15" s="1"/>
  <c r="BC6" i="15"/>
  <c r="BD6" i="15" s="1"/>
  <c r="AV6" i="15"/>
  <c r="BF6" i="15" s="1"/>
  <c r="BG6" i="15" s="1"/>
  <c r="BL6" i="15" s="1"/>
  <c r="BO51" i="15"/>
  <c r="BP51" i="15" s="1"/>
  <c r="BH51" i="15"/>
  <c r="BR51" i="15" s="1"/>
  <c r="BS51" i="15" s="1"/>
  <c r="BX51" i="15" s="1"/>
  <c r="BU51" i="15"/>
  <c r="BW51" i="15" s="1"/>
  <c r="CY18" i="15"/>
  <c r="DA18" i="15" s="1"/>
  <c r="DC18" i="15" s="1"/>
  <c r="CS28" i="15"/>
  <c r="CT28" i="15" s="1"/>
  <c r="CL28" i="15"/>
  <c r="CV28" i="15" s="1"/>
  <c r="CW28" i="15" s="1"/>
  <c r="DB28" i="15" s="1"/>
  <c r="CY28" i="15"/>
  <c r="DA28" i="15" s="1"/>
  <c r="DE37" i="15"/>
  <c r="DF37" i="15" s="1"/>
  <c r="CX37" i="15"/>
  <c r="DH37" i="15" s="1"/>
  <c r="DI37" i="15" s="1"/>
  <c r="DK37" i="15" s="1"/>
  <c r="DM37" i="15" s="1"/>
  <c r="B23" i="15"/>
  <c r="BM20" i="15"/>
  <c r="DC24" i="15" l="1"/>
  <c r="DN44" i="15"/>
  <c r="DB14" i="15"/>
  <c r="DC14" i="15" s="1"/>
  <c r="E36" i="15"/>
  <c r="BM15" i="15"/>
  <c r="CY17" i="15"/>
  <c r="DA17" i="15" s="1"/>
  <c r="DC17" i="15" s="1"/>
  <c r="DK34" i="15"/>
  <c r="DM34" i="15" s="1"/>
  <c r="DN40" i="15"/>
  <c r="DO40" i="15" s="1"/>
  <c r="DN29" i="15"/>
  <c r="DO29" i="15" s="1"/>
  <c r="DO46" i="15"/>
  <c r="BM28" i="15"/>
  <c r="DB7" i="15"/>
  <c r="DC7" i="15" s="1"/>
  <c r="DK50" i="15"/>
  <c r="DM50" i="15" s="1"/>
  <c r="DB6" i="15"/>
  <c r="DC6" i="15" s="1"/>
  <c r="BM17" i="15"/>
  <c r="CY9" i="15"/>
  <c r="DA9" i="15" s="1"/>
  <c r="DC9" i="15" s="1"/>
  <c r="CY27" i="15"/>
  <c r="DA27" i="15" s="1"/>
  <c r="DC27" i="15" s="1"/>
  <c r="CY20" i="15"/>
  <c r="DA20" i="15" s="1"/>
  <c r="DK43" i="15"/>
  <c r="DM43" i="15" s="1"/>
  <c r="DO43" i="15" s="1"/>
  <c r="DK39" i="15"/>
  <c r="DM39" i="15" s="1"/>
  <c r="DO39" i="15" s="1"/>
  <c r="DB22" i="15"/>
  <c r="DC22" i="15" s="1"/>
  <c r="DN41" i="15"/>
  <c r="DC20" i="15"/>
  <c r="B25" i="15"/>
  <c r="E25" i="15" s="1"/>
  <c r="B27" i="15"/>
  <c r="E27" i="15" s="1"/>
  <c r="L37" i="15" s="1"/>
  <c r="BM22" i="15"/>
  <c r="DN34" i="15"/>
  <c r="DO34" i="15" s="1"/>
  <c r="DB25" i="15"/>
  <c r="DC25" i="15" s="1"/>
  <c r="BM7" i="15"/>
  <c r="DN49" i="15"/>
  <c r="DK49" i="15"/>
  <c r="DM49" i="15" s="1"/>
  <c r="DB23" i="15"/>
  <c r="DC23" i="15" s="1"/>
  <c r="BM6" i="15"/>
  <c r="CY15" i="15"/>
  <c r="DA15" i="15" s="1"/>
  <c r="CY16" i="15"/>
  <c r="DA16" i="15" s="1"/>
  <c r="DN50" i="15"/>
  <c r="DC16" i="15"/>
  <c r="DB15" i="15"/>
  <c r="DC15" i="15" s="1"/>
  <c r="DC28" i="15"/>
  <c r="DN45" i="15"/>
  <c r="DO45" i="15" s="1"/>
  <c r="DK44" i="15"/>
  <c r="DM44" i="15" s="1"/>
  <c r="DO44" i="15" s="1"/>
  <c r="BY51" i="15"/>
  <c r="DK30" i="15"/>
  <c r="DM30" i="15" s="1"/>
  <c r="DO30" i="15" s="1"/>
  <c r="BY45" i="15"/>
  <c r="B43" i="15"/>
  <c r="H30" i="15"/>
  <c r="DK51" i="15"/>
  <c r="DM51" i="15" s="1"/>
  <c r="DO51" i="15" s="1"/>
  <c r="E23" i="15"/>
  <c r="BM18" i="15"/>
  <c r="BY34" i="15"/>
  <c r="DN37" i="15"/>
  <c r="DO37" i="15" s="1"/>
  <c r="BM25" i="15"/>
  <c r="DK41" i="15"/>
  <c r="DM41" i="15" s="1"/>
  <c r="BY41" i="15"/>
  <c r="BY35" i="15"/>
  <c r="BY30" i="15"/>
  <c r="E40" i="15" l="1"/>
  <c r="H33" i="15"/>
  <c r="DO50" i="15"/>
  <c r="DO41" i="15"/>
  <c r="DO49" i="15"/>
  <c r="S6" i="15"/>
  <c r="S5" i="15"/>
  <c r="S4" i="15"/>
  <c r="S7" i="15"/>
  <c r="S14" i="15"/>
  <c r="S9" i="15"/>
  <c r="S15" i="15"/>
  <c r="S17" i="15"/>
  <c r="S19" i="15"/>
  <c r="S25" i="15"/>
  <c r="S13" i="15"/>
  <c r="S23" i="15"/>
  <c r="S24" i="15"/>
  <c r="S12" i="15"/>
  <c r="S10" i="15"/>
  <c r="S11" i="15"/>
  <c r="S27" i="15"/>
  <c r="S20" i="15"/>
  <c r="S21" i="15"/>
  <c r="S16" i="15"/>
  <c r="S18" i="15"/>
  <c r="S22" i="15"/>
  <c r="E39" i="15"/>
  <c r="L36" i="15"/>
  <c r="L38" i="15" s="1"/>
  <c r="B33" i="15"/>
  <c r="E33" i="15" s="1"/>
  <c r="E38" i="15" s="1"/>
  <c r="S8" i="15"/>
  <c r="S26" i="15"/>
  <c r="B58" i="15"/>
  <c r="E58" i="15" s="1"/>
  <c r="E61" i="15" s="1"/>
  <c r="C86" i="15"/>
  <c r="S3" i="15" l="1"/>
  <c r="B48" i="15"/>
  <c r="G72" i="15" s="1"/>
  <c r="S28" i="15"/>
  <c r="E41" i="15"/>
  <c r="E69" i="15" s="1"/>
  <c r="B75" i="15" s="1"/>
  <c r="E48" i="15"/>
  <c r="E52" i="15" s="1"/>
  <c r="E53" i="15" s="1"/>
  <c r="H57" i="15"/>
  <c r="H58" i="15" s="1"/>
  <c r="I58" i="15" s="1"/>
  <c r="H61" i="15"/>
  <c r="H60" i="15" s="1"/>
  <c r="I60" i="15" s="1"/>
  <c r="AE73" i="14"/>
  <c r="AE64" i="14"/>
  <c r="AE55" i="14"/>
  <c r="AE45" i="14"/>
  <c r="I41" i="15" l="1"/>
  <c r="E79" i="15"/>
  <c r="F41" i="15"/>
  <c r="F52" i="15"/>
  <c r="AR203" i="14"/>
  <c r="AR202" i="14"/>
  <c r="AC294" i="14"/>
  <c r="AM295" i="14"/>
  <c r="AM294" i="14"/>
  <c r="AH338" i="14"/>
  <c r="AH330" i="14"/>
  <c r="AO328" i="14"/>
  <c r="AP328" i="14" s="1"/>
  <c r="AP329" i="14" s="1"/>
  <c r="AH323" i="14"/>
  <c r="AI160" i="14"/>
  <c r="AE167" i="14" s="1"/>
  <c r="E54" i="15" l="1"/>
  <c r="AI333" i="14"/>
  <c r="AO335" i="14" s="1"/>
  <c r="AI292" i="14"/>
  <c r="AE294" i="14" s="1"/>
  <c r="AI310" i="14"/>
  <c r="AI199" i="14"/>
  <c r="AI302" i="14"/>
  <c r="AI326" i="14"/>
  <c r="AE166" i="14"/>
  <c r="B72" i="15" l="1"/>
  <c r="E72" i="15" s="1"/>
  <c r="F69" i="15"/>
  <c r="AE337" i="14"/>
  <c r="AE336" i="14"/>
  <c r="AE335" i="14"/>
  <c r="AP335" i="14"/>
  <c r="AP336" i="14" s="1"/>
  <c r="AE338" i="14"/>
  <c r="AE330" i="14"/>
  <c r="AE329" i="14"/>
  <c r="AE328" i="14"/>
  <c r="AG75" i="14"/>
  <c r="AG77" i="14" s="1"/>
  <c r="AE77" i="14"/>
  <c r="AC77" i="14"/>
  <c r="AJ75" i="14"/>
  <c r="AJ77" i="14" s="1"/>
  <c r="AI75" i="14"/>
  <c r="AI77" i="14" s="1"/>
  <c r="AH75" i="14"/>
  <c r="AH77" i="14" s="1"/>
  <c r="AF75" i="14"/>
  <c r="AF77" i="14" s="1"/>
  <c r="AD75" i="14"/>
  <c r="AD77" i="14" s="1"/>
  <c r="AI68" i="14"/>
  <c r="AH68" i="14"/>
  <c r="AG68" i="14"/>
  <c r="AC68" i="14"/>
  <c r="AJ66" i="14"/>
  <c r="AJ68" i="14" s="1"/>
  <c r="AF66" i="14"/>
  <c r="AF68" i="14" s="1"/>
  <c r="AE68" i="14"/>
  <c r="AD66" i="14"/>
  <c r="AD68" i="14" s="1"/>
  <c r="AC59" i="14"/>
  <c r="AJ57" i="14"/>
  <c r="AJ59" i="14" s="1"/>
  <c r="AI59" i="14"/>
  <c r="AH57" i="14"/>
  <c r="AH59" i="14" s="1"/>
  <c r="AG57" i="14"/>
  <c r="AG59" i="14" s="1"/>
  <c r="AF57" i="14"/>
  <c r="AF59" i="14" s="1"/>
  <c r="AE57" i="14"/>
  <c r="AE59" i="14" s="1"/>
  <c r="AD57" i="14"/>
  <c r="AD59" i="14" s="1"/>
  <c r="AI49" i="14"/>
  <c r="AC49" i="14"/>
  <c r="AJ47" i="14"/>
  <c r="AJ49" i="14" s="1"/>
  <c r="AH47" i="14"/>
  <c r="AH49" i="14" s="1"/>
  <c r="AG49" i="14"/>
  <c r="AF47" i="14"/>
  <c r="AF49" i="14" s="1"/>
  <c r="AE47" i="14"/>
  <c r="AE49" i="14" s="1"/>
  <c r="AD47" i="14"/>
  <c r="AD49" i="14" s="1"/>
  <c r="E73" i="15" l="1"/>
  <c r="AC69" i="14"/>
  <c r="AC64" i="14" s="1"/>
  <c r="AD64" i="14" s="1"/>
  <c r="AC50" i="14"/>
  <c r="AC45" i="14" s="1"/>
  <c r="AD45" i="14" s="1"/>
  <c r="AC60" i="14"/>
  <c r="AC55" i="14" s="1"/>
  <c r="AD55" i="14" s="1"/>
  <c r="AC78" i="14"/>
  <c r="AC73" i="14" s="1"/>
  <c r="AD73" i="14" s="1"/>
  <c r="G86" i="15" l="1"/>
  <c r="G73" i="15" s="1"/>
  <c r="H74" i="15" s="1"/>
  <c r="E74" i="15"/>
  <c r="E75" i="15" s="1"/>
  <c r="O29" i="12"/>
  <c r="O29" i="13"/>
  <c r="O29" i="5"/>
  <c r="P77" i="14"/>
  <c r="W75" i="14"/>
  <c r="W77" i="14" s="1"/>
  <c r="V75" i="14"/>
  <c r="V77" i="14" s="1"/>
  <c r="U75" i="14"/>
  <c r="U77" i="14" s="1"/>
  <c r="T75" i="14"/>
  <c r="T77" i="14" s="1"/>
  <c r="S75" i="14"/>
  <c r="S77" i="14" s="1"/>
  <c r="R75" i="14"/>
  <c r="R77" i="14" s="1"/>
  <c r="Q75" i="14"/>
  <c r="Q77" i="14" s="1"/>
  <c r="I49" i="14"/>
  <c r="O62" i="14" s="1"/>
  <c r="J49" i="14"/>
  <c r="Q62" i="14" s="1"/>
  <c r="O29" i="1"/>
  <c r="O29" i="14"/>
  <c r="H60" i="5"/>
  <c r="H63" i="14"/>
  <c r="H55" i="1"/>
  <c r="H56" i="9"/>
  <c r="H55" i="13"/>
  <c r="H59" i="12"/>
  <c r="H62" i="12"/>
  <c r="H58" i="13"/>
  <c r="A42" i="1"/>
  <c r="H58" i="1"/>
  <c r="H66" i="14"/>
  <c r="H63" i="5"/>
  <c r="A49" i="5"/>
  <c r="A52" i="14"/>
  <c r="F73" i="14" s="1"/>
  <c r="C49" i="14"/>
  <c r="R64" i="14" s="1"/>
  <c r="C47" i="5"/>
  <c r="D47" i="5" s="1"/>
  <c r="J46" i="5"/>
  <c r="I46" i="5"/>
  <c r="J47" i="5"/>
  <c r="I47" i="5"/>
  <c r="P68" i="14"/>
  <c r="W66" i="14"/>
  <c r="W68" i="14" s="1"/>
  <c r="V66" i="14"/>
  <c r="V68" i="14" s="1"/>
  <c r="U66" i="14"/>
  <c r="U68" i="14" s="1"/>
  <c r="T66" i="14"/>
  <c r="T68" i="14" s="1"/>
  <c r="S66" i="14"/>
  <c r="S68" i="14" s="1"/>
  <c r="R66" i="14"/>
  <c r="R68" i="14" s="1"/>
  <c r="Q66" i="14"/>
  <c r="Q68" i="14" s="1"/>
  <c r="P59" i="14"/>
  <c r="W57" i="14"/>
  <c r="W59" i="14" s="1"/>
  <c r="V57" i="14"/>
  <c r="V59" i="14" s="1"/>
  <c r="U57" i="14"/>
  <c r="U59" i="14" s="1"/>
  <c r="T57" i="14"/>
  <c r="T59" i="14" s="1"/>
  <c r="S57" i="14"/>
  <c r="S59" i="14" s="1"/>
  <c r="R57" i="14"/>
  <c r="R59" i="14" s="1"/>
  <c r="Q57" i="14"/>
  <c r="Q59" i="14" s="1"/>
  <c r="I86" i="15" l="1"/>
  <c r="H86" i="15"/>
  <c r="H61" i="5"/>
  <c r="H62" i="5" s="1"/>
  <c r="H64" i="14"/>
  <c r="D49" i="14"/>
  <c r="H65" i="14"/>
  <c r="P78" i="14"/>
  <c r="P73" i="14" s="1"/>
  <c r="F49" i="14"/>
  <c r="S62" i="14"/>
  <c r="K47" i="5"/>
  <c r="K49" i="14"/>
  <c r="F47" i="5"/>
  <c r="P69" i="14"/>
  <c r="P64" i="14" s="1"/>
  <c r="Q64" i="14" s="1"/>
  <c r="P60" i="14"/>
  <c r="P55" i="14" s="1"/>
  <c r="J50" i="14"/>
  <c r="Q71" i="14" s="1"/>
  <c r="J48" i="14"/>
  <c r="Q53" i="14" s="1"/>
  <c r="J47" i="14"/>
  <c r="Q43" i="14" s="1"/>
  <c r="C41" i="14"/>
  <c r="W44" i="5"/>
  <c r="V44" i="5"/>
  <c r="U44" i="5"/>
  <c r="T44" i="5"/>
  <c r="S44" i="5"/>
  <c r="R44" i="5"/>
  <c r="Q44" i="5"/>
  <c r="N27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4" i="9"/>
  <c r="N3" i="9"/>
  <c r="N28" i="9" l="1"/>
  <c r="W47" i="14"/>
  <c r="V47" i="14"/>
  <c r="U47" i="14"/>
  <c r="T47" i="14"/>
  <c r="S47" i="14"/>
  <c r="R47" i="14"/>
  <c r="Q47" i="14"/>
  <c r="B42" i="5"/>
  <c r="B35" i="1"/>
  <c r="B45" i="14"/>
  <c r="AB80" i="14" s="1"/>
  <c r="AI123" i="14"/>
  <c r="AI139" i="14" s="1"/>
  <c r="AO141" i="14" s="1"/>
  <c r="C118" i="14"/>
  <c r="C117" i="14"/>
  <c r="I123" i="14"/>
  <c r="C125" i="14" s="1"/>
  <c r="J21" i="14"/>
  <c r="J20" i="14"/>
  <c r="D45" i="14"/>
  <c r="D32" i="14"/>
  <c r="D39" i="14"/>
  <c r="E35" i="14"/>
  <c r="F264" i="8"/>
  <c r="F215" i="8"/>
  <c r="F117" i="8"/>
  <c r="W28" i="9"/>
  <c r="V28" i="9"/>
  <c r="U28" i="9"/>
  <c r="I48" i="14"/>
  <c r="O53" i="14" s="1"/>
  <c r="I47" i="14"/>
  <c r="O43" i="14" s="1"/>
  <c r="D33" i="14"/>
  <c r="AM152" i="14"/>
  <c r="AM147" i="14"/>
  <c r="M147" i="14"/>
  <c r="M152" i="14"/>
  <c r="AR201" i="14"/>
  <c r="AR200" i="14"/>
  <c r="AR199" i="14"/>
  <c r="AR198" i="14"/>
  <c r="AE162" i="14"/>
  <c r="AR195" i="14"/>
  <c r="AR194" i="14"/>
  <c r="AR193" i="14"/>
  <c r="AR192" i="14"/>
  <c r="AR191" i="14"/>
  <c r="AR190" i="14"/>
  <c r="AR189" i="14"/>
  <c r="AR188" i="14"/>
  <c r="AR187" i="14"/>
  <c r="AR186" i="14"/>
  <c r="AR185" i="14"/>
  <c r="AR184" i="14"/>
  <c r="AR183" i="14"/>
  <c r="AR182" i="14"/>
  <c r="AR181" i="14"/>
  <c r="D26" i="14" s="1"/>
  <c r="B118" i="14"/>
  <c r="I160" i="14"/>
  <c r="A31" i="14"/>
  <c r="A30" i="14"/>
  <c r="R195" i="14"/>
  <c r="R194" i="14"/>
  <c r="R193" i="14"/>
  <c r="R192" i="14"/>
  <c r="R191" i="14"/>
  <c r="R190" i="14"/>
  <c r="R189" i="14"/>
  <c r="R188" i="14"/>
  <c r="R187" i="14"/>
  <c r="R186" i="14"/>
  <c r="R185" i="14"/>
  <c r="R184" i="14"/>
  <c r="R183" i="14"/>
  <c r="R182" i="14"/>
  <c r="R181" i="14"/>
  <c r="S53" i="14" l="1"/>
  <c r="O52" i="14"/>
  <c r="O51" i="14"/>
  <c r="S43" i="14"/>
  <c r="O42" i="14"/>
  <c r="O41" i="14"/>
  <c r="AD80" i="14"/>
  <c r="AF80" i="14" s="1"/>
  <c r="C86" i="14"/>
  <c r="D31" i="14"/>
  <c r="AD53" i="14"/>
  <c r="AD71" i="14"/>
  <c r="AD62" i="14"/>
  <c r="AD43" i="14"/>
  <c r="B58" i="14"/>
  <c r="AB71" i="14"/>
  <c r="AB43" i="14"/>
  <c r="AB62" i="14"/>
  <c r="AB53" i="14"/>
  <c r="L35" i="1"/>
  <c r="L32" i="1"/>
  <c r="L34" i="1"/>
  <c r="L43" i="14"/>
  <c r="L38" i="14"/>
  <c r="L39" i="14"/>
  <c r="L40" i="14"/>
  <c r="AI128" i="14"/>
  <c r="AO130" i="14" s="1"/>
  <c r="AI133" i="14"/>
  <c r="AO135" i="14" s="1"/>
  <c r="AO125" i="14"/>
  <c r="AI145" i="14"/>
  <c r="AO147" i="14" s="1"/>
  <c r="AI150" i="14"/>
  <c r="AC152" i="14" s="1"/>
  <c r="AE153" i="14" s="1"/>
  <c r="AF153" i="14" s="1"/>
  <c r="I150" i="14"/>
  <c r="E154" i="14" s="1"/>
  <c r="F154" i="14" s="1"/>
  <c r="I128" i="14"/>
  <c r="C130" i="14" s="1"/>
  <c r="E130" i="14" s="1"/>
  <c r="I133" i="14"/>
  <c r="C135" i="14" s="1"/>
  <c r="E135" i="14" s="1"/>
  <c r="I139" i="14"/>
  <c r="C141" i="14" s="1"/>
  <c r="E141" i="14" s="1"/>
  <c r="I145" i="14"/>
  <c r="C147" i="14" s="1"/>
  <c r="E148" i="14" s="1"/>
  <c r="F148" i="14" s="1"/>
  <c r="AE143" i="14"/>
  <c r="AF143" i="14" s="1"/>
  <c r="E126" i="14"/>
  <c r="F126" i="14" s="1"/>
  <c r="E125" i="14"/>
  <c r="AC141" i="14"/>
  <c r="AE141" i="14" s="1"/>
  <c r="AC125" i="14"/>
  <c r="AC130" i="14"/>
  <c r="AC135" i="14"/>
  <c r="AO142" i="14"/>
  <c r="AP142" i="14" s="1"/>
  <c r="O125" i="14"/>
  <c r="AI266" i="14"/>
  <c r="AE270" i="14" s="1"/>
  <c r="AI207" i="14"/>
  <c r="AE209" i="14" s="1"/>
  <c r="AI275" i="14"/>
  <c r="AI192" i="14"/>
  <c r="AE194" i="14" s="1"/>
  <c r="AI215" i="14"/>
  <c r="AI283" i="14"/>
  <c r="AO285" i="14" s="1"/>
  <c r="AP285" i="14" s="1"/>
  <c r="AP286" i="14" s="1"/>
  <c r="AI223" i="14"/>
  <c r="AE225" i="14" s="1"/>
  <c r="AI258" i="14"/>
  <c r="AE260" i="14" s="1"/>
  <c r="AI231" i="14"/>
  <c r="AO305" i="14"/>
  <c r="AI171" i="14"/>
  <c r="AO173" i="14" s="1"/>
  <c r="AP173" i="14" s="1"/>
  <c r="AP174" i="14" s="1"/>
  <c r="AI177" i="14"/>
  <c r="AE179" i="14" s="1"/>
  <c r="AI239" i="14"/>
  <c r="AE243" i="14" s="1"/>
  <c r="AO313" i="14"/>
  <c r="AI184" i="14"/>
  <c r="AI247" i="14"/>
  <c r="AE251" i="14" s="1"/>
  <c r="AI320" i="14"/>
  <c r="AE322" i="14" s="1"/>
  <c r="AH162" i="14"/>
  <c r="AE163" i="14"/>
  <c r="AE164" i="14"/>
  <c r="AE165" i="14"/>
  <c r="L41" i="14"/>
  <c r="B44" i="14"/>
  <c r="C19" i="14"/>
  <c r="B19" i="14"/>
  <c r="AH6" i="10"/>
  <c r="AH4" i="10" s="1"/>
  <c r="AG6" i="10"/>
  <c r="AF6" i="10"/>
  <c r="AI5" i="10"/>
  <c r="AG4" i="10"/>
  <c r="AD4" i="10"/>
  <c r="AC4" i="10"/>
  <c r="AB4" i="10"/>
  <c r="V6" i="10"/>
  <c r="U6" i="10"/>
  <c r="T6" i="10"/>
  <c r="I6" i="10"/>
  <c r="H6" i="10"/>
  <c r="J6" i="10"/>
  <c r="AO136" i="14" l="1"/>
  <c r="AP136" i="14" s="1"/>
  <c r="AF43" i="14"/>
  <c r="AF71" i="14"/>
  <c r="AF53" i="14"/>
  <c r="AO152" i="14"/>
  <c r="AE154" i="14"/>
  <c r="AF154" i="14" s="1"/>
  <c r="AH154" i="14" s="1"/>
  <c r="AC147" i="14"/>
  <c r="AE147" i="14" s="1"/>
  <c r="AE137" i="14"/>
  <c r="AF137" i="14" s="1"/>
  <c r="E137" i="14"/>
  <c r="F137" i="14" s="1"/>
  <c r="AI7" i="10"/>
  <c r="AI4" i="10" s="1"/>
  <c r="AE152" i="14"/>
  <c r="O153" i="14"/>
  <c r="P153" i="14" s="1"/>
  <c r="Z4" i="10"/>
  <c r="O152" i="14"/>
  <c r="C152" i="14"/>
  <c r="E153" i="14" s="1"/>
  <c r="F153" i="14" s="1"/>
  <c r="H154" i="14" s="1"/>
  <c r="O130" i="14"/>
  <c r="AO153" i="14"/>
  <c r="AP153" i="14" s="1"/>
  <c r="O135" i="14"/>
  <c r="O142" i="14"/>
  <c r="P142" i="14" s="1"/>
  <c r="O141" i="14"/>
  <c r="O147" i="14"/>
  <c r="E131" i="14"/>
  <c r="F131" i="14" s="1"/>
  <c r="E142" i="14"/>
  <c r="F142" i="14" s="1"/>
  <c r="O136" i="14"/>
  <c r="P136" i="14" s="1"/>
  <c r="E147" i="14"/>
  <c r="E143" i="14"/>
  <c r="F143" i="14" s="1"/>
  <c r="E136" i="14"/>
  <c r="F136" i="14" s="1"/>
  <c r="AE142" i="14"/>
  <c r="AF142" i="14" s="1"/>
  <c r="AH143" i="14" s="1"/>
  <c r="AE130" i="14"/>
  <c r="AE131" i="14"/>
  <c r="AF131" i="14" s="1"/>
  <c r="AE125" i="14"/>
  <c r="AE126" i="14"/>
  <c r="AF126" i="14" s="1"/>
  <c r="AE135" i="14"/>
  <c r="AE136" i="14"/>
  <c r="AF136" i="14" s="1"/>
  <c r="AO194" i="14"/>
  <c r="AP195" i="14" s="1"/>
  <c r="AE306" i="14"/>
  <c r="AE173" i="14"/>
  <c r="AO249" i="14"/>
  <c r="AE268" i="14"/>
  <c r="AE249" i="14"/>
  <c r="AE196" i="14"/>
  <c r="AE195" i="14"/>
  <c r="AE241" i="14"/>
  <c r="AE315" i="14"/>
  <c r="AO179" i="14"/>
  <c r="AP179" i="14" s="1"/>
  <c r="AP180" i="14" s="1"/>
  <c r="AE313" i="14"/>
  <c r="AE180" i="14"/>
  <c r="AO312" i="14"/>
  <c r="AP314" i="14" s="1"/>
  <c r="AE285" i="14"/>
  <c r="AE304" i="14"/>
  <c r="AE235" i="14"/>
  <c r="AE236" i="14"/>
  <c r="AO234" i="14"/>
  <c r="AE234" i="14"/>
  <c r="AO233" i="14"/>
  <c r="AO225" i="14"/>
  <c r="AP226" i="14" s="1"/>
  <c r="AE226" i="14"/>
  <c r="AO268" i="14"/>
  <c r="AP268" i="14" s="1"/>
  <c r="AP269" i="14" s="1"/>
  <c r="AE269" i="14"/>
  <c r="AE174" i="14"/>
  <c r="AE217" i="14"/>
  <c r="AE220" i="14"/>
  <c r="AO217" i="14"/>
  <c r="AO218" i="14"/>
  <c r="AE218" i="14"/>
  <c r="AO304" i="14"/>
  <c r="AO294" i="14"/>
  <c r="AE295" i="14"/>
  <c r="AO295" i="14"/>
  <c r="AE296" i="14"/>
  <c r="AE252" i="14"/>
  <c r="AE253" i="14"/>
  <c r="AE250" i="14"/>
  <c r="AH252" i="14"/>
  <c r="AO250" i="14"/>
  <c r="AO241" i="14"/>
  <c r="AE242" i="14"/>
  <c r="AO242" i="14"/>
  <c r="AE244" i="14"/>
  <c r="AE278" i="14"/>
  <c r="AE277" i="14"/>
  <c r="AO277" i="14"/>
  <c r="AP277" i="14" s="1"/>
  <c r="AP278" i="14" s="1"/>
  <c r="AE233" i="14"/>
  <c r="AE307" i="14"/>
  <c r="AO322" i="14"/>
  <c r="AP322" i="14" s="1"/>
  <c r="AP323" i="14" s="1"/>
  <c r="AE323" i="14"/>
  <c r="AE211" i="14"/>
  <c r="AE210" i="14"/>
  <c r="AO209" i="14"/>
  <c r="AE212" i="14"/>
  <c r="AO210" i="14"/>
  <c r="AE262" i="14"/>
  <c r="AO261" i="14"/>
  <c r="AP261" i="14" s="1"/>
  <c r="AE261" i="14"/>
  <c r="AE263" i="14"/>
  <c r="AO260" i="14"/>
  <c r="AP260" i="14" s="1"/>
  <c r="AE219" i="14"/>
  <c r="AE181" i="14"/>
  <c r="AE305" i="14"/>
  <c r="AE201" i="14"/>
  <c r="AE203" i="14"/>
  <c r="AO201" i="14"/>
  <c r="AE204" i="14"/>
  <c r="AO202" i="14"/>
  <c r="AE202" i="14"/>
  <c r="AE187" i="14"/>
  <c r="AE186" i="14"/>
  <c r="AO186" i="14"/>
  <c r="AP186" i="14" s="1"/>
  <c r="AP187" i="14" s="1"/>
  <c r="AE314" i="14"/>
  <c r="AE312" i="14"/>
  <c r="L42" i="14"/>
  <c r="AF4" i="10"/>
  <c r="AG2" i="10" s="1"/>
  <c r="I184" i="14"/>
  <c r="I177" i="14"/>
  <c r="I171" i="14"/>
  <c r="I283" i="14"/>
  <c r="I275" i="14"/>
  <c r="I266" i="14"/>
  <c r="I258" i="14"/>
  <c r="I247" i="14"/>
  <c r="I239" i="14"/>
  <c r="I231" i="14"/>
  <c r="I223" i="14"/>
  <c r="I215" i="14"/>
  <c r="I207" i="14"/>
  <c r="I199" i="14"/>
  <c r="H162" i="14"/>
  <c r="E165" i="14"/>
  <c r="E164" i="14"/>
  <c r="E163" i="14"/>
  <c r="E162" i="14"/>
  <c r="H137" i="14" l="1"/>
  <c r="D36" i="14" s="1"/>
  <c r="AP306" i="14"/>
  <c r="AH137" i="14"/>
  <c r="D38" i="14" s="1"/>
  <c r="AE148" i="14"/>
  <c r="AF148" i="14" s="1"/>
  <c r="E152" i="14"/>
  <c r="H143" i="14"/>
  <c r="D21" i="14"/>
  <c r="AP251" i="14"/>
  <c r="AP235" i="14"/>
  <c r="AP262" i="14"/>
  <c r="AP243" i="14"/>
  <c r="AP296" i="14"/>
  <c r="AP203" i="14"/>
  <c r="AP219" i="14"/>
  <c r="AP211" i="14"/>
  <c r="E202" i="14"/>
  <c r="O202" i="14"/>
  <c r="O201" i="14"/>
  <c r="E209" i="14"/>
  <c r="O210" i="14"/>
  <c r="O209" i="14"/>
  <c r="E285" i="14"/>
  <c r="O285" i="14"/>
  <c r="P285" i="14" s="1"/>
  <c r="P286" i="14" s="1"/>
  <c r="E268" i="14"/>
  <c r="O268" i="14"/>
  <c r="P268" i="14" s="1"/>
  <c r="P269" i="14" s="1"/>
  <c r="E278" i="14"/>
  <c r="O277" i="14"/>
  <c r="P277" i="14" s="1"/>
  <c r="P278" i="14" s="1"/>
  <c r="E217" i="14"/>
  <c r="O218" i="14"/>
  <c r="O217" i="14"/>
  <c r="E226" i="14"/>
  <c r="O225" i="14"/>
  <c r="P226" i="14" s="1"/>
  <c r="E195" i="14"/>
  <c r="O194" i="14"/>
  <c r="E236" i="14"/>
  <c r="O233" i="14"/>
  <c r="O234" i="14"/>
  <c r="E174" i="14"/>
  <c r="O173" i="14"/>
  <c r="P173" i="14" s="1"/>
  <c r="P174" i="14" s="1"/>
  <c r="E244" i="14"/>
  <c r="O242" i="14"/>
  <c r="O241" i="14"/>
  <c r="E180" i="14"/>
  <c r="O179" i="14"/>
  <c r="P179" i="14" s="1"/>
  <c r="P180" i="14" s="1"/>
  <c r="E249" i="14"/>
  <c r="O250" i="14"/>
  <c r="O249" i="14"/>
  <c r="E187" i="14"/>
  <c r="O186" i="14"/>
  <c r="P186" i="14" s="1"/>
  <c r="P187" i="14" s="1"/>
  <c r="E263" i="14"/>
  <c r="O261" i="14"/>
  <c r="P261" i="14" s="1"/>
  <c r="O260" i="14"/>
  <c r="P260" i="14" s="1"/>
  <c r="E234" i="14"/>
  <c r="E186" i="14"/>
  <c r="E250" i="14"/>
  <c r="E252" i="14"/>
  <c r="E179" i="14"/>
  <c r="H252" i="14"/>
  <c r="E181" i="14"/>
  <c r="E219" i="14"/>
  <c r="E220" i="14"/>
  <c r="E196" i="14"/>
  <c r="E225" i="14"/>
  <c r="E218" i="14"/>
  <c r="E253" i="14"/>
  <c r="E194" i="14"/>
  <c r="E173" i="14"/>
  <c r="E269" i="14"/>
  <c r="E242" i="14"/>
  <c r="E277" i="14"/>
  <c r="E241" i="14"/>
  <c r="E260" i="14"/>
  <c r="E270" i="14"/>
  <c r="E261" i="14"/>
  <c r="E262" i="14"/>
  <c r="E251" i="14"/>
  <c r="E243" i="14"/>
  <c r="E233" i="14"/>
  <c r="E235" i="14"/>
  <c r="E204" i="14"/>
  <c r="E210" i="14"/>
  <c r="E211" i="14"/>
  <c r="E203" i="14"/>
  <c r="E212" i="14"/>
  <c r="E201" i="14"/>
  <c r="P195" i="14" l="1"/>
  <c r="D30" i="14" s="1"/>
  <c r="P243" i="14"/>
  <c r="P251" i="14"/>
  <c r="P203" i="14"/>
  <c r="P262" i="14"/>
  <c r="P219" i="14"/>
  <c r="P211" i="14"/>
  <c r="P235" i="14"/>
  <c r="B117" i="14" l="1"/>
  <c r="G88" i="14"/>
  <c r="B65" i="14"/>
  <c r="B66" i="14" s="1"/>
  <c r="D66" i="14" s="1"/>
  <c r="D61" i="14"/>
  <c r="D60" i="14"/>
  <c r="CW52" i="14"/>
  <c r="CX52" i="14" s="1"/>
  <c r="CP52" i="14"/>
  <c r="CS52" i="14" s="1"/>
  <c r="BG52" i="14"/>
  <c r="BH52" i="14" s="1"/>
  <c r="AZ52" i="14"/>
  <c r="BJ52" i="14" s="1"/>
  <c r="BK52" i="14" s="1"/>
  <c r="D52" i="14"/>
  <c r="CW51" i="14"/>
  <c r="CX51" i="14" s="1"/>
  <c r="CP51" i="14"/>
  <c r="CS51" i="14" s="1"/>
  <c r="DC51" i="14" s="1"/>
  <c r="BG51" i="14"/>
  <c r="BH51" i="14" s="1"/>
  <c r="AZ51" i="14"/>
  <c r="BC51" i="14" s="1"/>
  <c r="CW50" i="14"/>
  <c r="CX50" i="14" s="1"/>
  <c r="CP50" i="14"/>
  <c r="CZ50" i="14" s="1"/>
  <c r="DA50" i="14" s="1"/>
  <c r="BG50" i="14"/>
  <c r="BH50" i="14" s="1"/>
  <c r="AZ50" i="14"/>
  <c r="W49" i="14"/>
  <c r="V49" i="14"/>
  <c r="AF62" i="14" s="1"/>
  <c r="U49" i="14"/>
  <c r="T49" i="14"/>
  <c r="S49" i="14"/>
  <c r="R49" i="14"/>
  <c r="Q49" i="14"/>
  <c r="P49" i="14"/>
  <c r="I50" i="14"/>
  <c r="O71" i="14" s="1"/>
  <c r="S71" i="14" s="1"/>
  <c r="C50" i="14"/>
  <c r="CW48" i="14"/>
  <c r="CX48" i="14" s="1"/>
  <c r="CP48" i="14"/>
  <c r="CS48" i="14" s="1"/>
  <c r="BG48" i="14"/>
  <c r="BH48" i="14" s="1"/>
  <c r="AZ48" i="14"/>
  <c r="BC48" i="14" s="1"/>
  <c r="C48" i="14"/>
  <c r="CW47" i="14"/>
  <c r="CX47" i="14" s="1"/>
  <c r="CP47" i="14"/>
  <c r="CZ47" i="14" s="1"/>
  <c r="DA47" i="14" s="1"/>
  <c r="BG47" i="14"/>
  <c r="BH47" i="14" s="1"/>
  <c r="AZ47" i="14"/>
  <c r="D47" i="14"/>
  <c r="CW46" i="14"/>
  <c r="CX46" i="14" s="1"/>
  <c r="CP46" i="14"/>
  <c r="BG46" i="14"/>
  <c r="BH46" i="14" s="1"/>
  <c r="AZ46" i="14"/>
  <c r="BJ46" i="14" s="1"/>
  <c r="BK46" i="14" s="1"/>
  <c r="CW45" i="14"/>
  <c r="CX45" i="14" s="1"/>
  <c r="CP45" i="14"/>
  <c r="CZ45" i="14" s="1"/>
  <c r="DA45" i="14" s="1"/>
  <c r="BG45" i="14"/>
  <c r="BH45" i="14" s="1"/>
  <c r="AZ45" i="14"/>
  <c r="BJ45" i="14" s="1"/>
  <c r="BK45" i="14" s="1"/>
  <c r="R45" i="14"/>
  <c r="B59" i="14"/>
  <c r="D59" i="14" s="1"/>
  <c r="CW44" i="14"/>
  <c r="CX44" i="14" s="1"/>
  <c r="CP44" i="14"/>
  <c r="BG44" i="14"/>
  <c r="BH44" i="14" s="1"/>
  <c r="AZ44" i="14"/>
  <c r="BJ44" i="14" s="1"/>
  <c r="BK44" i="14" s="1"/>
  <c r="CW43" i="14"/>
  <c r="CX43" i="14" s="1"/>
  <c r="CP43" i="14"/>
  <c r="CS43" i="14" s="1"/>
  <c r="BG43" i="14"/>
  <c r="BH43" i="14" s="1"/>
  <c r="AZ43" i="14"/>
  <c r="CW42" i="14"/>
  <c r="CX42" i="14" s="1"/>
  <c r="CP42" i="14"/>
  <c r="CZ42" i="14" s="1"/>
  <c r="DA42" i="14" s="1"/>
  <c r="BG42" i="14"/>
  <c r="BH42" i="14" s="1"/>
  <c r="AZ42" i="14"/>
  <c r="BJ42" i="14" s="1"/>
  <c r="BK42" i="14" s="1"/>
  <c r="CW41" i="14"/>
  <c r="CX41" i="14" s="1"/>
  <c r="CP41" i="14"/>
  <c r="CS41" i="14" s="1"/>
  <c r="CV41" i="14" s="1"/>
  <c r="DF41" i="14" s="1"/>
  <c r="DG41" i="14" s="1"/>
  <c r="BG41" i="14"/>
  <c r="BH41" i="14" s="1"/>
  <c r="AZ41" i="14"/>
  <c r="BJ41" i="14" s="1"/>
  <c r="BK41" i="14" s="1"/>
  <c r="CW40" i="14"/>
  <c r="CX40" i="14" s="1"/>
  <c r="CP40" i="14"/>
  <c r="BG40" i="14"/>
  <c r="BH40" i="14" s="1"/>
  <c r="AZ40" i="14"/>
  <c r="CW39" i="14"/>
  <c r="CX39" i="14" s="1"/>
  <c r="CP39" i="14"/>
  <c r="BG39" i="14"/>
  <c r="BH39" i="14" s="1"/>
  <c r="AZ39" i="14"/>
  <c r="CW38" i="14"/>
  <c r="CX38" i="14" s="1"/>
  <c r="CP38" i="14"/>
  <c r="BG38" i="14"/>
  <c r="BH38" i="14" s="1"/>
  <c r="AZ38" i="14"/>
  <c r="CW37" i="14"/>
  <c r="CX37" i="14" s="1"/>
  <c r="CP37" i="14"/>
  <c r="BG37" i="14"/>
  <c r="BH37" i="14" s="1"/>
  <c r="AZ37" i="14"/>
  <c r="O33" i="14"/>
  <c r="O36" i="14" s="1"/>
  <c r="CW36" i="14"/>
  <c r="CX36" i="14" s="1"/>
  <c r="CP36" i="14"/>
  <c r="BG36" i="14"/>
  <c r="BH36" i="14" s="1"/>
  <c r="AZ36" i="14"/>
  <c r="CW35" i="14"/>
  <c r="CX35" i="14" s="1"/>
  <c r="CP35" i="14"/>
  <c r="BG35" i="14"/>
  <c r="BH35" i="14" s="1"/>
  <c r="AZ35" i="14"/>
  <c r="BC35" i="14" s="1"/>
  <c r="CW30" i="14"/>
  <c r="CX30" i="14" s="1"/>
  <c r="CP30" i="14"/>
  <c r="BG30" i="14"/>
  <c r="BH30" i="14" s="1"/>
  <c r="AZ30" i="14"/>
  <c r="BJ30" i="14" s="1"/>
  <c r="BK30" i="14" s="1"/>
  <c r="CW29" i="14"/>
  <c r="CX29" i="14" s="1"/>
  <c r="CP29" i="14"/>
  <c r="CZ29" i="14" s="1"/>
  <c r="DA29" i="14" s="1"/>
  <c r="BG29" i="14"/>
  <c r="BH29" i="14" s="1"/>
  <c r="AZ29" i="14"/>
  <c r="BC29" i="14" s="1"/>
  <c r="T29" i="14"/>
  <c r="S29" i="14"/>
  <c r="CW28" i="14"/>
  <c r="CX28" i="14" s="1"/>
  <c r="CP28" i="14"/>
  <c r="CZ28" i="14" s="1"/>
  <c r="DA28" i="14" s="1"/>
  <c r="BG28" i="14"/>
  <c r="BH28" i="14" s="1"/>
  <c r="AZ28" i="14"/>
  <c r="BJ28" i="14" s="1"/>
  <c r="BK28" i="14" s="1"/>
  <c r="T28" i="14"/>
  <c r="S28" i="14"/>
  <c r="O28" i="14"/>
  <c r="CW27" i="14"/>
  <c r="CX27" i="14" s="1"/>
  <c r="CP27" i="14"/>
  <c r="CS27" i="14" s="1"/>
  <c r="DC27" i="14" s="1"/>
  <c r="BG27" i="14"/>
  <c r="BH27" i="14" s="1"/>
  <c r="AZ27" i="14"/>
  <c r="BC27" i="14" s="1"/>
  <c r="BM27" i="14" s="1"/>
  <c r="T27" i="14"/>
  <c r="S27" i="14"/>
  <c r="O27" i="14"/>
  <c r="CK26" i="14"/>
  <c r="CL26" i="14" s="1"/>
  <c r="CD26" i="14"/>
  <c r="CG26" i="14" s="1"/>
  <c r="AU26" i="14"/>
  <c r="AV26" i="14" s="1"/>
  <c r="AN26" i="14"/>
  <c r="AQ26" i="14" s="1"/>
  <c r="T26" i="14"/>
  <c r="S26" i="14"/>
  <c r="O26" i="14"/>
  <c r="CK25" i="14"/>
  <c r="CL25" i="14" s="1"/>
  <c r="CD25" i="14"/>
  <c r="AU25" i="14"/>
  <c r="AV25" i="14" s="1"/>
  <c r="AN25" i="14"/>
  <c r="AX25" i="14" s="1"/>
  <c r="AY25" i="14" s="1"/>
  <c r="CK24" i="14"/>
  <c r="CL24" i="14" s="1"/>
  <c r="CD24" i="14"/>
  <c r="CN24" i="14" s="1"/>
  <c r="CO24" i="14" s="1"/>
  <c r="AU24" i="14"/>
  <c r="AV24" i="14" s="1"/>
  <c r="AN24" i="14"/>
  <c r="CK23" i="14"/>
  <c r="CL23" i="14" s="1"/>
  <c r="CD23" i="14"/>
  <c r="CG23" i="14" s="1"/>
  <c r="AU23" i="14"/>
  <c r="AV23" i="14" s="1"/>
  <c r="AN23" i="14"/>
  <c r="AX23" i="14" s="1"/>
  <c r="AY23" i="14" s="1"/>
  <c r="D23" i="14"/>
  <c r="CK22" i="14"/>
  <c r="CL22" i="14" s="1"/>
  <c r="CD22" i="14"/>
  <c r="CG22" i="14" s="1"/>
  <c r="AU22" i="14"/>
  <c r="AV22" i="14" s="1"/>
  <c r="AN22" i="14"/>
  <c r="AQ22" i="14" s="1"/>
  <c r="CK21" i="14"/>
  <c r="CL21" i="14" s="1"/>
  <c r="CD21" i="14"/>
  <c r="CG21" i="14" s="1"/>
  <c r="CQ21" i="14" s="1"/>
  <c r="AU21" i="14"/>
  <c r="AV21" i="14" s="1"/>
  <c r="AN21" i="14"/>
  <c r="AX21" i="14" s="1"/>
  <c r="AY21" i="14" s="1"/>
  <c r="CK20" i="14"/>
  <c r="CL20" i="14" s="1"/>
  <c r="CD20" i="14"/>
  <c r="CG20" i="14" s="1"/>
  <c r="CQ20" i="14" s="1"/>
  <c r="AU20" i="14"/>
  <c r="AV20" i="14" s="1"/>
  <c r="AN20" i="14"/>
  <c r="AQ20" i="14" s="1"/>
  <c r="CK19" i="14"/>
  <c r="CL19" i="14" s="1"/>
  <c r="CD19" i="14"/>
  <c r="CN19" i="14" s="1"/>
  <c r="CO19" i="14" s="1"/>
  <c r="AU19" i="14"/>
  <c r="AV19" i="14" s="1"/>
  <c r="AN19" i="14"/>
  <c r="AQ19" i="14" s="1"/>
  <c r="BA19" i="14" s="1"/>
  <c r="D19" i="14"/>
  <c r="CK18" i="14"/>
  <c r="CL18" i="14" s="1"/>
  <c r="CD18" i="14"/>
  <c r="CG18" i="14" s="1"/>
  <c r="CQ18" i="14" s="1"/>
  <c r="AU18" i="14"/>
  <c r="AV18" i="14" s="1"/>
  <c r="AN18" i="14"/>
  <c r="AX18" i="14" s="1"/>
  <c r="AY18" i="14" s="1"/>
  <c r="B18" i="14"/>
  <c r="D18" i="14" s="1"/>
  <c r="CK17" i="14"/>
  <c r="CL17" i="14" s="1"/>
  <c r="CD17" i="14"/>
  <c r="CG17" i="14" s="1"/>
  <c r="CQ17" i="14" s="1"/>
  <c r="AU17" i="14"/>
  <c r="AV17" i="14" s="1"/>
  <c r="AN17" i="14"/>
  <c r="AX17" i="14" s="1"/>
  <c r="AY17" i="14" s="1"/>
  <c r="CK16" i="14"/>
  <c r="CL16" i="14" s="1"/>
  <c r="CD16" i="14"/>
  <c r="CG16" i="14" s="1"/>
  <c r="AU16" i="14"/>
  <c r="AV16" i="14" s="1"/>
  <c r="AN16" i="14"/>
  <c r="AQ16" i="14" s="1"/>
  <c r="AT16" i="14" s="1"/>
  <c r="BD16" i="14" s="1"/>
  <c r="BE16" i="14" s="1"/>
  <c r="BJ16" i="14" s="1"/>
  <c r="CK15" i="14"/>
  <c r="CL15" i="14" s="1"/>
  <c r="CD15" i="14"/>
  <c r="CG15" i="14" s="1"/>
  <c r="AU15" i="14"/>
  <c r="AV15" i="14" s="1"/>
  <c r="AN15" i="14"/>
  <c r="AX15" i="14" s="1"/>
  <c r="AY15" i="14" s="1"/>
  <c r="CK14" i="14"/>
  <c r="CL14" i="14" s="1"/>
  <c r="CD14" i="14"/>
  <c r="CN14" i="14" s="1"/>
  <c r="CO14" i="14" s="1"/>
  <c r="AU14" i="14"/>
  <c r="AV14" i="14" s="1"/>
  <c r="AN14" i="14"/>
  <c r="AQ14" i="14" s="1"/>
  <c r="CK13" i="14"/>
  <c r="CL13" i="14" s="1"/>
  <c r="CD13" i="14"/>
  <c r="CN13" i="14" s="1"/>
  <c r="CO13" i="14" s="1"/>
  <c r="AU13" i="14"/>
  <c r="AV13" i="14" s="1"/>
  <c r="AN13" i="14"/>
  <c r="AQ13" i="14" s="1"/>
  <c r="CK12" i="14"/>
  <c r="CL12" i="14" s="1"/>
  <c r="CD12" i="14"/>
  <c r="CN12" i="14" s="1"/>
  <c r="CO12" i="14" s="1"/>
  <c r="AU12" i="14"/>
  <c r="AV12" i="14" s="1"/>
  <c r="AN12" i="14"/>
  <c r="AX12" i="14" s="1"/>
  <c r="AY12" i="14" s="1"/>
  <c r="CK7" i="14"/>
  <c r="CL7" i="14" s="1"/>
  <c r="CD7" i="14"/>
  <c r="CN7" i="14" s="1"/>
  <c r="CO7" i="14" s="1"/>
  <c r="AU7" i="14"/>
  <c r="AV7" i="14" s="1"/>
  <c r="AN7" i="14"/>
  <c r="AX7" i="14" s="1"/>
  <c r="AY7" i="14" s="1"/>
  <c r="CK6" i="14"/>
  <c r="CL6" i="14" s="1"/>
  <c r="CD6" i="14"/>
  <c r="CG6" i="14" s="1"/>
  <c r="CJ6" i="14" s="1"/>
  <c r="CT6" i="14" s="1"/>
  <c r="CU6" i="14" s="1"/>
  <c r="AU6" i="14"/>
  <c r="AV6" i="14" s="1"/>
  <c r="AN6" i="14"/>
  <c r="AQ6" i="14" s="1"/>
  <c r="CK5" i="14"/>
  <c r="CL5" i="14" s="1"/>
  <c r="CD5" i="14"/>
  <c r="CG5" i="14" s="1"/>
  <c r="AU5" i="14"/>
  <c r="AV5" i="14" s="1"/>
  <c r="AN5" i="14"/>
  <c r="AQ5" i="14" s="1"/>
  <c r="AT5" i="14" s="1"/>
  <c r="BD5" i="14" s="1"/>
  <c r="BE5" i="14" s="1"/>
  <c r="BJ5" i="14" s="1"/>
  <c r="CK4" i="14"/>
  <c r="CL4" i="14" s="1"/>
  <c r="CD4" i="14"/>
  <c r="CG4" i="14" s="1"/>
  <c r="AU4" i="14"/>
  <c r="AV4" i="14" s="1"/>
  <c r="AN4" i="14"/>
  <c r="AX4" i="14" s="1"/>
  <c r="AY4" i="14" s="1"/>
  <c r="R4" i="10"/>
  <c r="J4" i="10"/>
  <c r="Q4" i="10"/>
  <c r="E4" i="10"/>
  <c r="V4" i="10"/>
  <c r="U4" i="10"/>
  <c r="T4" i="10"/>
  <c r="W5" i="10"/>
  <c r="K5" i="10"/>
  <c r="P4" i="10"/>
  <c r="H4" i="10"/>
  <c r="D4" i="10"/>
  <c r="D50" i="14" l="1"/>
  <c r="R73" i="14"/>
  <c r="Q73" i="14" s="1"/>
  <c r="D48" i="14"/>
  <c r="R55" i="14"/>
  <c r="Q55" i="14" s="1"/>
  <c r="K48" i="14"/>
  <c r="D65" i="14"/>
  <c r="D68" i="14" s="1"/>
  <c r="CZ52" i="14"/>
  <c r="DA52" i="14" s="1"/>
  <c r="AQ21" i="14"/>
  <c r="BA21" i="14" s="1"/>
  <c r="CV27" i="14"/>
  <c r="DF27" i="14" s="1"/>
  <c r="DG27" i="14" s="1"/>
  <c r="AX20" i="14"/>
  <c r="AY20" i="14" s="1"/>
  <c r="BC42" i="14"/>
  <c r="BF42" i="14" s="1"/>
  <c r="BP42" i="14" s="1"/>
  <c r="BQ42" i="14" s="1"/>
  <c r="BV42" i="14" s="1"/>
  <c r="CN6" i="14"/>
  <c r="CO6" i="14" s="1"/>
  <c r="CS45" i="14"/>
  <c r="CV45" i="14" s="1"/>
  <c r="DF45" i="14" s="1"/>
  <c r="DG45" i="14" s="1"/>
  <c r="CG19" i="14"/>
  <c r="CJ19" i="14" s="1"/>
  <c r="CT19" i="14" s="1"/>
  <c r="CU19" i="14" s="1"/>
  <c r="CN5" i="14"/>
  <c r="CO5" i="14" s="1"/>
  <c r="CS47" i="14"/>
  <c r="DC47" i="14" s="1"/>
  <c r="DD47" i="14" s="1"/>
  <c r="CS50" i="14"/>
  <c r="DC50" i="14" s="1"/>
  <c r="DD50" i="14" s="1"/>
  <c r="CS29" i="14"/>
  <c r="CV29" i="14" s="1"/>
  <c r="DF29" i="14" s="1"/>
  <c r="DG29" i="14" s="1"/>
  <c r="AX26" i="14"/>
  <c r="AY26" i="14" s="1"/>
  <c r="CZ51" i="14"/>
  <c r="DA51" i="14" s="1"/>
  <c r="DD51" i="14" s="1"/>
  <c r="CZ43" i="14"/>
  <c r="DA43" i="14" s="1"/>
  <c r="BC28" i="14"/>
  <c r="BS28" i="14" s="1"/>
  <c r="BU28" i="14" s="1"/>
  <c r="CJ18" i="14"/>
  <c r="CT18" i="14" s="1"/>
  <c r="CU18" i="14" s="1"/>
  <c r="AX14" i="14"/>
  <c r="AY14" i="14" s="1"/>
  <c r="AT20" i="14"/>
  <c r="BD20" i="14" s="1"/>
  <c r="BE20" i="14" s="1"/>
  <c r="BJ20" i="14" s="1"/>
  <c r="BA20" i="14"/>
  <c r="BC41" i="14"/>
  <c r="BS41" i="14" s="1"/>
  <c r="BU41" i="14" s="1"/>
  <c r="CN23" i="14"/>
  <c r="CO23" i="14" s="1"/>
  <c r="CS28" i="14"/>
  <c r="DC28" i="14" s="1"/>
  <c r="DD28" i="14" s="1"/>
  <c r="CS42" i="14"/>
  <c r="DC42" i="14" s="1"/>
  <c r="DD42" i="14" s="1"/>
  <c r="BJ35" i="14"/>
  <c r="BK35" i="14" s="1"/>
  <c r="F48" i="14"/>
  <c r="CZ41" i="14"/>
  <c r="DA41" i="14" s="1"/>
  <c r="K50" i="14"/>
  <c r="CZ27" i="14"/>
  <c r="DA27" i="14" s="1"/>
  <c r="DD27" i="14" s="1"/>
  <c r="BF35" i="14"/>
  <c r="BP35" i="14" s="1"/>
  <c r="BQ35" i="14" s="1"/>
  <c r="BV35" i="14" s="1"/>
  <c r="BM35" i="14"/>
  <c r="P50" i="14"/>
  <c r="P45" i="14" s="1"/>
  <c r="Q45" i="14" s="1"/>
  <c r="D58" i="14"/>
  <c r="D62" i="14" s="1"/>
  <c r="AQ25" i="14"/>
  <c r="AT25" i="14" s="1"/>
  <c r="BD25" i="14" s="1"/>
  <c r="BE25" i="14" s="1"/>
  <c r="BJ25" i="14" s="1"/>
  <c r="CG13" i="14"/>
  <c r="CJ13" i="14" s="1"/>
  <c r="CT13" i="14" s="1"/>
  <c r="CU13" i="14" s="1"/>
  <c r="CG14" i="14"/>
  <c r="CJ14" i="14" s="1"/>
  <c r="CT14" i="14" s="1"/>
  <c r="CU14" i="14" s="1"/>
  <c r="BG16" i="14"/>
  <c r="BI16" i="14" s="1"/>
  <c r="BK16" i="14" s="1"/>
  <c r="AQ17" i="14"/>
  <c r="BG17" i="14" s="1"/>
  <c r="BI17" i="14" s="1"/>
  <c r="J18" i="14"/>
  <c r="CJ21" i="14"/>
  <c r="CT21" i="14" s="1"/>
  <c r="CU21" i="14" s="1"/>
  <c r="AQ23" i="14"/>
  <c r="BG23" i="14" s="1"/>
  <c r="BI23" i="14" s="1"/>
  <c r="I51" i="14"/>
  <c r="BJ51" i="14"/>
  <c r="BK51" i="14" s="1"/>
  <c r="F45" i="14"/>
  <c r="CG12" i="14"/>
  <c r="CQ12" i="14" s="1"/>
  <c r="CR12" i="14" s="1"/>
  <c r="BC45" i="14"/>
  <c r="BF45" i="14" s="1"/>
  <c r="BP45" i="14" s="1"/>
  <c r="BQ45" i="14" s="1"/>
  <c r="BV45" i="14" s="1"/>
  <c r="BC46" i="14"/>
  <c r="BM46" i="14" s="1"/>
  <c r="BN46" i="14" s="1"/>
  <c r="CZ48" i="14"/>
  <c r="DA48" i="14" s="1"/>
  <c r="AX22" i="14"/>
  <c r="AY22" i="14" s="1"/>
  <c r="BG5" i="14"/>
  <c r="BI5" i="14" s="1"/>
  <c r="BK5" i="14" s="1"/>
  <c r="AQ18" i="14"/>
  <c r="BG18" i="14" s="1"/>
  <c r="BI18" i="14" s="1"/>
  <c r="CN21" i="14"/>
  <c r="CO21" i="14" s="1"/>
  <c r="CR21" i="14" s="1"/>
  <c r="AQ4" i="14"/>
  <c r="BA4" i="14" s="1"/>
  <c r="BB4" i="14" s="1"/>
  <c r="AX5" i="14"/>
  <c r="AY5" i="14" s="1"/>
  <c r="CN18" i="14"/>
  <c r="CO18" i="14" s="1"/>
  <c r="CR18" i="14" s="1"/>
  <c r="CG24" i="14"/>
  <c r="CJ24" i="14" s="1"/>
  <c r="CT24" i="14" s="1"/>
  <c r="CU24" i="14" s="1"/>
  <c r="CN26" i="14"/>
  <c r="CO26" i="14" s="1"/>
  <c r="BC30" i="14"/>
  <c r="BM30" i="14" s="1"/>
  <c r="BN30" i="14" s="1"/>
  <c r="J19" i="14"/>
  <c r="AX6" i="14"/>
  <c r="AY6" i="14" s="1"/>
  <c r="CN22" i="14"/>
  <c r="CO22" i="14" s="1"/>
  <c r="BJ29" i="14"/>
  <c r="BK29" i="14" s="1"/>
  <c r="F50" i="14"/>
  <c r="BA16" i="14"/>
  <c r="BG19" i="14"/>
  <c r="BI19" i="14" s="1"/>
  <c r="BG14" i="14"/>
  <c r="BI14" i="14" s="1"/>
  <c r="AT14" i="14"/>
  <c r="BD14" i="14" s="1"/>
  <c r="BE14" i="14" s="1"/>
  <c r="BJ14" i="14" s="1"/>
  <c r="BA14" i="14"/>
  <c r="AT13" i="14"/>
  <c r="BD13" i="14" s="1"/>
  <c r="BE13" i="14" s="1"/>
  <c r="BJ13" i="14" s="1"/>
  <c r="BA13" i="14"/>
  <c r="BG13" i="14"/>
  <c r="BI13" i="14" s="1"/>
  <c r="CQ16" i="14"/>
  <c r="CJ16" i="14"/>
  <c r="CT16" i="14" s="1"/>
  <c r="CU16" i="14" s="1"/>
  <c r="CJ5" i="14"/>
  <c r="CT5" i="14" s="1"/>
  <c r="CU5" i="14" s="1"/>
  <c r="CQ5" i="14"/>
  <c r="CJ4" i="14"/>
  <c r="CT4" i="14" s="1"/>
  <c r="CU4" i="14" s="1"/>
  <c r="CQ4" i="14"/>
  <c r="CQ15" i="14"/>
  <c r="CJ15" i="14"/>
  <c r="CT15" i="14" s="1"/>
  <c r="CU15" i="14" s="1"/>
  <c r="BG6" i="14"/>
  <c r="BI6" i="14" s="1"/>
  <c r="AT6" i="14"/>
  <c r="BD6" i="14" s="1"/>
  <c r="BE6" i="14" s="1"/>
  <c r="BJ6" i="14" s="1"/>
  <c r="BA6" i="14"/>
  <c r="CJ20" i="14"/>
  <c r="CT20" i="14" s="1"/>
  <c r="CU20" i="14" s="1"/>
  <c r="BJ37" i="14"/>
  <c r="BK37" i="14" s="1"/>
  <c r="BC37" i="14"/>
  <c r="CZ38" i="14"/>
  <c r="DA38" i="14" s="1"/>
  <c r="CS38" i="14"/>
  <c r="BJ40" i="14"/>
  <c r="BK40" i="14" s="1"/>
  <c r="BC40" i="14"/>
  <c r="CV43" i="14"/>
  <c r="DF43" i="14" s="1"/>
  <c r="DG43" i="14" s="1"/>
  <c r="DC43" i="14"/>
  <c r="BS48" i="14"/>
  <c r="BU48" i="14" s="1"/>
  <c r="BM48" i="14"/>
  <c r="CQ6" i="14"/>
  <c r="CG7" i="14"/>
  <c r="CN15" i="14"/>
  <c r="CO15" i="14" s="1"/>
  <c r="CN16" i="14"/>
  <c r="CO16" i="14" s="1"/>
  <c r="BG22" i="14"/>
  <c r="BI22" i="14" s="1"/>
  <c r="BG26" i="14"/>
  <c r="BI26" i="14" s="1"/>
  <c r="BA26" i="14"/>
  <c r="CJ26" i="14"/>
  <c r="CT26" i="14" s="1"/>
  <c r="CU26" i="14" s="1"/>
  <c r="CQ26" i="14"/>
  <c r="BJ27" i="14"/>
  <c r="BK27" i="14" s="1"/>
  <c r="BN27" i="14" s="1"/>
  <c r="CZ36" i="14"/>
  <c r="DA36" i="14" s="1"/>
  <c r="CS36" i="14"/>
  <c r="BF48" i="14"/>
  <c r="BP48" i="14" s="1"/>
  <c r="BQ48" i="14" s="1"/>
  <c r="BV48" i="14" s="1"/>
  <c r="CN4" i="14"/>
  <c r="CO4" i="14" s="1"/>
  <c r="AQ7" i="14"/>
  <c r="AX13" i="14"/>
  <c r="AY13" i="14" s="1"/>
  <c r="AQ15" i="14"/>
  <c r="AT19" i="14"/>
  <c r="BD19" i="14" s="1"/>
  <c r="BE19" i="14" s="1"/>
  <c r="BJ19" i="14" s="1"/>
  <c r="CN20" i="14"/>
  <c r="CO20" i="14" s="1"/>
  <c r="BB21" i="14"/>
  <c r="AT22" i="14"/>
  <c r="BD22" i="14" s="1"/>
  <c r="BE22" i="14" s="1"/>
  <c r="BJ22" i="14" s="1"/>
  <c r="CJ22" i="14"/>
  <c r="CT22" i="14" s="1"/>
  <c r="CU22" i="14" s="1"/>
  <c r="CQ22" i="14"/>
  <c r="AT26" i="14"/>
  <c r="BD26" i="14" s="1"/>
  <c r="BE26" i="14" s="1"/>
  <c r="BJ26" i="14" s="1"/>
  <c r="BS29" i="14"/>
  <c r="BU29" i="14" s="1"/>
  <c r="BM29" i="14"/>
  <c r="BF29" i="14"/>
  <c r="BP29" i="14" s="1"/>
  <c r="BQ29" i="14" s="1"/>
  <c r="BV29" i="14" s="1"/>
  <c r="BA5" i="14"/>
  <c r="CQ23" i="14"/>
  <c r="BJ38" i="14"/>
  <c r="BK38" i="14" s="1"/>
  <c r="BC38" i="14"/>
  <c r="CZ39" i="14"/>
  <c r="DA39" i="14" s="1"/>
  <c r="CS39" i="14"/>
  <c r="AQ12" i="14"/>
  <c r="CJ17" i="14"/>
  <c r="CT17" i="14" s="1"/>
  <c r="CU17" i="14" s="1"/>
  <c r="AX19" i="14"/>
  <c r="AY19" i="14" s="1"/>
  <c r="BB19" i="14" s="1"/>
  <c r="CJ23" i="14"/>
  <c r="CT23" i="14" s="1"/>
  <c r="CU23" i="14" s="1"/>
  <c r="AQ24" i="14"/>
  <c r="AX24" i="14"/>
  <c r="AY24" i="14" s="1"/>
  <c r="CG25" i="14"/>
  <c r="CN25" i="14"/>
  <c r="CO25" i="14" s="1"/>
  <c r="BJ36" i="14"/>
  <c r="BK36" i="14" s="1"/>
  <c r="BC36" i="14"/>
  <c r="CS44" i="14"/>
  <c r="CZ44" i="14"/>
  <c r="DA44" i="14" s="1"/>
  <c r="BJ50" i="14"/>
  <c r="BK50" i="14" s="1"/>
  <c r="BC50" i="14"/>
  <c r="BS27" i="14"/>
  <c r="BU27" i="14" s="1"/>
  <c r="BF27" i="14"/>
  <c r="BP27" i="14" s="1"/>
  <c r="BQ27" i="14" s="1"/>
  <c r="BV27" i="14" s="1"/>
  <c r="BG21" i="14"/>
  <c r="BI21" i="14" s="1"/>
  <c r="CZ30" i="14"/>
  <c r="DA30" i="14" s="1"/>
  <c r="CS30" i="14"/>
  <c r="BS35" i="14"/>
  <c r="BU35" i="14" s="1"/>
  <c r="CZ37" i="14"/>
  <c r="DA37" i="14" s="1"/>
  <c r="CS37" i="14"/>
  <c r="CZ40" i="14"/>
  <c r="DA40" i="14" s="1"/>
  <c r="CS40" i="14"/>
  <c r="AX16" i="14"/>
  <c r="AY16" i="14" s="1"/>
  <c r="CN17" i="14"/>
  <c r="CO17" i="14" s="1"/>
  <c r="CR17" i="14" s="1"/>
  <c r="J25" i="14"/>
  <c r="K25" i="14" s="1"/>
  <c r="J24" i="14"/>
  <c r="K24" i="14" s="1"/>
  <c r="BG20" i="14"/>
  <c r="BI20" i="14" s="1"/>
  <c r="BA22" i="14"/>
  <c r="BJ39" i="14"/>
  <c r="BK39" i="14" s="1"/>
  <c r="BC39" i="14"/>
  <c r="CZ35" i="14"/>
  <c r="DA35" i="14" s="1"/>
  <c r="CS35" i="14"/>
  <c r="DC41" i="14"/>
  <c r="DC52" i="14"/>
  <c r="CV52" i="14"/>
  <c r="DF52" i="14" s="1"/>
  <c r="DG52" i="14" s="1"/>
  <c r="BJ47" i="14"/>
  <c r="BK47" i="14" s="1"/>
  <c r="BC47" i="14"/>
  <c r="BC43" i="14"/>
  <c r="BJ43" i="14"/>
  <c r="BK43" i="14" s="1"/>
  <c r="BC44" i="14"/>
  <c r="BM51" i="14"/>
  <c r="BS51" i="14"/>
  <c r="BU51" i="14" s="1"/>
  <c r="BF51" i="14"/>
  <c r="BP51" i="14" s="1"/>
  <c r="BQ51" i="14" s="1"/>
  <c r="BV51" i="14" s="1"/>
  <c r="O34" i="14"/>
  <c r="O35" i="14"/>
  <c r="CS46" i="14"/>
  <c r="CZ46" i="14"/>
  <c r="DA46" i="14" s="1"/>
  <c r="D53" i="14"/>
  <c r="D54" i="14" s="1"/>
  <c r="CV48" i="14"/>
  <c r="DF48" i="14" s="1"/>
  <c r="DG48" i="14" s="1"/>
  <c r="DC48" i="14"/>
  <c r="BJ48" i="14"/>
  <c r="BK48" i="14" s="1"/>
  <c r="C87" i="14"/>
  <c r="CV51" i="14"/>
  <c r="DF51" i="14" s="1"/>
  <c r="DG51" i="14" s="1"/>
  <c r="BC52" i="14"/>
  <c r="I4" i="10"/>
  <c r="K7" i="10"/>
  <c r="K4" i="10" s="1"/>
  <c r="W7" i="10"/>
  <c r="W4" i="10" s="1"/>
  <c r="I2" i="10"/>
  <c r="N4" i="10"/>
  <c r="U2" i="10"/>
  <c r="F4" i="10"/>
  <c r="B4" i="10" s="1"/>
  <c r="B2" i="10" s="1"/>
  <c r="AT21" i="14" l="1"/>
  <c r="BD21" i="14" s="1"/>
  <c r="BE21" i="14" s="1"/>
  <c r="BJ21" i="14" s="1"/>
  <c r="BK19" i="14"/>
  <c r="DD52" i="14"/>
  <c r="BB20" i="14"/>
  <c r="BF28" i="14"/>
  <c r="BP28" i="14" s="1"/>
  <c r="BQ28" i="14" s="1"/>
  <c r="BV28" i="14" s="1"/>
  <c r="BW28" i="14" s="1"/>
  <c r="BS46" i="14"/>
  <c r="BU46" i="14" s="1"/>
  <c r="CV50" i="14"/>
  <c r="DF50" i="14" s="1"/>
  <c r="DG50" i="14" s="1"/>
  <c r="DL50" i="14" s="1"/>
  <c r="CV47" i="14"/>
  <c r="DF47" i="14" s="1"/>
  <c r="DG47" i="14" s="1"/>
  <c r="DI47" i="14" s="1"/>
  <c r="DK47" i="14" s="1"/>
  <c r="DL27" i="14"/>
  <c r="BS42" i="14"/>
  <c r="BU42" i="14" s="1"/>
  <c r="BW42" i="14" s="1"/>
  <c r="BB14" i="14"/>
  <c r="BN35" i="14"/>
  <c r="BN29" i="14"/>
  <c r="AT17" i="14"/>
  <c r="BD17" i="14" s="1"/>
  <c r="BE17" i="14" s="1"/>
  <c r="BJ17" i="14" s="1"/>
  <c r="BK17" i="14" s="1"/>
  <c r="BA17" i="14"/>
  <c r="BB17" i="14" s="1"/>
  <c r="BA23" i="14"/>
  <c r="BB23" i="14" s="1"/>
  <c r="DC45" i="14"/>
  <c r="DD45" i="14" s="1"/>
  <c r="DL45" i="14" s="1"/>
  <c r="BB16" i="14"/>
  <c r="BM42" i="14"/>
  <c r="BN42" i="14" s="1"/>
  <c r="BB22" i="14"/>
  <c r="AT23" i="14"/>
  <c r="BD23" i="14" s="1"/>
  <c r="BE23" i="14" s="1"/>
  <c r="BJ23" i="14" s="1"/>
  <c r="BK23" i="14" s="1"/>
  <c r="DC29" i="14"/>
  <c r="DD29" i="14" s="1"/>
  <c r="DL29" i="14" s="1"/>
  <c r="CQ19" i="14"/>
  <c r="CR19" i="14" s="1"/>
  <c r="CW19" i="14" s="1"/>
  <c r="CY19" i="14" s="1"/>
  <c r="DD43" i="14"/>
  <c r="DI43" i="14" s="1"/>
  <c r="DK43" i="14" s="1"/>
  <c r="BK26" i="14"/>
  <c r="F47" i="14"/>
  <c r="CQ13" i="14"/>
  <c r="CR13" i="14" s="1"/>
  <c r="CZ13" i="14" s="1"/>
  <c r="BW35" i="14"/>
  <c r="CV28" i="14"/>
  <c r="DF28" i="14" s="1"/>
  <c r="DG28" i="14" s="1"/>
  <c r="DL28" i="14" s="1"/>
  <c r="DD48" i="14"/>
  <c r="DI48" i="14" s="1"/>
  <c r="DK48" i="14" s="1"/>
  <c r="CR6" i="14"/>
  <c r="CV42" i="14"/>
  <c r="DF42" i="14" s="1"/>
  <c r="DG42" i="14" s="1"/>
  <c r="DL42" i="14" s="1"/>
  <c r="BM28" i="14"/>
  <c r="BN28" i="14" s="1"/>
  <c r="CQ24" i="14"/>
  <c r="CR24" i="14" s="1"/>
  <c r="CZ24" i="14" s="1"/>
  <c r="CR5" i="14"/>
  <c r="CZ5" i="14" s="1"/>
  <c r="BB26" i="14"/>
  <c r="BN51" i="14"/>
  <c r="BF46" i="14"/>
  <c r="BP46" i="14" s="1"/>
  <c r="BQ46" i="14" s="1"/>
  <c r="BV46" i="14" s="1"/>
  <c r="BW46" i="14" s="1"/>
  <c r="DI52" i="14"/>
  <c r="DK52" i="14" s="1"/>
  <c r="DI27" i="14"/>
  <c r="DK27" i="14" s="1"/>
  <c r="CR23" i="14"/>
  <c r="CZ23" i="14" s="1"/>
  <c r="BF41" i="14"/>
  <c r="BP41" i="14" s="1"/>
  <c r="BQ41" i="14" s="1"/>
  <c r="BV41" i="14" s="1"/>
  <c r="BW41" i="14" s="1"/>
  <c r="BB5" i="14"/>
  <c r="BK20" i="14"/>
  <c r="BM41" i="14"/>
  <c r="BN41" i="14" s="1"/>
  <c r="BS30" i="14"/>
  <c r="BU30" i="14" s="1"/>
  <c r="AT4" i="14"/>
  <c r="BD4" i="14" s="1"/>
  <c r="BE4" i="14" s="1"/>
  <c r="BJ4" i="14" s="1"/>
  <c r="BS45" i="14"/>
  <c r="BU45" i="14" s="1"/>
  <c r="BW45" i="14" s="1"/>
  <c r="CQ14" i="14"/>
  <c r="CR14" i="14" s="1"/>
  <c r="CW14" i="14" s="1"/>
  <c r="CY14" i="14" s="1"/>
  <c r="BW29" i="14"/>
  <c r="CR26" i="14"/>
  <c r="CW26" i="14" s="1"/>
  <c r="CY26" i="14" s="1"/>
  <c r="BK13" i="14"/>
  <c r="BM45" i="14"/>
  <c r="BN45" i="14" s="1"/>
  <c r="DL51" i="14"/>
  <c r="DD41" i="14"/>
  <c r="DL41" i="14" s="1"/>
  <c r="BG4" i="14"/>
  <c r="BI4" i="14" s="1"/>
  <c r="CR22" i="14"/>
  <c r="CW22" i="14" s="1"/>
  <c r="CY22" i="14" s="1"/>
  <c r="BW48" i="14"/>
  <c r="BF30" i="14"/>
  <c r="BP30" i="14" s="1"/>
  <c r="BQ30" i="14" s="1"/>
  <c r="BV30" i="14" s="1"/>
  <c r="CZ21" i="14"/>
  <c r="CW21" i="14"/>
  <c r="CY21" i="14" s="1"/>
  <c r="CW18" i="14"/>
  <c r="CY18" i="14" s="1"/>
  <c r="CZ18" i="14"/>
  <c r="L19" i="14"/>
  <c r="AT18" i="14"/>
  <c r="BD18" i="14" s="1"/>
  <c r="BE18" i="14" s="1"/>
  <c r="BJ18" i="14" s="1"/>
  <c r="BK18" i="14" s="1"/>
  <c r="BA18" i="14"/>
  <c r="BB18" i="14" s="1"/>
  <c r="DL52" i="14"/>
  <c r="CJ12" i="14"/>
  <c r="CT12" i="14" s="1"/>
  <c r="CU12" i="14" s="1"/>
  <c r="CZ12" i="14" s="1"/>
  <c r="BN48" i="14"/>
  <c r="BB6" i="14"/>
  <c r="DI51" i="14"/>
  <c r="DK51" i="14" s="1"/>
  <c r="BK22" i="14"/>
  <c r="BK14" i="14"/>
  <c r="BG25" i="14"/>
  <c r="BI25" i="14" s="1"/>
  <c r="BK25" i="14" s="1"/>
  <c r="BA25" i="14"/>
  <c r="BB25" i="14" s="1"/>
  <c r="CV40" i="14"/>
  <c r="DF40" i="14" s="1"/>
  <c r="DG40" i="14" s="1"/>
  <c r="DC40" i="14"/>
  <c r="DD40" i="14" s="1"/>
  <c r="DC44" i="14"/>
  <c r="DD44" i="14" s="1"/>
  <c r="CV44" i="14"/>
  <c r="DF44" i="14" s="1"/>
  <c r="DG44" i="14" s="1"/>
  <c r="CZ17" i="14"/>
  <c r="CJ7" i="14"/>
  <c r="CT7" i="14" s="1"/>
  <c r="CU7" i="14" s="1"/>
  <c r="CQ7" i="14"/>
  <c r="CR7" i="14" s="1"/>
  <c r="CR20" i="14"/>
  <c r="CW20" i="14" s="1"/>
  <c r="CY20" i="14" s="1"/>
  <c r="BS52" i="14"/>
  <c r="BU52" i="14" s="1"/>
  <c r="BF52" i="14"/>
  <c r="BP52" i="14" s="1"/>
  <c r="BQ52" i="14" s="1"/>
  <c r="BV52" i="14" s="1"/>
  <c r="BM52" i="14"/>
  <c r="BN52" i="14" s="1"/>
  <c r="BW51" i="14"/>
  <c r="J51" i="14"/>
  <c r="K51" i="14" s="1"/>
  <c r="K47" i="14"/>
  <c r="BA12" i="14"/>
  <c r="BB12" i="14" s="1"/>
  <c r="BG12" i="14"/>
  <c r="BI12" i="14" s="1"/>
  <c r="AT12" i="14"/>
  <c r="BD12" i="14" s="1"/>
  <c r="BE12" i="14" s="1"/>
  <c r="BJ12" i="14" s="1"/>
  <c r="CR15" i="14"/>
  <c r="CW15" i="14" s="1"/>
  <c r="CY15" i="14" s="1"/>
  <c r="CV37" i="14"/>
  <c r="DF37" i="14" s="1"/>
  <c r="DG37" i="14" s="1"/>
  <c r="DC37" i="14"/>
  <c r="DD37" i="14" s="1"/>
  <c r="BM50" i="14"/>
  <c r="BN50" i="14" s="1"/>
  <c r="BS50" i="14"/>
  <c r="BU50" i="14" s="1"/>
  <c r="BF50" i="14"/>
  <c r="BP50" i="14" s="1"/>
  <c r="BQ50" i="14" s="1"/>
  <c r="BV50" i="14" s="1"/>
  <c r="CQ25" i="14"/>
  <c r="CR25" i="14" s="1"/>
  <c r="CJ25" i="14"/>
  <c r="CT25" i="14" s="1"/>
  <c r="CU25" i="14" s="1"/>
  <c r="CV39" i="14"/>
  <c r="DF39" i="14" s="1"/>
  <c r="DG39" i="14" s="1"/>
  <c r="DC39" i="14"/>
  <c r="DD39" i="14" s="1"/>
  <c r="CW17" i="14"/>
  <c r="CY17" i="14" s="1"/>
  <c r="BF40" i="14"/>
  <c r="BP40" i="14" s="1"/>
  <c r="BQ40" i="14" s="1"/>
  <c r="BV40" i="14" s="1"/>
  <c r="BM40" i="14"/>
  <c r="BN40" i="14" s="1"/>
  <c r="BS40" i="14"/>
  <c r="BU40" i="14" s="1"/>
  <c r="BK6" i="14"/>
  <c r="CR16" i="14"/>
  <c r="CW16" i="14" s="1"/>
  <c r="CY16" i="14" s="1"/>
  <c r="BF44" i="14"/>
  <c r="BP44" i="14" s="1"/>
  <c r="BQ44" i="14" s="1"/>
  <c r="BV44" i="14" s="1"/>
  <c r="BS44" i="14"/>
  <c r="BU44" i="14" s="1"/>
  <c r="BM44" i="14"/>
  <c r="BN44" i="14" s="1"/>
  <c r="BF39" i="14"/>
  <c r="BP39" i="14" s="1"/>
  <c r="BQ39" i="14" s="1"/>
  <c r="BV39" i="14" s="1"/>
  <c r="BM39" i="14"/>
  <c r="BN39" i="14" s="1"/>
  <c r="BS39" i="14"/>
  <c r="BU39" i="14" s="1"/>
  <c r="CV36" i="14"/>
  <c r="DF36" i="14" s="1"/>
  <c r="DG36" i="14" s="1"/>
  <c r="DC36" i="14"/>
  <c r="DD36" i="14" s="1"/>
  <c r="CR4" i="14"/>
  <c r="CW4" i="14" s="1"/>
  <c r="CY4" i="14" s="1"/>
  <c r="BK21" i="14"/>
  <c r="BA24" i="14"/>
  <c r="BB24" i="14" s="1"/>
  <c r="AT24" i="14"/>
  <c r="BD24" i="14" s="1"/>
  <c r="BE24" i="14" s="1"/>
  <c r="BJ24" i="14" s="1"/>
  <c r="BG24" i="14"/>
  <c r="BI24" i="14" s="1"/>
  <c r="BF38" i="14"/>
  <c r="BP38" i="14" s="1"/>
  <c r="BQ38" i="14" s="1"/>
  <c r="BV38" i="14" s="1"/>
  <c r="BM38" i="14"/>
  <c r="BN38" i="14" s="1"/>
  <c r="BS38" i="14"/>
  <c r="BU38" i="14" s="1"/>
  <c r="BA15" i="14"/>
  <c r="BB15" i="14" s="1"/>
  <c r="AT15" i="14"/>
  <c r="BD15" i="14" s="1"/>
  <c r="BE15" i="14" s="1"/>
  <c r="BJ15" i="14" s="1"/>
  <c r="BG15" i="14"/>
  <c r="BI15" i="14" s="1"/>
  <c r="CV38" i="14"/>
  <c r="DF38" i="14" s="1"/>
  <c r="DG38" i="14" s="1"/>
  <c r="DC38" i="14"/>
  <c r="DD38" i="14" s="1"/>
  <c r="BB13" i="14"/>
  <c r="E53" i="14"/>
  <c r="I52" i="14"/>
  <c r="I53" i="14" s="1"/>
  <c r="BF47" i="14"/>
  <c r="BP47" i="14" s="1"/>
  <c r="BQ47" i="14" s="1"/>
  <c r="BV47" i="14" s="1"/>
  <c r="BS47" i="14"/>
  <c r="BU47" i="14" s="1"/>
  <c r="BM47" i="14"/>
  <c r="BN47" i="14" s="1"/>
  <c r="DC35" i="14"/>
  <c r="DD35" i="14" s="1"/>
  <c r="CV35" i="14"/>
  <c r="DF35" i="14" s="1"/>
  <c r="DG35" i="14" s="1"/>
  <c r="BF36" i="14"/>
  <c r="BP36" i="14" s="1"/>
  <c r="BQ36" i="14" s="1"/>
  <c r="BV36" i="14" s="1"/>
  <c r="BM36" i="14"/>
  <c r="BN36" i="14" s="1"/>
  <c r="BS36" i="14"/>
  <c r="BU36" i="14" s="1"/>
  <c r="BG7" i="14"/>
  <c r="BI7" i="14" s="1"/>
  <c r="AT7" i="14"/>
  <c r="BD7" i="14" s="1"/>
  <c r="BE7" i="14" s="1"/>
  <c r="BJ7" i="14" s="1"/>
  <c r="BA7" i="14"/>
  <c r="BB7" i="14" s="1"/>
  <c r="BF37" i="14"/>
  <c r="BP37" i="14" s="1"/>
  <c r="BQ37" i="14" s="1"/>
  <c r="BV37" i="14" s="1"/>
  <c r="BM37" i="14"/>
  <c r="BN37" i="14" s="1"/>
  <c r="BS37" i="14"/>
  <c r="BU37" i="14" s="1"/>
  <c r="CV30" i="14"/>
  <c r="DF30" i="14" s="1"/>
  <c r="DG30" i="14" s="1"/>
  <c r="DC30" i="14"/>
  <c r="DD30" i="14" s="1"/>
  <c r="DC46" i="14"/>
  <c r="DD46" i="14" s="1"/>
  <c r="CV46" i="14"/>
  <c r="DF46" i="14" s="1"/>
  <c r="DG46" i="14" s="1"/>
  <c r="BF43" i="14"/>
  <c r="BP43" i="14" s="1"/>
  <c r="BQ43" i="14" s="1"/>
  <c r="BV43" i="14" s="1"/>
  <c r="BS43" i="14"/>
  <c r="BU43" i="14" s="1"/>
  <c r="BM43" i="14"/>
  <c r="BN43" i="14" s="1"/>
  <c r="BW27" i="14"/>
  <c r="D55" i="14" l="1"/>
  <c r="J90" i="14" s="1"/>
  <c r="DM27" i="14"/>
  <c r="DL47" i="14"/>
  <c r="DM47" i="14" s="1"/>
  <c r="DI42" i="14"/>
  <c r="DK42" i="14" s="1"/>
  <c r="DM42" i="14" s="1"/>
  <c r="DI45" i="14"/>
  <c r="DK45" i="14" s="1"/>
  <c r="DM45" i="14" s="1"/>
  <c r="BK12" i="14"/>
  <c r="DI50" i="14"/>
  <c r="DK50" i="14" s="1"/>
  <c r="DM50" i="14" s="1"/>
  <c r="DL48" i="14"/>
  <c r="DM48" i="14" s="1"/>
  <c r="DL44" i="14"/>
  <c r="DI29" i="14"/>
  <c r="DK29" i="14" s="1"/>
  <c r="DM29" i="14" s="1"/>
  <c r="DI28" i="14"/>
  <c r="DK28" i="14" s="1"/>
  <c r="DM28" i="14" s="1"/>
  <c r="CZ19" i="14"/>
  <c r="DA19" i="14" s="1"/>
  <c r="DM51" i="14"/>
  <c r="DL43" i="14"/>
  <c r="DM43" i="14" s="1"/>
  <c r="BW52" i="14"/>
  <c r="CW24" i="14"/>
  <c r="CY24" i="14" s="1"/>
  <c r="DA24" i="14" s="1"/>
  <c r="CW5" i="14"/>
  <c r="CY5" i="14" s="1"/>
  <c r="DA5" i="14" s="1"/>
  <c r="BW30" i="14"/>
  <c r="DI35" i="14"/>
  <c r="DK35" i="14" s="1"/>
  <c r="DI41" i="14"/>
  <c r="DK41" i="14" s="1"/>
  <c r="DM41" i="14" s="1"/>
  <c r="CW13" i="14"/>
  <c r="CY13" i="14" s="1"/>
  <c r="DA13" i="14" s="1"/>
  <c r="BK4" i="14"/>
  <c r="DI46" i="14"/>
  <c r="DK46" i="14" s="1"/>
  <c r="CZ14" i="14"/>
  <c r="DA14" i="14" s="1"/>
  <c r="DA21" i="14"/>
  <c r="CW6" i="14"/>
  <c r="CY6" i="14" s="1"/>
  <c r="CZ6" i="14"/>
  <c r="DM52" i="14"/>
  <c r="CZ26" i="14"/>
  <c r="DA26" i="14" s="1"/>
  <c r="CW23" i="14"/>
  <c r="CY23" i="14" s="1"/>
  <c r="DA23" i="14" s="1"/>
  <c r="CW25" i="14"/>
  <c r="CY25" i="14" s="1"/>
  <c r="DI30" i="14"/>
  <c r="DK30" i="14" s="1"/>
  <c r="CZ4" i="14"/>
  <c r="DA4" i="14" s="1"/>
  <c r="BW50" i="14"/>
  <c r="DI38" i="14"/>
  <c r="DK38" i="14" s="1"/>
  <c r="DI40" i="14"/>
  <c r="DK40" i="14" s="1"/>
  <c r="CW12" i="14"/>
  <c r="CY12" i="14" s="1"/>
  <c r="DA12" i="14" s="1"/>
  <c r="BW37" i="14"/>
  <c r="CZ22" i="14"/>
  <c r="DA22" i="14" s="1"/>
  <c r="DL37" i="14"/>
  <c r="DL39" i="14"/>
  <c r="CZ20" i="14"/>
  <c r="DA20" i="14" s="1"/>
  <c r="CZ16" i="14"/>
  <c r="DA16" i="14" s="1"/>
  <c r="BW38" i="14"/>
  <c r="CZ25" i="14"/>
  <c r="DL40" i="14"/>
  <c r="DA18" i="14"/>
  <c r="CZ7" i="14"/>
  <c r="DL46" i="14"/>
  <c r="DI36" i="14"/>
  <c r="DK36" i="14" s="1"/>
  <c r="DA17" i="14"/>
  <c r="CW7" i="14"/>
  <c r="CY7" i="14" s="1"/>
  <c r="BK15" i="14"/>
  <c r="BW40" i="14"/>
  <c r="BW43" i="14"/>
  <c r="BW36" i="14"/>
  <c r="BW44" i="14"/>
  <c r="CZ15" i="14"/>
  <c r="DA15" i="14" s="1"/>
  <c r="BW47" i="14"/>
  <c r="DL30" i="14"/>
  <c r="DI39" i="14"/>
  <c r="DK39" i="14" s="1"/>
  <c r="DI44" i="14"/>
  <c r="DK44" i="14" s="1"/>
  <c r="DI37" i="14"/>
  <c r="DK37" i="14" s="1"/>
  <c r="DL36" i="14"/>
  <c r="BK7" i="14"/>
  <c r="DL35" i="14"/>
  <c r="DL38" i="14"/>
  <c r="BK24" i="14"/>
  <c r="BW39" i="14"/>
  <c r="V56" i="9"/>
  <c r="V55" i="9"/>
  <c r="V54" i="9"/>
  <c r="V53" i="9"/>
  <c r="V52" i="9"/>
  <c r="V51" i="9"/>
  <c r="V57" i="9"/>
  <c r="V58" i="9"/>
  <c r="V59" i="9"/>
  <c r="V60" i="9"/>
  <c r="V61" i="9"/>
  <c r="V62" i="9"/>
  <c r="DM44" i="14" l="1"/>
  <c r="DA25" i="14"/>
  <c r="DM35" i="14"/>
  <c r="DM46" i="14"/>
  <c r="DA6" i="14"/>
  <c r="DM37" i="14"/>
  <c r="DM39" i="14"/>
  <c r="DM30" i="14"/>
  <c r="DA7" i="14"/>
  <c r="DM36" i="14"/>
  <c r="DM40" i="14"/>
  <c r="DM38" i="14"/>
  <c r="R42" i="5"/>
  <c r="P46" i="5"/>
  <c r="Q46" i="5"/>
  <c r="R46" i="5"/>
  <c r="S46" i="5"/>
  <c r="T46" i="5"/>
  <c r="U46" i="5"/>
  <c r="V46" i="5"/>
  <c r="W46" i="5"/>
  <c r="J57" i="8"/>
  <c r="C57" i="8"/>
  <c r="B29" i="13"/>
  <c r="B29" i="1"/>
  <c r="U5" i="2"/>
  <c r="Y3" i="2"/>
  <c r="AA3" i="2"/>
  <c r="Z3" i="2"/>
  <c r="K11" i="9"/>
  <c r="I11" i="9"/>
  <c r="O57" i="9"/>
  <c r="Q57" i="9" s="1"/>
  <c r="O58" i="9"/>
  <c r="Q58" i="9" s="1"/>
  <c r="Q59" i="9" s="1"/>
  <c r="C46" i="9"/>
  <c r="C47" i="9"/>
  <c r="C48" i="9"/>
  <c r="C49" i="9"/>
  <c r="D36" i="9"/>
  <c r="Q44" i="9"/>
  <c r="Q48" i="9" s="1"/>
  <c r="Q43" i="9"/>
  <c r="Q47" i="9" s="1"/>
  <c r="Q42" i="9"/>
  <c r="Q46" i="9" s="1"/>
  <c r="CX45" i="9"/>
  <c r="CY45" i="9" s="1"/>
  <c r="CQ45" i="9"/>
  <c r="DA45" i="9" s="1"/>
  <c r="DB45" i="9" s="1"/>
  <c r="BH45" i="9"/>
  <c r="BI45" i="9" s="1"/>
  <c r="BA45" i="9"/>
  <c r="BK45" i="9" s="1"/>
  <c r="BL45" i="9" s="1"/>
  <c r="E45" i="9"/>
  <c r="O39" i="9"/>
  <c r="O48" i="9" s="1"/>
  <c r="O38" i="9"/>
  <c r="O47" i="9" s="1"/>
  <c r="O37" i="9"/>
  <c r="O46" i="9" s="1"/>
  <c r="D25" i="9"/>
  <c r="D24" i="9"/>
  <c r="E32" i="5"/>
  <c r="G83" i="13"/>
  <c r="G82" i="13"/>
  <c r="D60" i="13"/>
  <c r="B58" i="13"/>
  <c r="B59" i="13" s="1"/>
  <c r="D59" i="13" s="1"/>
  <c r="D52" i="13"/>
  <c r="C42" i="13"/>
  <c r="B42" i="13"/>
  <c r="A42" i="13"/>
  <c r="C40" i="13"/>
  <c r="D40" i="13" s="1"/>
  <c r="C38" i="13"/>
  <c r="D35" i="13"/>
  <c r="B35" i="13"/>
  <c r="D30" i="13"/>
  <c r="T29" i="13"/>
  <c r="S29" i="13"/>
  <c r="T28" i="13"/>
  <c r="S28" i="13"/>
  <c r="O28" i="13"/>
  <c r="T27" i="13"/>
  <c r="S27" i="13"/>
  <c r="O27" i="13"/>
  <c r="D27" i="13"/>
  <c r="T26" i="13"/>
  <c r="S26" i="13"/>
  <c r="O26" i="13"/>
  <c r="D26" i="13"/>
  <c r="D25" i="13"/>
  <c r="D23" i="13"/>
  <c r="D22" i="13"/>
  <c r="B21" i="13"/>
  <c r="D21" i="13" s="1"/>
  <c r="J20" i="13"/>
  <c r="B20" i="13"/>
  <c r="D20" i="13" s="1"/>
  <c r="J19" i="13"/>
  <c r="D18" i="13"/>
  <c r="C17" i="13"/>
  <c r="B17" i="13"/>
  <c r="V15" i="13"/>
  <c r="V14" i="13"/>
  <c r="V10" i="13" s="1"/>
  <c r="V13" i="13"/>
  <c r="W10" i="13"/>
  <c r="U10" i="13"/>
  <c r="T10" i="13"/>
  <c r="S10" i="13"/>
  <c r="R10" i="13"/>
  <c r="Q10" i="13"/>
  <c r="J17" i="13" l="1"/>
  <c r="F42" i="13"/>
  <c r="B55" i="5"/>
  <c r="B56" i="5"/>
  <c r="D56" i="5" s="1"/>
  <c r="T58" i="9"/>
  <c r="T57" i="9"/>
  <c r="T59" i="9" s="1"/>
  <c r="P47" i="5"/>
  <c r="P42" i="5" s="1"/>
  <c r="Q42" i="5" s="1"/>
  <c r="CT45" i="9"/>
  <c r="BD45" i="9"/>
  <c r="F35" i="13"/>
  <c r="D53" i="13"/>
  <c r="P5" i="13"/>
  <c r="I37" i="13" s="1"/>
  <c r="J18" i="13"/>
  <c r="D42" i="13"/>
  <c r="D17" i="13"/>
  <c r="D29" i="13"/>
  <c r="D58" i="13"/>
  <c r="D61" i="13" s="1"/>
  <c r="B51" i="13"/>
  <c r="D51" i="13" s="1"/>
  <c r="B54" i="13"/>
  <c r="D54" i="13" s="1"/>
  <c r="C81" i="13"/>
  <c r="F40" i="13"/>
  <c r="S28" i="9"/>
  <c r="G55" i="9" s="1"/>
  <c r="G82" i="1"/>
  <c r="F37" i="13" l="1"/>
  <c r="F38" i="13"/>
  <c r="B51" i="9"/>
  <c r="B46" i="9"/>
  <c r="BT45" i="9"/>
  <c r="BV45" i="9" s="1"/>
  <c r="BG45" i="9"/>
  <c r="BQ45" i="9" s="1"/>
  <c r="BR45" i="9" s="1"/>
  <c r="BW45" i="9" s="1"/>
  <c r="BN45" i="9"/>
  <c r="BO45" i="9" s="1"/>
  <c r="DD45" i="9"/>
  <c r="DE45" i="9" s="1"/>
  <c r="CW45" i="9"/>
  <c r="DG45" i="9" s="1"/>
  <c r="DH45" i="9" s="1"/>
  <c r="G37" i="13"/>
  <c r="D31" i="13"/>
  <c r="D32" i="13" s="1"/>
  <c r="D33" i="13" s="1"/>
  <c r="D74" i="13" s="1"/>
  <c r="H37" i="13"/>
  <c r="J38" i="13"/>
  <c r="L18" i="13"/>
  <c r="G38" i="13"/>
  <c r="I38" i="13"/>
  <c r="H38" i="13"/>
  <c r="J37" i="13"/>
  <c r="D55" i="13"/>
  <c r="D44" i="12"/>
  <c r="D44" i="5"/>
  <c r="B62" i="12"/>
  <c r="D62" i="12" s="1"/>
  <c r="D57" i="12"/>
  <c r="D56" i="12"/>
  <c r="CV48" i="12"/>
  <c r="CW48" i="12" s="1"/>
  <c r="CO48" i="12"/>
  <c r="BF48" i="12"/>
  <c r="BG48" i="12" s="1"/>
  <c r="AY48" i="12"/>
  <c r="A48" i="12"/>
  <c r="CV47" i="12"/>
  <c r="CW47" i="12" s="1"/>
  <c r="CO47" i="12"/>
  <c r="CR47" i="12" s="1"/>
  <c r="CU47" i="12" s="1"/>
  <c r="DE47" i="12" s="1"/>
  <c r="DF47" i="12" s="1"/>
  <c r="BF47" i="12"/>
  <c r="BG47" i="12" s="1"/>
  <c r="AY47" i="12"/>
  <c r="BI47" i="12" s="1"/>
  <c r="BJ47" i="12" s="1"/>
  <c r="CV46" i="12"/>
  <c r="CW46" i="12" s="1"/>
  <c r="CO46" i="12"/>
  <c r="CR46" i="12" s="1"/>
  <c r="DB46" i="12" s="1"/>
  <c r="BF46" i="12"/>
  <c r="BG46" i="12" s="1"/>
  <c r="AY46" i="12"/>
  <c r="BI46" i="12" s="1"/>
  <c r="BJ46" i="12" s="1"/>
  <c r="J46" i="12"/>
  <c r="I46" i="12"/>
  <c r="C46" i="12"/>
  <c r="D46" i="12" s="1"/>
  <c r="CV45" i="12"/>
  <c r="CW45" i="12" s="1"/>
  <c r="CO45" i="12"/>
  <c r="CY45" i="12" s="1"/>
  <c r="CZ45" i="12" s="1"/>
  <c r="BF45" i="12"/>
  <c r="BG45" i="12" s="1"/>
  <c r="AY45" i="12"/>
  <c r="BB45" i="12" s="1"/>
  <c r="BL45" i="12" s="1"/>
  <c r="J45" i="12"/>
  <c r="I45" i="12"/>
  <c r="C45" i="12"/>
  <c r="D45" i="12" s="1"/>
  <c r="CV44" i="12"/>
  <c r="CW44" i="12" s="1"/>
  <c r="CO44" i="12"/>
  <c r="CY44" i="12" s="1"/>
  <c r="CZ44" i="12" s="1"/>
  <c r="BF44" i="12"/>
  <c r="BG44" i="12" s="1"/>
  <c r="AY44" i="12"/>
  <c r="BI44" i="12" s="1"/>
  <c r="BJ44" i="12" s="1"/>
  <c r="CV43" i="12"/>
  <c r="CW43" i="12" s="1"/>
  <c r="CO43" i="12"/>
  <c r="BF43" i="12"/>
  <c r="BG43" i="12" s="1"/>
  <c r="AY43" i="12"/>
  <c r="BI43" i="12" s="1"/>
  <c r="BJ43" i="12" s="1"/>
  <c r="CV42" i="12"/>
  <c r="CW42" i="12" s="1"/>
  <c r="CO42" i="12"/>
  <c r="CR42" i="12" s="1"/>
  <c r="DB42" i="12" s="1"/>
  <c r="BF42" i="12"/>
  <c r="BG42" i="12" s="1"/>
  <c r="AY42" i="12"/>
  <c r="BI42" i="12" s="1"/>
  <c r="BJ42" i="12" s="1"/>
  <c r="D42" i="12"/>
  <c r="J44" i="12" s="1"/>
  <c r="B42" i="12"/>
  <c r="L39" i="12" s="1"/>
  <c r="CV41" i="12"/>
  <c r="CW41" i="12" s="1"/>
  <c r="CO41" i="12"/>
  <c r="CY41" i="12" s="1"/>
  <c r="CZ41" i="12" s="1"/>
  <c r="BF41" i="12"/>
  <c r="BG41" i="12" s="1"/>
  <c r="AY41" i="12"/>
  <c r="BI41" i="12" s="1"/>
  <c r="BJ41" i="12" s="1"/>
  <c r="B41" i="12"/>
  <c r="CV40" i="12"/>
  <c r="CW40" i="12" s="1"/>
  <c r="CO40" i="12"/>
  <c r="CR40" i="12" s="1"/>
  <c r="BF40" i="12"/>
  <c r="BG40" i="12" s="1"/>
  <c r="AY40" i="12"/>
  <c r="BB40" i="12" s="1"/>
  <c r="BL40" i="12" s="1"/>
  <c r="CV39" i="12"/>
  <c r="CW39" i="12" s="1"/>
  <c r="CO39" i="12"/>
  <c r="CR39" i="12" s="1"/>
  <c r="BF39" i="12"/>
  <c r="BG39" i="12" s="1"/>
  <c r="AY39" i="12"/>
  <c r="BI39" i="12" s="1"/>
  <c r="BJ39" i="12" s="1"/>
  <c r="CV38" i="12"/>
  <c r="CW38" i="12" s="1"/>
  <c r="CO38" i="12"/>
  <c r="CY38" i="12" s="1"/>
  <c r="CZ38" i="12" s="1"/>
  <c r="BF38" i="12"/>
  <c r="BG38" i="12" s="1"/>
  <c r="AY38" i="12"/>
  <c r="BB38" i="12" s="1"/>
  <c r="CV37" i="12"/>
  <c r="CW37" i="12" s="1"/>
  <c r="CO37" i="12"/>
  <c r="BF37" i="12"/>
  <c r="BG37" i="12" s="1"/>
  <c r="AY37" i="12"/>
  <c r="BB37" i="12" s="1"/>
  <c r="BL37" i="12" s="1"/>
  <c r="CV36" i="12"/>
  <c r="CW36" i="12" s="1"/>
  <c r="CO36" i="12"/>
  <c r="CY36" i="12" s="1"/>
  <c r="CZ36" i="12" s="1"/>
  <c r="BF36" i="12"/>
  <c r="BG36" i="12" s="1"/>
  <c r="AY36" i="12"/>
  <c r="D36" i="12"/>
  <c r="CV35" i="12"/>
  <c r="CW35" i="12" s="1"/>
  <c r="CO35" i="12"/>
  <c r="BF35" i="12"/>
  <c r="BG35" i="12" s="1"/>
  <c r="AY35" i="12"/>
  <c r="BB35" i="12" s="1"/>
  <c r="BL35" i="12" s="1"/>
  <c r="D35" i="12"/>
  <c r="CV34" i="12"/>
  <c r="CW34" i="12" s="1"/>
  <c r="CO34" i="12"/>
  <c r="CY34" i="12" s="1"/>
  <c r="CZ34" i="12" s="1"/>
  <c r="BF34" i="12"/>
  <c r="BG34" i="12" s="1"/>
  <c r="AY34" i="12"/>
  <c r="D34" i="12"/>
  <c r="CV33" i="12"/>
  <c r="CW33" i="12" s="1"/>
  <c r="CO33" i="12"/>
  <c r="BF33" i="12"/>
  <c r="BG33" i="12" s="1"/>
  <c r="AY33" i="12"/>
  <c r="BB33" i="12" s="1"/>
  <c r="BL33" i="12" s="1"/>
  <c r="D33" i="12"/>
  <c r="CV32" i="12"/>
  <c r="CW32" i="12" s="1"/>
  <c r="CO32" i="12"/>
  <c r="BF32" i="12"/>
  <c r="BG32" i="12" s="1"/>
  <c r="AY32" i="12"/>
  <c r="BI32" i="12" s="1"/>
  <c r="BJ32" i="12" s="1"/>
  <c r="D31" i="12"/>
  <c r="CV30" i="12"/>
  <c r="CW30" i="12" s="1"/>
  <c r="CO30" i="12"/>
  <c r="CY30" i="12" s="1"/>
  <c r="CZ30" i="12" s="1"/>
  <c r="BF30" i="12"/>
  <c r="BG30" i="12" s="1"/>
  <c r="AY30" i="12"/>
  <c r="BB30" i="12" s="1"/>
  <c r="D30" i="12"/>
  <c r="CV29" i="12"/>
  <c r="CW29" i="12" s="1"/>
  <c r="CO29" i="12"/>
  <c r="CR29" i="12" s="1"/>
  <c r="BF29" i="12"/>
  <c r="BG29" i="12" s="1"/>
  <c r="AY29" i="12"/>
  <c r="T29" i="12"/>
  <c r="S29" i="12"/>
  <c r="D29" i="12"/>
  <c r="CV28" i="12"/>
  <c r="CW28" i="12" s="1"/>
  <c r="CO28" i="12"/>
  <c r="CR28" i="12" s="1"/>
  <c r="BF28" i="12"/>
  <c r="BG28" i="12" s="1"/>
  <c r="AY28" i="12"/>
  <c r="BB28" i="12" s="1"/>
  <c r="BE28" i="12" s="1"/>
  <c r="BO28" i="12" s="1"/>
  <c r="BP28" i="12" s="1"/>
  <c r="BU28" i="12" s="1"/>
  <c r="T28" i="12"/>
  <c r="S28" i="12"/>
  <c r="O28" i="12"/>
  <c r="CV27" i="12"/>
  <c r="CW27" i="12" s="1"/>
  <c r="CO27" i="12"/>
  <c r="CR27" i="12" s="1"/>
  <c r="DB27" i="12" s="1"/>
  <c r="BF27" i="12"/>
  <c r="BG27" i="12" s="1"/>
  <c r="AY27" i="12"/>
  <c r="BB27" i="12" s="1"/>
  <c r="T27" i="12"/>
  <c r="S27" i="12"/>
  <c r="O27" i="12"/>
  <c r="D27" i="12"/>
  <c r="CJ26" i="12"/>
  <c r="CK26" i="12" s="1"/>
  <c r="CC26" i="12"/>
  <c r="CM26" i="12" s="1"/>
  <c r="CN26" i="12" s="1"/>
  <c r="AT26" i="12"/>
  <c r="AU26" i="12" s="1"/>
  <c r="AM26" i="12"/>
  <c r="AP26" i="12" s="1"/>
  <c r="AZ26" i="12" s="1"/>
  <c r="T26" i="12"/>
  <c r="S26" i="12"/>
  <c r="O26" i="12"/>
  <c r="D26" i="12"/>
  <c r="CJ25" i="12"/>
  <c r="CK25" i="12" s="1"/>
  <c r="CC25" i="12"/>
  <c r="CM25" i="12" s="1"/>
  <c r="CN25" i="12" s="1"/>
  <c r="AT25" i="12"/>
  <c r="AU25" i="12" s="1"/>
  <c r="AM25" i="12"/>
  <c r="D25" i="12"/>
  <c r="CJ24" i="12"/>
  <c r="CK24" i="12" s="1"/>
  <c r="CC24" i="12"/>
  <c r="CM24" i="12" s="1"/>
  <c r="CN24" i="12" s="1"/>
  <c r="AT24" i="12"/>
  <c r="AU24" i="12" s="1"/>
  <c r="AM24" i="12"/>
  <c r="AW24" i="12" s="1"/>
  <c r="AX24" i="12" s="1"/>
  <c r="D24" i="12"/>
  <c r="CJ23" i="12"/>
  <c r="CK23" i="12" s="1"/>
  <c r="CC23" i="12"/>
  <c r="CM23" i="12" s="1"/>
  <c r="CN23" i="12" s="1"/>
  <c r="AT23" i="12"/>
  <c r="AU23" i="12" s="1"/>
  <c r="AM23" i="12"/>
  <c r="AW23" i="12" s="1"/>
  <c r="AX23" i="12" s="1"/>
  <c r="D23" i="12"/>
  <c r="CJ22" i="12"/>
  <c r="CK22" i="12" s="1"/>
  <c r="CC22" i="12"/>
  <c r="CM22" i="12" s="1"/>
  <c r="CN22" i="12" s="1"/>
  <c r="AT22" i="12"/>
  <c r="AU22" i="12" s="1"/>
  <c r="AM22" i="12"/>
  <c r="AW22" i="12" s="1"/>
  <c r="AX22" i="12" s="1"/>
  <c r="D22" i="12"/>
  <c r="CJ21" i="12"/>
  <c r="CK21" i="12" s="1"/>
  <c r="CC21" i="12"/>
  <c r="AT21" i="12"/>
  <c r="AU21" i="12" s="1"/>
  <c r="AM21" i="12"/>
  <c r="AW21" i="12" s="1"/>
  <c r="AX21" i="12" s="1"/>
  <c r="D21" i="12"/>
  <c r="CJ20" i="12"/>
  <c r="CK20" i="12" s="1"/>
  <c r="CC20" i="12"/>
  <c r="CF20" i="12" s="1"/>
  <c r="CP20" i="12" s="1"/>
  <c r="AT20" i="12"/>
  <c r="AU20" i="12" s="1"/>
  <c r="AM20" i="12"/>
  <c r="AP20" i="12" s="1"/>
  <c r="AS20" i="12" s="1"/>
  <c r="BC20" i="12" s="1"/>
  <c r="BD20" i="12" s="1"/>
  <c r="BI20" i="12" s="1"/>
  <c r="CJ19" i="12"/>
  <c r="CK19" i="12" s="1"/>
  <c r="CC19" i="12"/>
  <c r="CM19" i="12" s="1"/>
  <c r="CN19" i="12" s="1"/>
  <c r="AT19" i="12"/>
  <c r="AU19" i="12" s="1"/>
  <c r="AM19" i="12"/>
  <c r="AP19" i="12" s="1"/>
  <c r="AS19" i="12" s="1"/>
  <c r="BC19" i="12" s="1"/>
  <c r="BD19" i="12" s="1"/>
  <c r="BI19" i="12" s="1"/>
  <c r="D19" i="12"/>
  <c r="CJ18" i="12"/>
  <c r="CK18" i="12" s="1"/>
  <c r="CC18" i="12"/>
  <c r="CF18" i="12" s="1"/>
  <c r="CP18" i="12" s="1"/>
  <c r="AT18" i="12"/>
  <c r="AU18" i="12" s="1"/>
  <c r="AM18" i="12"/>
  <c r="AP18" i="12" s="1"/>
  <c r="D18" i="12"/>
  <c r="CJ17" i="12"/>
  <c r="CK17" i="12" s="1"/>
  <c r="CC17" i="12"/>
  <c r="CM17" i="12" s="1"/>
  <c r="CN17" i="12" s="1"/>
  <c r="AT17" i="12"/>
  <c r="AU17" i="12" s="1"/>
  <c r="AM17" i="12"/>
  <c r="CJ16" i="12"/>
  <c r="CK16" i="12" s="1"/>
  <c r="CC16" i="12"/>
  <c r="CM16" i="12" s="1"/>
  <c r="CN16" i="12" s="1"/>
  <c r="AT16" i="12"/>
  <c r="AU16" i="12" s="1"/>
  <c r="AM16" i="12"/>
  <c r="AP16" i="12" s="1"/>
  <c r="CJ15" i="12"/>
  <c r="CK15" i="12" s="1"/>
  <c r="CC15" i="12"/>
  <c r="CM15" i="12" s="1"/>
  <c r="CN15" i="12" s="1"/>
  <c r="AT15" i="12"/>
  <c r="AU15" i="12" s="1"/>
  <c r="AM15" i="12"/>
  <c r="AP15" i="12" s="1"/>
  <c r="CJ14" i="12"/>
  <c r="CK14" i="12" s="1"/>
  <c r="CC14" i="12"/>
  <c r="CF14" i="12" s="1"/>
  <c r="AT14" i="12"/>
  <c r="AU14" i="12" s="1"/>
  <c r="AM14" i="12"/>
  <c r="AP14" i="12" s="1"/>
  <c r="CJ13" i="12"/>
  <c r="CK13" i="12" s="1"/>
  <c r="CC13" i="12"/>
  <c r="CM13" i="12" s="1"/>
  <c r="CN13" i="12" s="1"/>
  <c r="AT13" i="12"/>
  <c r="AU13" i="12" s="1"/>
  <c r="AM13" i="12"/>
  <c r="AW13" i="12" s="1"/>
  <c r="AX13" i="12" s="1"/>
  <c r="CJ12" i="12"/>
  <c r="CK12" i="12" s="1"/>
  <c r="CC12" i="12"/>
  <c r="CM12" i="12" s="1"/>
  <c r="CN12" i="12" s="1"/>
  <c r="AT12" i="12"/>
  <c r="AU12" i="12" s="1"/>
  <c r="AM12" i="12"/>
  <c r="CJ7" i="12"/>
  <c r="CK7" i="12" s="1"/>
  <c r="CC7" i="12"/>
  <c r="CM7" i="12" s="1"/>
  <c r="CN7" i="12" s="1"/>
  <c r="AT7" i="12"/>
  <c r="AU7" i="12" s="1"/>
  <c r="AM7" i="12"/>
  <c r="AP7" i="12" s="1"/>
  <c r="CJ6" i="12"/>
  <c r="CK6" i="12" s="1"/>
  <c r="CC6" i="12"/>
  <c r="CF6" i="12" s="1"/>
  <c r="AT6" i="12"/>
  <c r="AU6" i="12" s="1"/>
  <c r="AM6" i="12"/>
  <c r="AP6" i="12" s="1"/>
  <c r="CJ5" i="12"/>
  <c r="CK5" i="12" s="1"/>
  <c r="CC5" i="12"/>
  <c r="CF5" i="12" s="1"/>
  <c r="AT5" i="12"/>
  <c r="AU5" i="12" s="1"/>
  <c r="AM5" i="12"/>
  <c r="AW5" i="12" s="1"/>
  <c r="AX5" i="12" s="1"/>
  <c r="CJ4" i="12"/>
  <c r="CK4" i="12" s="1"/>
  <c r="CC4" i="12"/>
  <c r="CM4" i="12" s="1"/>
  <c r="CN4" i="12" s="1"/>
  <c r="AT4" i="12"/>
  <c r="AU4" i="12" s="1"/>
  <c r="AM4" i="12"/>
  <c r="D48" i="12" l="1"/>
  <c r="H60" i="12"/>
  <c r="H61" i="12" s="1"/>
  <c r="BX45" i="9"/>
  <c r="DJ45" i="9"/>
  <c r="DL45" i="9" s="1"/>
  <c r="J84" i="13"/>
  <c r="DM45" i="9"/>
  <c r="DN45" i="9" s="1"/>
  <c r="E37" i="13"/>
  <c r="E38" i="13"/>
  <c r="D38" i="13" s="1"/>
  <c r="K38" i="13" s="1"/>
  <c r="D37" i="13"/>
  <c r="K37" i="13" s="1"/>
  <c r="A44" i="13"/>
  <c r="F67" i="13" s="1"/>
  <c r="E33" i="13"/>
  <c r="H33" i="13"/>
  <c r="BI30" i="12"/>
  <c r="BJ30" i="12" s="1"/>
  <c r="BI27" i="12"/>
  <c r="BJ27" i="12" s="1"/>
  <c r="CR36" i="12"/>
  <c r="DB36" i="12" s="1"/>
  <c r="DC36" i="12" s="1"/>
  <c r="K46" i="12"/>
  <c r="CR44" i="12"/>
  <c r="CU44" i="12" s="1"/>
  <c r="DE44" i="12" s="1"/>
  <c r="DF44" i="12" s="1"/>
  <c r="AP13" i="12"/>
  <c r="AS13" i="12" s="1"/>
  <c r="BC13" i="12" s="1"/>
  <c r="BD13" i="12" s="1"/>
  <c r="BI13" i="12" s="1"/>
  <c r="CM20" i="12"/>
  <c r="CN20" i="12" s="1"/>
  <c r="CQ20" i="12" s="1"/>
  <c r="AW16" i="12"/>
  <c r="AX16" i="12" s="1"/>
  <c r="BI37" i="12"/>
  <c r="BJ37" i="12" s="1"/>
  <c r="BM37" i="12" s="1"/>
  <c r="CM5" i="12"/>
  <c r="CN5" i="12" s="1"/>
  <c r="CM14" i="12"/>
  <c r="CN14" i="12" s="1"/>
  <c r="AZ19" i="12"/>
  <c r="BB42" i="12"/>
  <c r="BE42" i="12" s="1"/>
  <c r="BO42" i="12" s="1"/>
  <c r="BP42" i="12" s="1"/>
  <c r="BU42" i="12" s="1"/>
  <c r="BI35" i="12"/>
  <c r="BJ35" i="12" s="1"/>
  <c r="BM35" i="12" s="1"/>
  <c r="BB43" i="12"/>
  <c r="BR43" i="12" s="1"/>
  <c r="BT43" i="12" s="1"/>
  <c r="AW7" i="12"/>
  <c r="AX7" i="12" s="1"/>
  <c r="AW18" i="12"/>
  <c r="AX18" i="12" s="1"/>
  <c r="CP5" i="12"/>
  <c r="CI5" i="12"/>
  <c r="CS5" i="12" s="1"/>
  <c r="CT5" i="12" s="1"/>
  <c r="CU39" i="12"/>
  <c r="DE39" i="12" s="1"/>
  <c r="DF39" i="12" s="1"/>
  <c r="DB39" i="12"/>
  <c r="CF13" i="12"/>
  <c r="AW15" i="12"/>
  <c r="AX15" i="12" s="1"/>
  <c r="AP21" i="12"/>
  <c r="BI28" i="12"/>
  <c r="BJ28" i="12" s="1"/>
  <c r="CF22" i="12"/>
  <c r="CP22" i="12" s="1"/>
  <c r="CQ22" i="12" s="1"/>
  <c r="CY42" i="12"/>
  <c r="CZ42" i="12" s="1"/>
  <c r="DC42" i="12" s="1"/>
  <c r="BI45" i="12"/>
  <c r="BJ45" i="12" s="1"/>
  <c r="BM45" i="12" s="1"/>
  <c r="CR34" i="12"/>
  <c r="CU34" i="12" s="1"/>
  <c r="DE34" i="12" s="1"/>
  <c r="DF34" i="12" s="1"/>
  <c r="CU42" i="12"/>
  <c r="DE42" i="12" s="1"/>
  <c r="DF42" i="12" s="1"/>
  <c r="CY27" i="12"/>
  <c r="CZ27" i="12" s="1"/>
  <c r="AP5" i="12"/>
  <c r="AZ5" i="12" s="1"/>
  <c r="BA5" i="12" s="1"/>
  <c r="BI33" i="12"/>
  <c r="BJ33" i="12" s="1"/>
  <c r="BM33" i="12" s="1"/>
  <c r="CR41" i="12"/>
  <c r="DB41" i="12" s="1"/>
  <c r="DC41" i="12" s="1"/>
  <c r="CY47" i="12"/>
  <c r="CZ47" i="12" s="1"/>
  <c r="CF16" i="12"/>
  <c r="CP16" i="12" s="1"/>
  <c r="CQ16" i="12" s="1"/>
  <c r="CR30" i="12"/>
  <c r="DB30" i="12" s="1"/>
  <c r="DC30" i="12" s="1"/>
  <c r="CY28" i="12"/>
  <c r="CZ28" i="12" s="1"/>
  <c r="CY39" i="12"/>
  <c r="CZ39" i="12" s="1"/>
  <c r="BF14" i="12"/>
  <c r="BH14" i="12" s="1"/>
  <c r="AW20" i="12"/>
  <c r="AX20" i="12" s="1"/>
  <c r="CY29" i="12"/>
  <c r="CZ29" i="12" s="1"/>
  <c r="BB32" i="12"/>
  <c r="BL32" i="12" s="1"/>
  <c r="BM32" i="12" s="1"/>
  <c r="CR38" i="12"/>
  <c r="DB38" i="12" s="1"/>
  <c r="DC38" i="12" s="1"/>
  <c r="CR45" i="12"/>
  <c r="CU45" i="12" s="1"/>
  <c r="DE45" i="12" s="1"/>
  <c r="DF45" i="12" s="1"/>
  <c r="CY46" i="12"/>
  <c r="CZ46" i="12" s="1"/>
  <c r="DC46" i="12" s="1"/>
  <c r="CF15" i="12"/>
  <c r="CP15" i="12" s="1"/>
  <c r="CQ15" i="12" s="1"/>
  <c r="BF20" i="12"/>
  <c r="BH20" i="12" s="1"/>
  <c r="BJ20" i="12" s="1"/>
  <c r="CM6" i="12"/>
  <c r="CN6" i="12" s="1"/>
  <c r="CM18" i="12"/>
  <c r="CN18" i="12" s="1"/>
  <c r="CQ18" i="12" s="1"/>
  <c r="BF19" i="12"/>
  <c r="BH19" i="12" s="1"/>
  <c r="BJ19" i="12" s="1"/>
  <c r="AW19" i="12"/>
  <c r="AX19" i="12" s="1"/>
  <c r="AW26" i="12"/>
  <c r="AX26" i="12" s="1"/>
  <c r="BA26" i="12" s="1"/>
  <c r="BI40" i="12"/>
  <c r="BJ40" i="12" s="1"/>
  <c r="BM40" i="12" s="1"/>
  <c r="BB47" i="12"/>
  <c r="BL47" i="12" s="1"/>
  <c r="BM47" i="12" s="1"/>
  <c r="CF7" i="12"/>
  <c r="CP7" i="12" s="1"/>
  <c r="CQ7" i="12" s="1"/>
  <c r="BF6" i="12"/>
  <c r="BH6" i="12" s="1"/>
  <c r="BR40" i="12"/>
  <c r="BT40" i="12" s="1"/>
  <c r="F45" i="12"/>
  <c r="F46" i="12"/>
  <c r="F42" i="12"/>
  <c r="D61" i="12"/>
  <c r="D64" i="12" s="1"/>
  <c r="BF16" i="12"/>
  <c r="BH16" i="12" s="1"/>
  <c r="AS16" i="12"/>
  <c r="BC16" i="12" s="1"/>
  <c r="BD16" i="12" s="1"/>
  <c r="BI16" i="12" s="1"/>
  <c r="AZ16" i="12"/>
  <c r="BF7" i="12"/>
  <c r="BH7" i="12" s="1"/>
  <c r="AS7" i="12"/>
  <c r="BC7" i="12" s="1"/>
  <c r="BD7" i="12" s="1"/>
  <c r="BI7" i="12" s="1"/>
  <c r="AZ7" i="12"/>
  <c r="BF15" i="12"/>
  <c r="BH15" i="12" s="1"/>
  <c r="AS15" i="12"/>
  <c r="BC15" i="12" s="1"/>
  <c r="BD15" i="12" s="1"/>
  <c r="BI15" i="12" s="1"/>
  <c r="AZ15" i="12"/>
  <c r="CF17" i="12"/>
  <c r="BF18" i="12"/>
  <c r="BH18" i="12" s="1"/>
  <c r="AS18" i="12"/>
  <c r="BC18" i="12" s="1"/>
  <c r="BD18" i="12" s="1"/>
  <c r="BI18" i="12" s="1"/>
  <c r="AZ18" i="12"/>
  <c r="DB29" i="12"/>
  <c r="CU29" i="12"/>
  <c r="DE29" i="12" s="1"/>
  <c r="DF29" i="12" s="1"/>
  <c r="CF4" i="12"/>
  <c r="CI6" i="12"/>
  <c r="CS6" i="12" s="1"/>
  <c r="CT6" i="12" s="1"/>
  <c r="CP6" i="12"/>
  <c r="CF12" i="12"/>
  <c r="CI14" i="12"/>
  <c r="CS14" i="12" s="1"/>
  <c r="CT14" i="12" s="1"/>
  <c r="CP14" i="12"/>
  <c r="BI29" i="12"/>
  <c r="BJ29" i="12" s="1"/>
  <c r="BB29" i="12"/>
  <c r="AW17" i="12"/>
  <c r="AX17" i="12" s="1"/>
  <c r="AP17" i="12"/>
  <c r="CY37" i="12"/>
  <c r="CZ37" i="12" s="1"/>
  <c r="CR37" i="12"/>
  <c r="CF21" i="12"/>
  <c r="CM21" i="12"/>
  <c r="CN21" i="12" s="1"/>
  <c r="CI18" i="12"/>
  <c r="CS18" i="12" s="1"/>
  <c r="CT18" i="12" s="1"/>
  <c r="AW4" i="12"/>
  <c r="AX4" i="12" s="1"/>
  <c r="AP4" i="12"/>
  <c r="AS6" i="12"/>
  <c r="BC6" i="12" s="1"/>
  <c r="BD6" i="12" s="1"/>
  <c r="BI6" i="12" s="1"/>
  <c r="AZ6" i="12"/>
  <c r="AW12" i="12"/>
  <c r="AX12" i="12" s="1"/>
  <c r="AP12" i="12"/>
  <c r="AS14" i="12"/>
  <c r="BC14" i="12" s="1"/>
  <c r="BD14" i="12" s="1"/>
  <c r="BI14" i="12" s="1"/>
  <c r="AZ14" i="12"/>
  <c r="D37" i="12"/>
  <c r="B39" i="12" s="1"/>
  <c r="CR43" i="12"/>
  <c r="CY43" i="12"/>
  <c r="CZ43" i="12" s="1"/>
  <c r="AW6" i="12"/>
  <c r="AX6" i="12" s="1"/>
  <c r="AW14" i="12"/>
  <c r="AX14" i="12" s="1"/>
  <c r="AP23" i="12"/>
  <c r="CF23" i="12"/>
  <c r="BL27" i="12"/>
  <c r="BR27" i="12"/>
  <c r="BT27" i="12" s="1"/>
  <c r="BE27" i="12"/>
  <c r="BO27" i="12" s="1"/>
  <c r="BP27" i="12" s="1"/>
  <c r="BU27" i="12" s="1"/>
  <c r="CU28" i="12"/>
  <c r="DE28" i="12" s="1"/>
  <c r="DF28" i="12" s="1"/>
  <c r="BL30" i="12"/>
  <c r="BR30" i="12"/>
  <c r="BT30" i="12" s="1"/>
  <c r="BE30" i="12"/>
  <c r="BO30" i="12" s="1"/>
  <c r="BP30" i="12" s="1"/>
  <c r="BU30" i="12" s="1"/>
  <c r="BB39" i="12"/>
  <c r="J47" i="12"/>
  <c r="BB46" i="12"/>
  <c r="BL38" i="12"/>
  <c r="BR38" i="12"/>
  <c r="BT38" i="12" s="1"/>
  <c r="BE38" i="12"/>
  <c r="BO38" i="12" s="1"/>
  <c r="BP38" i="12" s="1"/>
  <c r="BU38" i="12" s="1"/>
  <c r="CR32" i="12"/>
  <c r="CY32" i="12"/>
  <c r="CZ32" i="12" s="1"/>
  <c r="BI38" i="12"/>
  <c r="BJ38" i="12" s="1"/>
  <c r="BR28" i="12"/>
  <c r="BT28" i="12" s="1"/>
  <c r="BV28" i="12" s="1"/>
  <c r="BL28" i="12"/>
  <c r="CF19" i="12"/>
  <c r="BF26" i="12"/>
  <c r="BH26" i="12" s="1"/>
  <c r="AS26" i="12"/>
  <c r="BC26" i="12" s="1"/>
  <c r="BD26" i="12" s="1"/>
  <c r="BI26" i="12" s="1"/>
  <c r="CF26" i="12"/>
  <c r="BR33" i="12"/>
  <c r="BT33" i="12" s="1"/>
  <c r="DB40" i="12"/>
  <c r="CU40" i="12"/>
  <c r="DE40" i="12" s="1"/>
  <c r="DF40" i="12" s="1"/>
  <c r="BB44" i="12"/>
  <c r="CY48" i="12"/>
  <c r="CZ48" i="12" s="1"/>
  <c r="CR48" i="12"/>
  <c r="AP22" i="12"/>
  <c r="AP24" i="12"/>
  <c r="CF24" i="12"/>
  <c r="CY33" i="12"/>
  <c r="CZ33" i="12" s="1"/>
  <c r="CR33" i="12"/>
  <c r="BB34" i="12"/>
  <c r="BI34" i="12"/>
  <c r="BJ34" i="12" s="1"/>
  <c r="BE40" i="12"/>
  <c r="BO40" i="12" s="1"/>
  <c r="BP40" i="12" s="1"/>
  <c r="BU40" i="12" s="1"/>
  <c r="BB41" i="12"/>
  <c r="K45" i="12"/>
  <c r="CI20" i="12"/>
  <c r="CS20" i="12" s="1"/>
  <c r="CT20" i="12" s="1"/>
  <c r="CF25" i="12"/>
  <c r="DB28" i="12"/>
  <c r="BR35" i="12"/>
  <c r="BT35" i="12" s="1"/>
  <c r="CY40" i="12"/>
  <c r="CZ40" i="12" s="1"/>
  <c r="DB47" i="12"/>
  <c r="AZ20" i="12"/>
  <c r="AP25" i="12"/>
  <c r="AW25" i="12"/>
  <c r="AX25" i="12" s="1"/>
  <c r="CY35" i="12"/>
  <c r="CZ35" i="12" s="1"/>
  <c r="CR35" i="12"/>
  <c r="BB36" i="12"/>
  <c r="BI36" i="12"/>
  <c r="BJ36" i="12" s="1"/>
  <c r="CU36" i="12"/>
  <c r="DE36" i="12" s="1"/>
  <c r="DF36" i="12" s="1"/>
  <c r="BR37" i="12"/>
  <c r="BT37" i="12" s="1"/>
  <c r="CU27" i="12"/>
  <c r="DE27" i="12" s="1"/>
  <c r="DF27" i="12" s="1"/>
  <c r="BI48" i="12"/>
  <c r="BJ48" i="12" s="1"/>
  <c r="BB48" i="12"/>
  <c r="B54" i="12"/>
  <c r="D54" i="12" s="1"/>
  <c r="I44" i="12"/>
  <c r="C83" i="12"/>
  <c r="B55" i="12"/>
  <c r="D55" i="12" s="1"/>
  <c r="D49" i="12"/>
  <c r="BR45" i="12"/>
  <c r="BT45" i="12" s="1"/>
  <c r="CU46" i="12"/>
  <c r="DE46" i="12" s="1"/>
  <c r="DF46" i="12" s="1"/>
  <c r="BE33" i="12"/>
  <c r="BO33" i="12" s="1"/>
  <c r="BP33" i="12" s="1"/>
  <c r="BU33" i="12" s="1"/>
  <c r="BE35" i="12"/>
  <c r="BO35" i="12" s="1"/>
  <c r="BP35" i="12" s="1"/>
  <c r="BU35" i="12" s="1"/>
  <c r="BE37" i="12"/>
  <c r="BO37" i="12" s="1"/>
  <c r="BP37" i="12" s="1"/>
  <c r="BU37" i="12" s="1"/>
  <c r="BE45" i="12"/>
  <c r="BO45" i="12" s="1"/>
  <c r="BP45" i="12" s="1"/>
  <c r="BU45" i="12" s="1"/>
  <c r="D44" i="13" l="1"/>
  <c r="H56" i="13"/>
  <c r="H57" i="13" s="1"/>
  <c r="CU41" i="12"/>
  <c r="DE41" i="12" s="1"/>
  <c r="DF41" i="12" s="1"/>
  <c r="DK41" i="12" s="1"/>
  <c r="D45" i="13"/>
  <c r="D46" i="13" s="1"/>
  <c r="BM27" i="12"/>
  <c r="BE43" i="12"/>
  <c r="BO43" i="12" s="1"/>
  <c r="BP43" i="12" s="1"/>
  <c r="BU43" i="12" s="1"/>
  <c r="BV43" i="12" s="1"/>
  <c r="BL43" i="12"/>
  <c r="BM43" i="12" s="1"/>
  <c r="BA7" i="12"/>
  <c r="DB34" i="12"/>
  <c r="DC34" i="12" s="1"/>
  <c r="BA20" i="12"/>
  <c r="BL42" i="12"/>
  <c r="BM42" i="12" s="1"/>
  <c r="DB44" i="12"/>
  <c r="DC44" i="12" s="1"/>
  <c r="DK44" i="12" s="1"/>
  <c r="BM30" i="12"/>
  <c r="BJ14" i="12"/>
  <c r="BA16" i="12"/>
  <c r="BF13" i="12"/>
  <c r="BH13" i="12" s="1"/>
  <c r="BJ13" i="12" s="1"/>
  <c r="DB45" i="12"/>
  <c r="DC45" i="12" s="1"/>
  <c r="DH45" i="12" s="1"/>
  <c r="DJ45" i="12" s="1"/>
  <c r="CI7" i="12"/>
  <c r="CS7" i="12" s="1"/>
  <c r="CT7" i="12" s="1"/>
  <c r="CV7" i="12" s="1"/>
  <c r="CX7" i="12" s="1"/>
  <c r="AZ13" i="12"/>
  <c r="BA13" i="12" s="1"/>
  <c r="BV38" i="12"/>
  <c r="BJ16" i="12"/>
  <c r="CQ5" i="12"/>
  <c r="CY5" i="12" s="1"/>
  <c r="CI16" i="12"/>
  <c r="CS16" i="12" s="1"/>
  <c r="CT16" i="12" s="1"/>
  <c r="CY16" i="12" s="1"/>
  <c r="CI15" i="12"/>
  <c r="CS15" i="12" s="1"/>
  <c r="CT15" i="12" s="1"/>
  <c r="CY15" i="12" s="1"/>
  <c r="CY20" i="12"/>
  <c r="BJ7" i="12"/>
  <c r="BV33" i="12"/>
  <c r="BA19" i="12"/>
  <c r="DC47" i="12"/>
  <c r="BR42" i="12"/>
  <c r="BT42" i="12" s="1"/>
  <c r="BV42" i="12" s="1"/>
  <c r="DC39" i="12"/>
  <c r="DH39" i="12" s="1"/>
  <c r="DJ39" i="12" s="1"/>
  <c r="CQ14" i="12"/>
  <c r="CY14" i="12" s="1"/>
  <c r="AS5" i="12"/>
  <c r="BC5" i="12" s="1"/>
  <c r="BD5" i="12" s="1"/>
  <c r="BI5" i="12" s="1"/>
  <c r="CY7" i="12"/>
  <c r="CU38" i="12"/>
  <c r="DE38" i="12" s="1"/>
  <c r="DF38" i="12" s="1"/>
  <c r="DK38" i="12" s="1"/>
  <c r="DC29" i="12"/>
  <c r="DH29" i="12" s="1"/>
  <c r="DJ29" i="12" s="1"/>
  <c r="BE32" i="12"/>
  <c r="BO32" i="12" s="1"/>
  <c r="BP32" i="12" s="1"/>
  <c r="BU32" i="12" s="1"/>
  <c r="BV35" i="12"/>
  <c r="BR32" i="12"/>
  <c r="BT32" i="12" s="1"/>
  <c r="BF5" i="12"/>
  <c r="BH5" i="12" s="1"/>
  <c r="BE47" i="12"/>
  <c r="BO47" i="12" s="1"/>
  <c r="BP47" i="12" s="1"/>
  <c r="BU47" i="12" s="1"/>
  <c r="BR47" i="12"/>
  <c r="BT47" i="12" s="1"/>
  <c r="DC27" i="12"/>
  <c r="DH27" i="12" s="1"/>
  <c r="DJ27" i="12" s="1"/>
  <c r="BA18" i="12"/>
  <c r="DH46" i="12"/>
  <c r="DJ46" i="12" s="1"/>
  <c r="BV27" i="12"/>
  <c r="BJ18" i="12"/>
  <c r="DH42" i="12"/>
  <c r="DJ42" i="12" s="1"/>
  <c r="DK42" i="12"/>
  <c r="CP13" i="12"/>
  <c r="CQ13" i="12" s="1"/>
  <c r="CI13" i="12"/>
  <c r="CS13" i="12" s="1"/>
  <c r="CT13" i="12" s="1"/>
  <c r="BM28" i="12"/>
  <c r="CI22" i="12"/>
  <c r="CS22" i="12" s="1"/>
  <c r="CT22" i="12" s="1"/>
  <c r="CY22" i="12" s="1"/>
  <c r="CQ6" i="12"/>
  <c r="CY6" i="12" s="1"/>
  <c r="BF21" i="12"/>
  <c r="BH21" i="12" s="1"/>
  <c r="AZ21" i="12"/>
  <c r="BA21" i="12" s="1"/>
  <c r="AS21" i="12"/>
  <c r="BC21" i="12" s="1"/>
  <c r="BD21" i="12" s="1"/>
  <c r="BI21" i="12" s="1"/>
  <c r="BA15" i="12"/>
  <c r="CU30" i="12"/>
  <c r="DE30" i="12" s="1"/>
  <c r="DF30" i="12" s="1"/>
  <c r="DK30" i="12" s="1"/>
  <c r="BJ6" i="12"/>
  <c r="CV20" i="12"/>
  <c r="CX20" i="12" s="1"/>
  <c r="BV30" i="12"/>
  <c r="BV40" i="12"/>
  <c r="CY18" i="12"/>
  <c r="DC28" i="12"/>
  <c r="DH28" i="12" s="1"/>
  <c r="DJ28" i="12" s="1"/>
  <c r="BV45" i="12"/>
  <c r="DH36" i="12"/>
  <c r="DJ36" i="12" s="1"/>
  <c r="DH34" i="12"/>
  <c r="DJ34" i="12" s="1"/>
  <c r="I48" i="12"/>
  <c r="I49" i="12" s="1"/>
  <c r="E49" i="12"/>
  <c r="CU37" i="12"/>
  <c r="DE37" i="12" s="1"/>
  <c r="DF37" i="12" s="1"/>
  <c r="DB37" i="12"/>
  <c r="DC37" i="12" s="1"/>
  <c r="DK39" i="12"/>
  <c r="BF4" i="12"/>
  <c r="BH4" i="12" s="1"/>
  <c r="AS4" i="12"/>
  <c r="BC4" i="12" s="1"/>
  <c r="BD4" i="12" s="1"/>
  <c r="BI4" i="12" s="1"/>
  <c r="AZ4" i="12"/>
  <c r="BA4" i="12" s="1"/>
  <c r="BV37" i="12"/>
  <c r="CU33" i="12"/>
  <c r="DE33" i="12" s="1"/>
  <c r="DF33" i="12" s="1"/>
  <c r="DB33" i="12"/>
  <c r="DC33" i="12" s="1"/>
  <c r="DH33" i="12" s="1"/>
  <c r="DJ33" i="12" s="1"/>
  <c r="BF23" i="12"/>
  <c r="BH23" i="12" s="1"/>
  <c r="AZ23" i="12"/>
  <c r="BA23" i="12" s="1"/>
  <c r="AS23" i="12"/>
  <c r="BC23" i="12" s="1"/>
  <c r="BD23" i="12" s="1"/>
  <c r="BI23" i="12" s="1"/>
  <c r="D39" i="12"/>
  <c r="D38" i="12"/>
  <c r="CP4" i="12"/>
  <c r="CQ4" i="12" s="1"/>
  <c r="CI4" i="12"/>
  <c r="CS4" i="12" s="1"/>
  <c r="CT4" i="12" s="1"/>
  <c r="CV4" i="12" s="1"/>
  <c r="CX4" i="12" s="1"/>
  <c r="CP17" i="12"/>
  <c r="CQ17" i="12" s="1"/>
  <c r="CI17" i="12"/>
  <c r="CS17" i="12" s="1"/>
  <c r="CT17" i="12" s="1"/>
  <c r="CY17" i="12" s="1"/>
  <c r="DB48" i="12"/>
  <c r="DC48" i="12" s="1"/>
  <c r="CU48" i="12"/>
  <c r="DE48" i="12" s="1"/>
  <c r="DF48" i="12" s="1"/>
  <c r="BL44" i="12"/>
  <c r="BM44" i="12" s="1"/>
  <c r="BE44" i="12"/>
  <c r="BO44" i="12" s="1"/>
  <c r="BP44" i="12" s="1"/>
  <c r="BU44" i="12" s="1"/>
  <c r="BR44" i="12"/>
  <c r="BT44" i="12" s="1"/>
  <c r="BM38" i="12"/>
  <c r="BA14" i="12"/>
  <c r="DH41" i="12"/>
  <c r="DJ41" i="12" s="1"/>
  <c r="DL41" i="12" s="1"/>
  <c r="BL41" i="12"/>
  <c r="BM41" i="12" s="1"/>
  <c r="BR41" i="12"/>
  <c r="BT41" i="12" s="1"/>
  <c r="BE41" i="12"/>
  <c r="BO41" i="12" s="1"/>
  <c r="BP41" i="12" s="1"/>
  <c r="BU41" i="12" s="1"/>
  <c r="CI24" i="12"/>
  <c r="CS24" i="12" s="1"/>
  <c r="CT24" i="12" s="1"/>
  <c r="CP24" i="12"/>
  <c r="CQ24" i="12" s="1"/>
  <c r="BF17" i="12"/>
  <c r="BH17" i="12" s="1"/>
  <c r="AS17" i="12"/>
  <c r="BC17" i="12" s="1"/>
  <c r="BD17" i="12" s="1"/>
  <c r="BI17" i="12" s="1"/>
  <c r="AZ17" i="12"/>
  <c r="BA17" i="12" s="1"/>
  <c r="BL46" i="12"/>
  <c r="BM46" i="12" s="1"/>
  <c r="BE46" i="12"/>
  <c r="BO46" i="12" s="1"/>
  <c r="BP46" i="12" s="1"/>
  <c r="BU46" i="12" s="1"/>
  <c r="BR46" i="12"/>
  <c r="BT46" i="12" s="1"/>
  <c r="I47" i="12"/>
  <c r="F44" i="12"/>
  <c r="DK36" i="12"/>
  <c r="BF25" i="12"/>
  <c r="BH25" i="12" s="1"/>
  <c r="AS25" i="12"/>
  <c r="BC25" i="12" s="1"/>
  <c r="BD25" i="12" s="1"/>
  <c r="BI25" i="12" s="1"/>
  <c r="AZ25" i="12"/>
  <c r="BA25" i="12" s="1"/>
  <c r="BF24" i="12"/>
  <c r="BH24" i="12" s="1"/>
  <c r="AS24" i="12"/>
  <c r="BC24" i="12" s="1"/>
  <c r="BD24" i="12" s="1"/>
  <c r="BI24" i="12" s="1"/>
  <c r="AZ24" i="12"/>
  <c r="BA24" i="12" s="1"/>
  <c r="K44" i="12"/>
  <c r="BF12" i="12"/>
  <c r="BH12" i="12" s="1"/>
  <c r="AS12" i="12"/>
  <c r="BC12" i="12" s="1"/>
  <c r="BD12" i="12" s="1"/>
  <c r="BI12" i="12" s="1"/>
  <c r="AZ12" i="12"/>
  <c r="BA12" i="12" s="1"/>
  <c r="BJ15" i="12"/>
  <c r="DK46" i="12"/>
  <c r="DC40" i="12"/>
  <c r="DH40" i="12" s="1"/>
  <c r="DJ40" i="12" s="1"/>
  <c r="CP26" i="12"/>
  <c r="CQ26" i="12" s="1"/>
  <c r="CI26" i="12"/>
  <c r="CS26" i="12" s="1"/>
  <c r="CT26" i="12" s="1"/>
  <c r="DB32" i="12"/>
  <c r="DC32" i="12" s="1"/>
  <c r="CU32" i="12"/>
  <c r="DE32" i="12" s="1"/>
  <c r="DF32" i="12" s="1"/>
  <c r="DB43" i="12"/>
  <c r="DC43" i="12" s="1"/>
  <c r="CU43" i="12"/>
  <c r="DE43" i="12" s="1"/>
  <c r="DF43" i="12" s="1"/>
  <c r="CP21" i="12"/>
  <c r="CQ21" i="12" s="1"/>
  <c r="CI21" i="12"/>
  <c r="CS21" i="12" s="1"/>
  <c r="CT21" i="12" s="1"/>
  <c r="CP12" i="12"/>
  <c r="CQ12" i="12" s="1"/>
  <c r="CI12" i="12"/>
  <c r="CS12" i="12" s="1"/>
  <c r="CT12" i="12" s="1"/>
  <c r="BR48" i="12"/>
  <c r="BT48" i="12" s="1"/>
  <c r="BE48" i="12"/>
  <c r="BO48" i="12" s="1"/>
  <c r="BP48" i="12" s="1"/>
  <c r="BU48" i="12" s="1"/>
  <c r="BL48" i="12"/>
  <c r="BM48" i="12" s="1"/>
  <c r="CU35" i="12"/>
  <c r="DE35" i="12" s="1"/>
  <c r="DF35" i="12" s="1"/>
  <c r="DB35" i="12"/>
  <c r="DC35" i="12" s="1"/>
  <c r="BE34" i="12"/>
  <c r="BO34" i="12" s="1"/>
  <c r="BP34" i="12" s="1"/>
  <c r="BU34" i="12" s="1"/>
  <c r="BR34" i="12"/>
  <c r="BT34" i="12" s="1"/>
  <c r="BL34" i="12"/>
  <c r="BM34" i="12" s="1"/>
  <c r="CI19" i="12"/>
  <c r="CS19" i="12" s="1"/>
  <c r="CT19" i="12" s="1"/>
  <c r="CP19" i="12"/>
  <c r="CQ19" i="12" s="1"/>
  <c r="CP23" i="12"/>
  <c r="CQ23" i="12" s="1"/>
  <c r="CI23" i="12"/>
  <c r="CS23" i="12" s="1"/>
  <c r="CT23" i="12" s="1"/>
  <c r="D58" i="12"/>
  <c r="BR36" i="12"/>
  <c r="BT36" i="12" s="1"/>
  <c r="BL36" i="12"/>
  <c r="BM36" i="12" s="1"/>
  <c r="BE36" i="12"/>
  <c r="BO36" i="12" s="1"/>
  <c r="BP36" i="12" s="1"/>
  <c r="BU36" i="12" s="1"/>
  <c r="CI25" i="12"/>
  <c r="CS25" i="12" s="1"/>
  <c r="CT25" i="12" s="1"/>
  <c r="CP25" i="12"/>
  <c r="CQ25" i="12" s="1"/>
  <c r="DK34" i="12"/>
  <c r="AZ22" i="12"/>
  <c r="BA22" i="12" s="1"/>
  <c r="AS22" i="12"/>
  <c r="BC22" i="12" s="1"/>
  <c r="BD22" i="12" s="1"/>
  <c r="BI22" i="12" s="1"/>
  <c r="BF22" i="12"/>
  <c r="BH22" i="12" s="1"/>
  <c r="BJ26" i="12"/>
  <c r="BL39" i="12"/>
  <c r="BM39" i="12" s="1"/>
  <c r="BR39" i="12"/>
  <c r="BT39" i="12" s="1"/>
  <c r="BE39" i="12"/>
  <c r="BO39" i="12" s="1"/>
  <c r="BP39" i="12" s="1"/>
  <c r="BU39" i="12" s="1"/>
  <c r="BA6" i="12"/>
  <c r="CV18" i="12"/>
  <c r="CX18" i="12" s="1"/>
  <c r="BL29" i="12"/>
  <c r="BM29" i="12" s="1"/>
  <c r="BR29" i="12"/>
  <c r="BT29" i="12" s="1"/>
  <c r="BE29" i="12"/>
  <c r="BO29" i="12" s="1"/>
  <c r="BP29" i="12" s="1"/>
  <c r="BU29" i="12" s="1"/>
  <c r="BJ25" i="12" l="1"/>
  <c r="D47" i="13"/>
  <c r="J85" i="13" s="1"/>
  <c r="E45" i="13"/>
  <c r="D51" i="12"/>
  <c r="J86" i="12" s="1"/>
  <c r="I44" i="13"/>
  <c r="I45" i="13" s="1"/>
  <c r="DL42" i="12"/>
  <c r="DH44" i="12"/>
  <c r="DJ44" i="12" s="1"/>
  <c r="DL44" i="12" s="1"/>
  <c r="BJ4" i="12"/>
  <c r="CV5" i="12"/>
  <c r="CX5" i="12" s="1"/>
  <c r="CZ5" i="12" s="1"/>
  <c r="DK45" i="12"/>
  <c r="CV26" i="12"/>
  <c r="CX26" i="12" s="1"/>
  <c r="CV15" i="12"/>
  <c r="CX15" i="12" s="1"/>
  <c r="CZ15" i="12" s="1"/>
  <c r="CY13" i="12"/>
  <c r="DH38" i="12"/>
  <c r="DJ38" i="12" s="1"/>
  <c r="DL38" i="12" s="1"/>
  <c r="CV16" i="12"/>
  <c r="CX16" i="12" s="1"/>
  <c r="CZ16" i="12" s="1"/>
  <c r="CZ18" i="12"/>
  <c r="DL46" i="12"/>
  <c r="BV41" i="12"/>
  <c r="CV14" i="12"/>
  <c r="CX14" i="12" s="1"/>
  <c r="CZ14" i="12" s="1"/>
  <c r="CV19" i="12"/>
  <c r="CX19" i="12" s="1"/>
  <c r="CV25" i="12"/>
  <c r="CX25" i="12" s="1"/>
  <c r="CV6" i="12"/>
  <c r="CX6" i="12" s="1"/>
  <c r="CZ6" i="12" s="1"/>
  <c r="CZ7" i="12"/>
  <c r="CZ20" i="12"/>
  <c r="DL45" i="12"/>
  <c r="CY24" i="12"/>
  <c r="BJ21" i="12"/>
  <c r="DK28" i="12"/>
  <c r="DL28" i="12" s="1"/>
  <c r="BJ5" i="12"/>
  <c r="DK47" i="12"/>
  <c r="DH47" i="12"/>
  <c r="DJ47" i="12" s="1"/>
  <c r="DL39" i="12"/>
  <c r="CY23" i="12"/>
  <c r="CY12" i="12"/>
  <c r="DK27" i="12"/>
  <c r="DL27" i="12" s="1"/>
  <c r="BV32" i="12"/>
  <c r="CY21" i="12"/>
  <c r="BV29" i="12"/>
  <c r="DL34" i="12"/>
  <c r="DK48" i="12"/>
  <c r="DL36" i="12"/>
  <c r="DK29" i="12"/>
  <c r="DL29" i="12" s="1"/>
  <c r="BV36" i="12"/>
  <c r="DH32" i="12"/>
  <c r="DJ32" i="12" s="1"/>
  <c r="CV23" i="12"/>
  <c r="CX23" i="12" s="1"/>
  <c r="DH43" i="12"/>
  <c r="DJ43" i="12" s="1"/>
  <c r="BV39" i="12"/>
  <c r="DK35" i="12"/>
  <c r="BV47" i="12"/>
  <c r="CY19" i="12"/>
  <c r="CV12" i="12"/>
  <c r="CX12" i="12" s="1"/>
  <c r="CV13" i="12"/>
  <c r="CX13" i="12" s="1"/>
  <c r="CY25" i="12"/>
  <c r="BV34" i="12"/>
  <c r="DK43" i="12"/>
  <c r="BJ17" i="12"/>
  <c r="D40" i="12"/>
  <c r="CV22" i="12"/>
  <c r="CX22" i="12" s="1"/>
  <c r="CZ22" i="12" s="1"/>
  <c r="CV21" i="12"/>
  <c r="CX21" i="12" s="1"/>
  <c r="DK32" i="12"/>
  <c r="BV44" i="12"/>
  <c r="DH48" i="12"/>
  <c r="DJ48" i="12" s="1"/>
  <c r="DK33" i="12"/>
  <c r="DL33" i="12" s="1"/>
  <c r="DH35" i="12"/>
  <c r="DJ35" i="12" s="1"/>
  <c r="DH37" i="12"/>
  <c r="DJ37" i="12" s="1"/>
  <c r="DH30" i="12"/>
  <c r="DJ30" i="12" s="1"/>
  <c r="DL30" i="12" s="1"/>
  <c r="BV46" i="12"/>
  <c r="CV24" i="12"/>
  <c r="CX24" i="12" s="1"/>
  <c r="BJ22" i="12"/>
  <c r="BV48" i="12"/>
  <c r="CY26" i="12"/>
  <c r="BJ12" i="12"/>
  <c r="DK40" i="12"/>
  <c r="DL40" i="12" s="1"/>
  <c r="CV17" i="12"/>
  <c r="CX17" i="12" s="1"/>
  <c r="CZ17" i="12" s="1"/>
  <c r="DK37" i="12"/>
  <c r="BJ24" i="12"/>
  <c r="CY4" i="12"/>
  <c r="CZ4" i="12" s="1"/>
  <c r="BJ23" i="12"/>
  <c r="D64" i="13" l="1"/>
  <c r="CZ26" i="12"/>
  <c r="CZ13" i="12"/>
  <c r="E40" i="12"/>
  <c r="J85" i="12"/>
  <c r="CZ21" i="12"/>
  <c r="DL48" i="12"/>
  <c r="CZ19" i="12"/>
  <c r="CZ23" i="12"/>
  <c r="CZ24" i="12"/>
  <c r="CZ25" i="12"/>
  <c r="DL32" i="12"/>
  <c r="DL43" i="12"/>
  <c r="D66" i="12"/>
  <c r="DL35" i="12"/>
  <c r="DL47" i="12"/>
  <c r="CZ12" i="12"/>
  <c r="DL37" i="12"/>
  <c r="H40" i="12"/>
  <c r="E64" i="13" l="1"/>
  <c r="B67" i="13"/>
  <c r="D67" i="13" s="1"/>
  <c r="D68" i="13" s="1"/>
  <c r="B69" i="12"/>
  <c r="D69" i="12" s="1"/>
  <c r="D70" i="12" s="1"/>
  <c r="E66" i="12"/>
  <c r="F81" i="13" l="1"/>
  <c r="G81" i="13" s="1"/>
  <c r="D69" i="13"/>
  <c r="D71" i="12"/>
  <c r="D72" i="12" s="1"/>
  <c r="F83" i="12"/>
  <c r="G83" i="12" s="1"/>
  <c r="D70" i="13" l="1"/>
  <c r="H81" i="13" s="1"/>
  <c r="F68" i="13"/>
  <c r="H83" i="12"/>
  <c r="F70" i="12"/>
  <c r="H23" i="9"/>
  <c r="I23" i="9" s="1"/>
  <c r="H25" i="9"/>
  <c r="I25" i="9" s="1"/>
  <c r="H24" i="9"/>
  <c r="I24" i="9" s="1"/>
  <c r="T28" i="9"/>
  <c r="Q28" i="9"/>
  <c r="P28" i="9"/>
  <c r="O28" i="9"/>
  <c r="I9" i="9" l="1"/>
  <c r="F24" i="9" s="1"/>
  <c r="K9" i="9"/>
  <c r="F25" i="9" s="1"/>
  <c r="N30" i="9"/>
  <c r="G9" i="9"/>
  <c r="M28" i="9"/>
  <c r="Q31" i="9" s="1"/>
  <c r="J48" i="9" s="1"/>
  <c r="E46" i="9"/>
  <c r="J45" i="5"/>
  <c r="I45" i="5"/>
  <c r="F23" i="9" l="1"/>
  <c r="B27" i="9" s="1"/>
  <c r="B28" i="9"/>
  <c r="B47" i="9"/>
  <c r="G72" i="9" s="1"/>
  <c r="O31" i="9"/>
  <c r="J46" i="9" s="1"/>
  <c r="N31" i="9"/>
  <c r="P31" i="9"/>
  <c r="J47" i="9" s="1"/>
  <c r="E47" i="9"/>
  <c r="E36" i="9"/>
  <c r="B41" i="5"/>
  <c r="D31" i="5"/>
  <c r="D60" i="1"/>
  <c r="E66" i="9"/>
  <c r="E59" i="9"/>
  <c r="E21" i="9"/>
  <c r="E22" i="9"/>
  <c r="E20" i="9"/>
  <c r="E60" i="9"/>
  <c r="E57" i="9"/>
  <c r="CX51" i="9"/>
  <c r="CY51" i="9" s="1"/>
  <c r="CQ51" i="9"/>
  <c r="CT51" i="9" s="1"/>
  <c r="BH51" i="9"/>
  <c r="BI51" i="9" s="1"/>
  <c r="BA51" i="9"/>
  <c r="BK51" i="9" s="1"/>
  <c r="BL51" i="9" s="1"/>
  <c r="E51" i="9"/>
  <c r="CX50" i="9"/>
  <c r="CY50" i="9" s="1"/>
  <c r="CQ50" i="9"/>
  <c r="CT50" i="9" s="1"/>
  <c r="BH50" i="9"/>
  <c r="BI50" i="9" s="1"/>
  <c r="BA50" i="9"/>
  <c r="BD50" i="9" s="1"/>
  <c r="CX49" i="9"/>
  <c r="CY49" i="9" s="1"/>
  <c r="CQ49" i="9"/>
  <c r="DA49" i="9" s="1"/>
  <c r="DB49" i="9" s="1"/>
  <c r="BH49" i="9"/>
  <c r="BI49" i="9" s="1"/>
  <c r="BA49" i="9"/>
  <c r="BD49" i="9" s="1"/>
  <c r="BG49" i="9" s="1"/>
  <c r="BQ49" i="9" s="1"/>
  <c r="BR49" i="9" s="1"/>
  <c r="BW49" i="9" s="1"/>
  <c r="E49" i="9"/>
  <c r="CX48" i="9"/>
  <c r="CY48" i="9" s="1"/>
  <c r="CQ48" i="9"/>
  <c r="CT48" i="9" s="1"/>
  <c r="DD48" i="9" s="1"/>
  <c r="BH48" i="9"/>
  <c r="BI48" i="9" s="1"/>
  <c r="BA48" i="9"/>
  <c r="BD48" i="9" s="1"/>
  <c r="BN48" i="9" s="1"/>
  <c r="CX46" i="9"/>
  <c r="CY46" i="9" s="1"/>
  <c r="CQ46" i="9"/>
  <c r="DA46" i="9" s="1"/>
  <c r="DB46" i="9" s="1"/>
  <c r="BH46" i="9"/>
  <c r="BI46" i="9" s="1"/>
  <c r="BA46" i="9"/>
  <c r="BK46" i="9" s="1"/>
  <c r="BL46" i="9" s="1"/>
  <c r="CX44" i="9"/>
  <c r="CY44" i="9" s="1"/>
  <c r="CQ44" i="9"/>
  <c r="DA44" i="9" s="1"/>
  <c r="DB44" i="9" s="1"/>
  <c r="BH44" i="9"/>
  <c r="BI44" i="9" s="1"/>
  <c r="BA44" i="9"/>
  <c r="BK44" i="9" s="1"/>
  <c r="BL44" i="9" s="1"/>
  <c r="CX43" i="9"/>
  <c r="CY43" i="9" s="1"/>
  <c r="CQ43" i="9"/>
  <c r="DA43" i="9" s="1"/>
  <c r="DB43" i="9" s="1"/>
  <c r="BH43" i="9"/>
  <c r="BI43" i="9" s="1"/>
  <c r="BA43" i="9"/>
  <c r="CX42" i="9"/>
  <c r="CY42" i="9" s="1"/>
  <c r="CQ42" i="9"/>
  <c r="DA42" i="9" s="1"/>
  <c r="DB42" i="9" s="1"/>
  <c r="BH42" i="9"/>
  <c r="BI42" i="9" s="1"/>
  <c r="BA42" i="9"/>
  <c r="CX41" i="9"/>
  <c r="CY41" i="9" s="1"/>
  <c r="CQ41" i="9"/>
  <c r="DA41" i="9" s="1"/>
  <c r="DB41" i="9" s="1"/>
  <c r="BH41" i="9"/>
  <c r="BI41" i="9" s="1"/>
  <c r="BA41" i="9"/>
  <c r="BD41" i="9" s="1"/>
  <c r="CX40" i="9"/>
  <c r="CY40" i="9" s="1"/>
  <c r="CQ40" i="9"/>
  <c r="BH40" i="9"/>
  <c r="BI40" i="9" s="1"/>
  <c r="BA40" i="9"/>
  <c r="BK40" i="9" s="1"/>
  <c r="BL40" i="9" s="1"/>
  <c r="CX39" i="9"/>
  <c r="CY39" i="9" s="1"/>
  <c r="CQ39" i="9"/>
  <c r="CT39" i="9" s="1"/>
  <c r="BH39" i="9"/>
  <c r="BI39" i="9" s="1"/>
  <c r="BA39" i="9"/>
  <c r="BK39" i="9" s="1"/>
  <c r="BL39" i="9" s="1"/>
  <c r="CX38" i="9"/>
  <c r="CY38" i="9" s="1"/>
  <c r="CQ38" i="9"/>
  <c r="CT38" i="9" s="1"/>
  <c r="DD38" i="9" s="1"/>
  <c r="BH38" i="9"/>
  <c r="BI38" i="9" s="1"/>
  <c r="BA38" i="9"/>
  <c r="BK38" i="9" s="1"/>
  <c r="BL38" i="9" s="1"/>
  <c r="CX37" i="9"/>
  <c r="CY37" i="9" s="1"/>
  <c r="CQ37" i="9"/>
  <c r="CT37" i="9" s="1"/>
  <c r="DD37" i="9" s="1"/>
  <c r="BH37" i="9"/>
  <c r="BI37" i="9" s="1"/>
  <c r="BA37" i="9"/>
  <c r="BD37" i="9" s="1"/>
  <c r="CX36" i="9"/>
  <c r="CY36" i="9" s="1"/>
  <c r="CQ36" i="9"/>
  <c r="CT36" i="9" s="1"/>
  <c r="DD36" i="9" s="1"/>
  <c r="BH36" i="9"/>
  <c r="BI36" i="9" s="1"/>
  <c r="BA36" i="9"/>
  <c r="BD36" i="9" s="1"/>
  <c r="CX35" i="9"/>
  <c r="CY35" i="9" s="1"/>
  <c r="CQ35" i="9"/>
  <c r="BH35" i="9"/>
  <c r="BI35" i="9" s="1"/>
  <c r="BA35" i="9"/>
  <c r="BD35" i="9" s="1"/>
  <c r="CX34" i="9"/>
  <c r="CY34" i="9" s="1"/>
  <c r="CQ34" i="9"/>
  <c r="CT34" i="9" s="1"/>
  <c r="DD34" i="9" s="1"/>
  <c r="BH34" i="9"/>
  <c r="BI34" i="9" s="1"/>
  <c r="BA34" i="9"/>
  <c r="BD34" i="9" s="1"/>
  <c r="CX33" i="9"/>
  <c r="CY33" i="9" s="1"/>
  <c r="CQ33" i="9"/>
  <c r="DA33" i="9" s="1"/>
  <c r="DB33" i="9" s="1"/>
  <c r="BH33" i="9"/>
  <c r="BI33" i="9" s="1"/>
  <c r="BA33" i="9"/>
  <c r="BK33" i="9" s="1"/>
  <c r="BL33" i="9" s="1"/>
  <c r="CX32" i="9"/>
  <c r="CY32" i="9" s="1"/>
  <c r="CQ32" i="9"/>
  <c r="CT32" i="9" s="1"/>
  <c r="DD32" i="9" s="1"/>
  <c r="BH32" i="9"/>
  <c r="BI32" i="9" s="1"/>
  <c r="BA32" i="9"/>
  <c r="BK32" i="9" s="1"/>
  <c r="BL32" i="9" s="1"/>
  <c r="CX31" i="9"/>
  <c r="CY31" i="9" s="1"/>
  <c r="CQ31" i="9"/>
  <c r="DA31" i="9" s="1"/>
  <c r="DB31" i="9" s="1"/>
  <c r="BH31" i="9"/>
  <c r="BI31" i="9" s="1"/>
  <c r="BA31" i="9"/>
  <c r="BD31" i="9" s="1"/>
  <c r="CX30" i="9"/>
  <c r="CY30" i="9" s="1"/>
  <c r="CQ30" i="9"/>
  <c r="DA30" i="9" s="1"/>
  <c r="DB30" i="9" s="1"/>
  <c r="BH30" i="9"/>
  <c r="BI30" i="9" s="1"/>
  <c r="BA30" i="9"/>
  <c r="BK30" i="9" s="1"/>
  <c r="BL30" i="9" s="1"/>
  <c r="CX29" i="9"/>
  <c r="CY29" i="9" s="1"/>
  <c r="CQ29" i="9"/>
  <c r="DA29" i="9" s="1"/>
  <c r="DB29" i="9" s="1"/>
  <c r="BH29" i="9"/>
  <c r="BI29" i="9" s="1"/>
  <c r="BA29" i="9"/>
  <c r="BK29" i="9" s="1"/>
  <c r="BL29" i="9" s="1"/>
  <c r="CL28" i="9"/>
  <c r="CM28" i="9" s="1"/>
  <c r="CE28" i="9"/>
  <c r="AV28" i="9"/>
  <c r="AW28" i="9" s="1"/>
  <c r="AO28" i="9"/>
  <c r="AY28" i="9" s="1"/>
  <c r="AZ28" i="9" s="1"/>
  <c r="CL27" i="9"/>
  <c r="CM27" i="9" s="1"/>
  <c r="CE27" i="9"/>
  <c r="AV27" i="9"/>
  <c r="AW27" i="9" s="1"/>
  <c r="AO27" i="9"/>
  <c r="AR27" i="9" s="1"/>
  <c r="AU27" i="9" s="1"/>
  <c r="BE27" i="9" s="1"/>
  <c r="BF27" i="9" s="1"/>
  <c r="BK27" i="9" s="1"/>
  <c r="CL26" i="9"/>
  <c r="CM26" i="9" s="1"/>
  <c r="CE26" i="9"/>
  <c r="AV26" i="9"/>
  <c r="AW26" i="9" s="1"/>
  <c r="AO26" i="9"/>
  <c r="AY26" i="9" s="1"/>
  <c r="AZ26" i="9" s="1"/>
  <c r="CL25" i="9"/>
  <c r="CM25" i="9" s="1"/>
  <c r="CE25" i="9"/>
  <c r="CO25" i="9" s="1"/>
  <c r="CP25" i="9" s="1"/>
  <c r="AV25" i="9"/>
  <c r="AW25" i="9" s="1"/>
  <c r="AO25" i="9"/>
  <c r="C25" i="9"/>
  <c r="CL24" i="9"/>
  <c r="CM24" i="9" s="1"/>
  <c r="CE24" i="9"/>
  <c r="CH24" i="9" s="1"/>
  <c r="CK24" i="9" s="1"/>
  <c r="CU24" i="9" s="1"/>
  <c r="CV24" i="9" s="1"/>
  <c r="AV24" i="9"/>
  <c r="AW24" i="9" s="1"/>
  <c r="AO24" i="9"/>
  <c r="AR24" i="9" s="1"/>
  <c r="BB24" i="9" s="1"/>
  <c r="C24" i="9"/>
  <c r="CL23" i="9"/>
  <c r="CM23" i="9" s="1"/>
  <c r="CE23" i="9"/>
  <c r="CH23" i="9" s="1"/>
  <c r="CK23" i="9" s="1"/>
  <c r="CU23" i="9" s="1"/>
  <c r="CV23" i="9" s="1"/>
  <c r="AV23" i="9"/>
  <c r="AW23" i="9" s="1"/>
  <c r="AO23" i="9"/>
  <c r="AY23" i="9" s="1"/>
  <c r="AZ23" i="9" s="1"/>
  <c r="CL22" i="9"/>
  <c r="CM22" i="9" s="1"/>
  <c r="CE22" i="9"/>
  <c r="CH22" i="9" s="1"/>
  <c r="CR22" i="9" s="1"/>
  <c r="AV22" i="9"/>
  <c r="AW22" i="9" s="1"/>
  <c r="AO22" i="9"/>
  <c r="AY22" i="9" s="1"/>
  <c r="AZ22" i="9" s="1"/>
  <c r="CL21" i="9"/>
  <c r="CM21" i="9" s="1"/>
  <c r="CE21" i="9"/>
  <c r="CO21" i="9" s="1"/>
  <c r="CP21" i="9" s="1"/>
  <c r="AV21" i="9"/>
  <c r="AW21" i="9" s="1"/>
  <c r="AO21" i="9"/>
  <c r="AY21" i="9" s="1"/>
  <c r="AZ21" i="9" s="1"/>
  <c r="CL20" i="9"/>
  <c r="CM20" i="9" s="1"/>
  <c r="CE20" i="9"/>
  <c r="CO20" i="9" s="1"/>
  <c r="CP20" i="9" s="1"/>
  <c r="AV20" i="9"/>
  <c r="AW20" i="9" s="1"/>
  <c r="AO20" i="9"/>
  <c r="AY20" i="9" s="1"/>
  <c r="AZ20" i="9" s="1"/>
  <c r="CL19" i="9"/>
  <c r="CM19" i="9" s="1"/>
  <c r="CE19" i="9"/>
  <c r="CO19" i="9" s="1"/>
  <c r="CP19" i="9" s="1"/>
  <c r="AV19" i="9"/>
  <c r="AW19" i="9" s="1"/>
  <c r="AO19" i="9"/>
  <c r="CL18" i="9"/>
  <c r="CM18" i="9" s="1"/>
  <c r="CE18" i="9"/>
  <c r="CO18" i="9" s="1"/>
  <c r="CP18" i="9" s="1"/>
  <c r="AV18" i="9"/>
  <c r="AW18" i="9" s="1"/>
  <c r="AO18" i="9"/>
  <c r="AY18" i="9" s="1"/>
  <c r="AZ18" i="9" s="1"/>
  <c r="CL17" i="9"/>
  <c r="CM17" i="9" s="1"/>
  <c r="CE17" i="9"/>
  <c r="CO17" i="9" s="1"/>
  <c r="CP17" i="9" s="1"/>
  <c r="AV17" i="9"/>
  <c r="AW17" i="9" s="1"/>
  <c r="AO17" i="9"/>
  <c r="AR17" i="9" s="1"/>
  <c r="CL16" i="9"/>
  <c r="CM16" i="9" s="1"/>
  <c r="CE16" i="9"/>
  <c r="CO16" i="9" s="1"/>
  <c r="CP16" i="9" s="1"/>
  <c r="AV16" i="9"/>
  <c r="AW16" i="9" s="1"/>
  <c r="AO16" i="9"/>
  <c r="AR16" i="9" s="1"/>
  <c r="CL15" i="9"/>
  <c r="CM15" i="9" s="1"/>
  <c r="CE15" i="9"/>
  <c r="AV15" i="9"/>
  <c r="AW15" i="9" s="1"/>
  <c r="AO15" i="9"/>
  <c r="AY15" i="9" s="1"/>
  <c r="AZ15" i="9" s="1"/>
  <c r="G15" i="9"/>
  <c r="CL14" i="9"/>
  <c r="CM14" i="9" s="1"/>
  <c r="CE14" i="9"/>
  <c r="CH14" i="9" s="1"/>
  <c r="CR14" i="9" s="1"/>
  <c r="AV14" i="9"/>
  <c r="AW14" i="9" s="1"/>
  <c r="AO14" i="9"/>
  <c r="AR14" i="9" s="1"/>
  <c r="CL9" i="9"/>
  <c r="CM9" i="9" s="1"/>
  <c r="CE9" i="9"/>
  <c r="CO9" i="9" s="1"/>
  <c r="CP9" i="9" s="1"/>
  <c r="AV9" i="9"/>
  <c r="AW9" i="9" s="1"/>
  <c r="AO9" i="9"/>
  <c r="AY9" i="9" s="1"/>
  <c r="AZ9" i="9" s="1"/>
  <c r="CL8" i="9"/>
  <c r="CM8" i="9" s="1"/>
  <c r="CE8" i="9"/>
  <c r="CO8" i="9" s="1"/>
  <c r="CP8" i="9" s="1"/>
  <c r="AV8" i="9"/>
  <c r="AW8" i="9" s="1"/>
  <c r="AO8" i="9"/>
  <c r="AY8" i="9" s="1"/>
  <c r="AZ8" i="9" s="1"/>
  <c r="CL7" i="9"/>
  <c r="CM7" i="9" s="1"/>
  <c r="CE7" i="9"/>
  <c r="CO7" i="9" s="1"/>
  <c r="CP7" i="9" s="1"/>
  <c r="AV7" i="9"/>
  <c r="AW7" i="9" s="1"/>
  <c r="AO7" i="9"/>
  <c r="AR7" i="9" s="1"/>
  <c r="CL6" i="9"/>
  <c r="CM6" i="9" s="1"/>
  <c r="CE6" i="9"/>
  <c r="CH6" i="9" s="1"/>
  <c r="AV6" i="9"/>
  <c r="AW6" i="9" s="1"/>
  <c r="AO6" i="9"/>
  <c r="AR6" i="9" s="1"/>
  <c r="BB6" i="9" s="1"/>
  <c r="R54" i="9" l="1"/>
  <c r="Q52" i="9"/>
  <c r="J23" i="9" s="1"/>
  <c r="S54" i="9"/>
  <c r="R52" i="9"/>
  <c r="J24" i="9" s="1"/>
  <c r="Q54" i="9"/>
  <c r="S52" i="9"/>
  <c r="J25" i="9" s="1"/>
  <c r="J50" i="9"/>
  <c r="BK50" i="9"/>
  <c r="BL50" i="9" s="1"/>
  <c r="CT42" i="9"/>
  <c r="CW42" i="9" s="1"/>
  <c r="DG42" i="9" s="1"/>
  <c r="DH42" i="9" s="1"/>
  <c r="BK48" i="9"/>
  <c r="BL48" i="9" s="1"/>
  <c r="BO48" i="9" s="1"/>
  <c r="CH18" i="9"/>
  <c r="CR18" i="9" s="1"/>
  <c r="CS18" i="9" s="1"/>
  <c r="CT31" i="9"/>
  <c r="DD31" i="9" s="1"/>
  <c r="DE31" i="9" s="1"/>
  <c r="CO24" i="9"/>
  <c r="CP24" i="9" s="1"/>
  <c r="CR24" i="9"/>
  <c r="AY27" i="9"/>
  <c r="AZ27" i="9" s="1"/>
  <c r="AY17" i="9"/>
  <c r="AZ17" i="9" s="1"/>
  <c r="BT48" i="9"/>
  <c r="BV48" i="9" s="1"/>
  <c r="CO6" i="9"/>
  <c r="CP6" i="9" s="1"/>
  <c r="CO23" i="9"/>
  <c r="CP23" i="9" s="1"/>
  <c r="DA39" i="9"/>
  <c r="DB39" i="9" s="1"/>
  <c r="CH16" i="9"/>
  <c r="CK16" i="9" s="1"/>
  <c r="CU16" i="9" s="1"/>
  <c r="CV16" i="9" s="1"/>
  <c r="AR22" i="9"/>
  <c r="AU22" i="9" s="1"/>
  <c r="BE22" i="9" s="1"/>
  <c r="BF22" i="9" s="1"/>
  <c r="BK22" i="9" s="1"/>
  <c r="BD51" i="9"/>
  <c r="BG51" i="9" s="1"/>
  <c r="BQ51" i="9" s="1"/>
  <c r="BR51" i="9" s="1"/>
  <c r="BW51" i="9" s="1"/>
  <c r="BK49" i="9"/>
  <c r="BL49" i="9" s="1"/>
  <c r="CH9" i="9"/>
  <c r="CK9" i="9" s="1"/>
  <c r="CU9" i="9" s="1"/>
  <c r="CV9" i="9" s="1"/>
  <c r="CH17" i="9"/>
  <c r="CH25" i="9"/>
  <c r="CR25" i="9" s="1"/>
  <c r="CS25" i="9" s="1"/>
  <c r="CT30" i="9"/>
  <c r="DD30" i="9" s="1"/>
  <c r="DE30" i="9" s="1"/>
  <c r="CT41" i="9"/>
  <c r="AR20" i="9"/>
  <c r="BB20" i="9" s="1"/>
  <c r="BC20" i="9" s="1"/>
  <c r="AY14" i="9"/>
  <c r="AZ14" i="9" s="1"/>
  <c r="DA37" i="9"/>
  <c r="DB37" i="9" s="1"/>
  <c r="DE37" i="9" s="1"/>
  <c r="BD33" i="9"/>
  <c r="BG33" i="9" s="1"/>
  <c r="BQ33" i="9" s="1"/>
  <c r="BR33" i="9" s="1"/>
  <c r="BW33" i="9" s="1"/>
  <c r="BD29" i="9"/>
  <c r="BG29" i="9" s="1"/>
  <c r="BQ29" i="9" s="1"/>
  <c r="BR29" i="9" s="1"/>
  <c r="BW29" i="9" s="1"/>
  <c r="DA38" i="9"/>
  <c r="DB38" i="9" s="1"/>
  <c r="DE38" i="9" s="1"/>
  <c r="BT41" i="9"/>
  <c r="BV41" i="9" s="1"/>
  <c r="BG41" i="9"/>
  <c r="BQ41" i="9" s="1"/>
  <c r="BR41" i="9" s="1"/>
  <c r="BW41" i="9" s="1"/>
  <c r="BN34" i="9"/>
  <c r="BG34" i="9"/>
  <c r="BQ34" i="9" s="1"/>
  <c r="BR34" i="9" s="1"/>
  <c r="BW34" i="9" s="1"/>
  <c r="BX34" i="9" s="1"/>
  <c r="CW39" i="9"/>
  <c r="DG39" i="9" s="1"/>
  <c r="DH39" i="9" s="1"/>
  <c r="DD39" i="9"/>
  <c r="BT50" i="9"/>
  <c r="BV50" i="9" s="1"/>
  <c r="BG50" i="9"/>
  <c r="BQ50" i="9" s="1"/>
  <c r="BR50" i="9" s="1"/>
  <c r="BW50" i="9" s="1"/>
  <c r="BN35" i="9"/>
  <c r="BG35" i="9"/>
  <c r="BQ35" i="9" s="1"/>
  <c r="BR35" i="9" s="1"/>
  <c r="BW35" i="9" s="1"/>
  <c r="BN36" i="9"/>
  <c r="BG36" i="9"/>
  <c r="BQ36" i="9" s="1"/>
  <c r="BR36" i="9" s="1"/>
  <c r="BW36" i="9" s="1"/>
  <c r="BT36" i="9"/>
  <c r="BV36" i="9" s="1"/>
  <c r="BN37" i="9"/>
  <c r="BG37" i="9"/>
  <c r="BQ37" i="9" s="1"/>
  <c r="BR37" i="9" s="1"/>
  <c r="BW37" i="9" s="1"/>
  <c r="BT34" i="9"/>
  <c r="BV34" i="9" s="1"/>
  <c r="BT49" i="9"/>
  <c r="BV49" i="9" s="1"/>
  <c r="BX49" i="9" s="1"/>
  <c r="AR26" i="9"/>
  <c r="BK31" i="9"/>
  <c r="BL31" i="9" s="1"/>
  <c r="CO14" i="9"/>
  <c r="CP14" i="9" s="1"/>
  <c r="CS14" i="9" s="1"/>
  <c r="AY16" i="9"/>
  <c r="AZ16" i="9" s="1"/>
  <c r="CH21" i="9"/>
  <c r="CR21" i="9" s="1"/>
  <c r="CS21" i="9" s="1"/>
  <c r="CT33" i="9"/>
  <c r="BK34" i="9"/>
  <c r="BL34" i="9" s="1"/>
  <c r="BK36" i="9"/>
  <c r="BL36" i="9" s="1"/>
  <c r="BD40" i="9"/>
  <c r="BT40" i="9" s="1"/>
  <c r="BV40" i="9" s="1"/>
  <c r="BD44" i="9"/>
  <c r="BN44" i="9" s="1"/>
  <c r="BO44" i="9" s="1"/>
  <c r="DA48" i="9"/>
  <c r="DB48" i="9" s="1"/>
  <c r="DE48" i="9" s="1"/>
  <c r="DA50" i="9"/>
  <c r="DB50" i="9" s="1"/>
  <c r="BD32" i="9"/>
  <c r="BT32" i="9" s="1"/>
  <c r="BV32" i="9" s="1"/>
  <c r="BD38" i="9"/>
  <c r="BT38" i="9" s="1"/>
  <c r="BV38" i="9" s="1"/>
  <c r="BK35" i="9"/>
  <c r="BL35" i="9" s="1"/>
  <c r="BD39" i="9"/>
  <c r="BN39" i="9" s="1"/>
  <c r="BO39" i="9" s="1"/>
  <c r="CT46" i="9"/>
  <c r="CW46" i="9" s="1"/>
  <c r="DG46" i="9" s="1"/>
  <c r="DH46" i="9" s="1"/>
  <c r="CT49" i="9"/>
  <c r="CW49" i="9" s="1"/>
  <c r="DG49" i="9" s="1"/>
  <c r="DH49" i="9" s="1"/>
  <c r="DA51" i="9"/>
  <c r="DB51" i="9" s="1"/>
  <c r="G17" i="9"/>
  <c r="B24" i="9"/>
  <c r="E24" i="9" s="1"/>
  <c r="B23" i="9"/>
  <c r="E23" i="9" s="1"/>
  <c r="BT37" i="9"/>
  <c r="BV37" i="9" s="1"/>
  <c r="AR18" i="9"/>
  <c r="AU18" i="9" s="1"/>
  <c r="BE18" i="9" s="1"/>
  <c r="BF18" i="9" s="1"/>
  <c r="BK18" i="9" s="1"/>
  <c r="CH19" i="9"/>
  <c r="CR19" i="9" s="1"/>
  <c r="CS19" i="9" s="1"/>
  <c r="BH16" i="9"/>
  <c r="BJ16" i="9" s="1"/>
  <c r="AY24" i="9"/>
  <c r="AZ24" i="9" s="1"/>
  <c r="BC24" i="9" s="1"/>
  <c r="BK37" i="9"/>
  <c r="BL37" i="9" s="1"/>
  <c r="AR8" i="9"/>
  <c r="BH8" i="9" s="1"/>
  <c r="BJ8" i="9" s="1"/>
  <c r="AR15" i="9"/>
  <c r="DA32" i="9"/>
  <c r="DB32" i="9" s="1"/>
  <c r="DA34" i="9"/>
  <c r="DB34" i="9" s="1"/>
  <c r="DE34" i="9" s="1"/>
  <c r="CT44" i="9"/>
  <c r="AR21" i="9"/>
  <c r="BB21" i="9" s="1"/>
  <c r="BC21" i="9" s="1"/>
  <c r="AY7" i="9"/>
  <c r="AZ7" i="9" s="1"/>
  <c r="BT35" i="9"/>
  <c r="BV35" i="9" s="1"/>
  <c r="AU24" i="9"/>
  <c r="BE24" i="9" s="1"/>
  <c r="BF24" i="9" s="1"/>
  <c r="BK24" i="9" s="1"/>
  <c r="BK41" i="9"/>
  <c r="BL41" i="9" s="1"/>
  <c r="BH24" i="9"/>
  <c r="BJ24" i="9" s="1"/>
  <c r="DA36" i="9"/>
  <c r="DB36" i="9" s="1"/>
  <c r="DE36" i="9" s="1"/>
  <c r="BH27" i="9"/>
  <c r="BJ27" i="9" s="1"/>
  <c r="BL27" i="9" s="1"/>
  <c r="BG48" i="9"/>
  <c r="BQ48" i="9" s="1"/>
  <c r="BR48" i="9" s="1"/>
  <c r="BW48" i="9" s="1"/>
  <c r="CK6" i="9"/>
  <c r="CU6" i="9" s="1"/>
  <c r="CV6" i="9" s="1"/>
  <c r="CR6" i="9"/>
  <c r="BB14" i="9"/>
  <c r="BH14" i="9"/>
  <c r="BJ14" i="9" s="1"/>
  <c r="AU14" i="9"/>
  <c r="BE14" i="9" s="1"/>
  <c r="BF14" i="9" s="1"/>
  <c r="BK14" i="9" s="1"/>
  <c r="AU7" i="9"/>
  <c r="BE7" i="9" s="1"/>
  <c r="BF7" i="9" s="1"/>
  <c r="BK7" i="9" s="1"/>
  <c r="BH7" i="9"/>
  <c r="BJ7" i="9" s="1"/>
  <c r="BB7" i="9"/>
  <c r="BH17" i="9"/>
  <c r="BJ17" i="9" s="1"/>
  <c r="AU17" i="9"/>
  <c r="BE17" i="9" s="1"/>
  <c r="BF17" i="9" s="1"/>
  <c r="BK17" i="9" s="1"/>
  <c r="BB17" i="9"/>
  <c r="AR28" i="9"/>
  <c r="AU6" i="9"/>
  <c r="BE6" i="9" s="1"/>
  <c r="BF6" i="9" s="1"/>
  <c r="BK6" i="9" s="1"/>
  <c r="CH15" i="9"/>
  <c r="CO15" i="9"/>
  <c r="CP15" i="9" s="1"/>
  <c r="CK22" i="9"/>
  <c r="CU22" i="9" s="1"/>
  <c r="CV22" i="9" s="1"/>
  <c r="CT43" i="9"/>
  <c r="G7" i="9"/>
  <c r="AR9" i="9"/>
  <c r="CK14" i="9"/>
  <c r="CU14" i="9" s="1"/>
  <c r="CV14" i="9" s="1"/>
  <c r="B29" i="9"/>
  <c r="E29" i="9" s="1"/>
  <c r="E28" i="9"/>
  <c r="AY25" i="9"/>
  <c r="AZ25" i="9" s="1"/>
  <c r="AR25" i="9"/>
  <c r="BN31" i="9"/>
  <c r="BT31" i="9"/>
  <c r="BV31" i="9" s="1"/>
  <c r="DA40" i="9"/>
  <c r="DB40" i="9" s="1"/>
  <c r="CT40" i="9"/>
  <c r="BK42" i="9"/>
  <c r="BL42" i="9" s="1"/>
  <c r="BD42" i="9"/>
  <c r="CR23" i="9"/>
  <c r="BG31" i="9"/>
  <c r="BQ31" i="9" s="1"/>
  <c r="BR31" i="9" s="1"/>
  <c r="BW31" i="9" s="1"/>
  <c r="AY19" i="9"/>
  <c r="AZ19" i="9" s="1"/>
  <c r="AR19" i="9"/>
  <c r="CH7" i="9"/>
  <c r="AR23" i="9"/>
  <c r="CO28" i="9"/>
  <c r="CP28" i="9" s="1"/>
  <c r="CH28" i="9"/>
  <c r="CH8" i="9"/>
  <c r="AU16" i="9"/>
  <c r="BE16" i="9" s="1"/>
  <c r="BF16" i="9" s="1"/>
  <c r="BK16" i="9" s="1"/>
  <c r="BB16" i="9"/>
  <c r="CW50" i="9"/>
  <c r="DG50" i="9" s="1"/>
  <c r="DH50" i="9" s="1"/>
  <c r="DD50" i="9"/>
  <c r="BH6" i="9"/>
  <c r="BJ6" i="9" s="1"/>
  <c r="CH26" i="9"/>
  <c r="CO26" i="9"/>
  <c r="CP26" i="9" s="1"/>
  <c r="AY6" i="9"/>
  <c r="AZ6" i="9" s="1"/>
  <c r="BC6" i="9" s="1"/>
  <c r="BD30" i="9"/>
  <c r="CH20" i="9"/>
  <c r="CH27" i="9"/>
  <c r="CO27" i="9"/>
  <c r="CP27" i="9" s="1"/>
  <c r="CO22" i="9"/>
  <c r="CP22" i="9" s="1"/>
  <c r="BB27" i="9"/>
  <c r="CW32" i="9"/>
  <c r="DG32" i="9" s="1"/>
  <c r="DH32" i="9" s="1"/>
  <c r="BT33" i="9"/>
  <c r="BV33" i="9" s="1"/>
  <c r="DA35" i="9"/>
  <c r="DB35" i="9" s="1"/>
  <c r="CT35" i="9"/>
  <c r="CW36" i="9"/>
  <c r="DG36" i="9" s="1"/>
  <c r="DH36" i="9" s="1"/>
  <c r="BK43" i="9"/>
  <c r="BL43" i="9" s="1"/>
  <c r="BD43" i="9"/>
  <c r="CW34" i="9"/>
  <c r="DG34" i="9" s="1"/>
  <c r="DH34" i="9" s="1"/>
  <c r="CW37" i="9"/>
  <c r="DG37" i="9" s="1"/>
  <c r="DH37" i="9" s="1"/>
  <c r="BD46" i="9"/>
  <c r="CW38" i="9"/>
  <c r="DG38" i="9" s="1"/>
  <c r="DH38" i="9" s="1"/>
  <c r="CW48" i="9"/>
  <c r="DG48" i="9" s="1"/>
  <c r="DH48" i="9" s="1"/>
  <c r="CW51" i="9"/>
  <c r="DG51" i="9" s="1"/>
  <c r="DH51" i="9" s="1"/>
  <c r="DD51" i="9"/>
  <c r="CT29" i="9"/>
  <c r="BN41" i="9"/>
  <c r="BN50" i="9"/>
  <c r="BN49" i="9"/>
  <c r="DD42" i="9" l="1"/>
  <c r="DE42" i="9" s="1"/>
  <c r="BN33" i="9"/>
  <c r="BO33" i="9" s="1"/>
  <c r="BO50" i="9"/>
  <c r="BO41" i="9"/>
  <c r="BT51" i="9"/>
  <c r="BV51" i="9" s="1"/>
  <c r="BX51" i="9" s="1"/>
  <c r="BC16" i="9"/>
  <c r="BC17" i="9"/>
  <c r="BO36" i="9"/>
  <c r="DD46" i="9"/>
  <c r="DE46" i="9" s="1"/>
  <c r="DM46" i="9" s="1"/>
  <c r="BL16" i="9"/>
  <c r="BN51" i="9"/>
  <c r="BO51" i="9" s="1"/>
  <c r="BO34" i="9"/>
  <c r="CS24" i="9"/>
  <c r="DA24" i="9" s="1"/>
  <c r="BX41" i="9"/>
  <c r="DD49" i="9"/>
  <c r="DE49" i="9" s="1"/>
  <c r="DM49" i="9" s="1"/>
  <c r="BO37" i="9"/>
  <c r="BX48" i="9"/>
  <c r="CK25" i="9"/>
  <c r="CU25" i="9" s="1"/>
  <c r="CV25" i="9" s="1"/>
  <c r="CX25" i="9" s="1"/>
  <c r="CZ25" i="9" s="1"/>
  <c r="BG44" i="9"/>
  <c r="BQ44" i="9" s="1"/>
  <c r="BR44" i="9" s="1"/>
  <c r="BW44" i="9" s="1"/>
  <c r="CW31" i="9"/>
  <c r="DG31" i="9" s="1"/>
  <c r="DH31" i="9" s="1"/>
  <c r="DJ31" i="9" s="1"/>
  <c r="DL31" i="9" s="1"/>
  <c r="BH20" i="9"/>
  <c r="BJ20" i="9" s="1"/>
  <c r="CS6" i="9"/>
  <c r="DA6" i="9" s="1"/>
  <c r="CK18" i="9"/>
  <c r="CU18" i="9" s="1"/>
  <c r="CV18" i="9" s="1"/>
  <c r="CX18" i="9" s="1"/>
  <c r="CZ18" i="9" s="1"/>
  <c r="BL14" i="9"/>
  <c r="BX33" i="9"/>
  <c r="CS23" i="9"/>
  <c r="DA23" i="9" s="1"/>
  <c r="CR16" i="9"/>
  <c r="CS16" i="9" s="1"/>
  <c r="DA16" i="9" s="1"/>
  <c r="CK19" i="9"/>
  <c r="CU19" i="9" s="1"/>
  <c r="CV19" i="9" s="1"/>
  <c r="DA19" i="9" s="1"/>
  <c r="DE39" i="9"/>
  <c r="DM39" i="9" s="1"/>
  <c r="BL24" i="9"/>
  <c r="BC27" i="9"/>
  <c r="DJ42" i="9"/>
  <c r="DL42" i="9" s="1"/>
  <c r="BT44" i="9"/>
  <c r="BV44" i="9" s="1"/>
  <c r="CR9" i="9"/>
  <c r="CS9" i="9" s="1"/>
  <c r="CX9" i="9" s="1"/>
  <c r="CZ9" i="9" s="1"/>
  <c r="BN29" i="9"/>
  <c r="BO29" i="9" s="1"/>
  <c r="BX50" i="9"/>
  <c r="CW30" i="9"/>
  <c r="DG30" i="9" s="1"/>
  <c r="DH30" i="9" s="1"/>
  <c r="DJ30" i="9" s="1"/>
  <c r="DL30" i="9" s="1"/>
  <c r="BT29" i="9"/>
  <c r="BV29" i="9" s="1"/>
  <c r="BX29" i="9" s="1"/>
  <c r="BX37" i="9"/>
  <c r="BC7" i="9"/>
  <c r="BO49" i="9"/>
  <c r="AU21" i="9"/>
  <c r="BE21" i="9" s="1"/>
  <c r="BF21" i="9" s="1"/>
  <c r="BK21" i="9" s="1"/>
  <c r="CW41" i="9"/>
  <c r="DG41" i="9" s="1"/>
  <c r="DH41" i="9" s="1"/>
  <c r="DD41" i="9"/>
  <c r="DE41" i="9" s="1"/>
  <c r="DM38" i="9"/>
  <c r="DE50" i="9"/>
  <c r="DM50" i="9" s="1"/>
  <c r="BC14" i="9"/>
  <c r="BO31" i="9"/>
  <c r="CX6" i="9"/>
  <c r="CZ6" i="9" s="1"/>
  <c r="CR17" i="9"/>
  <c r="CS17" i="9" s="1"/>
  <c r="CK17" i="9"/>
  <c r="CU17" i="9" s="1"/>
  <c r="CV17" i="9" s="1"/>
  <c r="BX36" i="9"/>
  <c r="BB18" i="9"/>
  <c r="BC18" i="9" s="1"/>
  <c r="BH18" i="9"/>
  <c r="BJ18" i="9" s="1"/>
  <c r="BL18" i="9" s="1"/>
  <c r="BH21" i="9"/>
  <c r="BJ21" i="9" s="1"/>
  <c r="AU8" i="9"/>
  <c r="BE8" i="9" s="1"/>
  <c r="BF8" i="9" s="1"/>
  <c r="BK8" i="9" s="1"/>
  <c r="BL8" i="9" s="1"/>
  <c r="BB8" i="9"/>
  <c r="BC8" i="9" s="1"/>
  <c r="BX35" i="9"/>
  <c r="AU20" i="9"/>
  <c r="BE20" i="9" s="1"/>
  <c r="BF20" i="9" s="1"/>
  <c r="BK20" i="9" s="1"/>
  <c r="BO35" i="9"/>
  <c r="BB22" i="9"/>
  <c r="BC22" i="9" s="1"/>
  <c r="BH22" i="9"/>
  <c r="BJ22" i="9" s="1"/>
  <c r="BL22" i="9" s="1"/>
  <c r="DM36" i="9"/>
  <c r="DM48" i="9"/>
  <c r="DM37" i="9"/>
  <c r="DJ36" i="9"/>
  <c r="DL36" i="9" s="1"/>
  <c r="BN40" i="9"/>
  <c r="BO40" i="9" s="1"/>
  <c r="BG40" i="9"/>
  <c r="BQ40" i="9" s="1"/>
  <c r="BR40" i="9" s="1"/>
  <c r="BW40" i="9" s="1"/>
  <c r="BX40" i="9" s="1"/>
  <c r="DE32" i="9"/>
  <c r="DJ32" i="9" s="1"/>
  <c r="DL32" i="9" s="1"/>
  <c r="DM34" i="9"/>
  <c r="BN32" i="9"/>
  <c r="BO32" i="9" s="1"/>
  <c r="BG32" i="9"/>
  <c r="BQ32" i="9" s="1"/>
  <c r="BR32" i="9" s="1"/>
  <c r="BW32" i="9" s="1"/>
  <c r="BX32" i="9" s="1"/>
  <c r="BB26" i="9"/>
  <c r="BC26" i="9" s="1"/>
  <c r="AU26" i="9"/>
  <c r="BE26" i="9" s="1"/>
  <c r="BF26" i="9" s="1"/>
  <c r="BK26" i="9" s="1"/>
  <c r="DA14" i="9"/>
  <c r="BT39" i="9"/>
  <c r="BV39" i="9" s="1"/>
  <c r="BG39" i="9"/>
  <c r="BQ39" i="9" s="1"/>
  <c r="BR39" i="9" s="1"/>
  <c r="BW39" i="9" s="1"/>
  <c r="DD33" i="9"/>
  <c r="DE33" i="9" s="1"/>
  <c r="CW33" i="9"/>
  <c r="DG33" i="9" s="1"/>
  <c r="DH33" i="9" s="1"/>
  <c r="DD44" i="9"/>
  <c r="DE44" i="9" s="1"/>
  <c r="CW44" i="9"/>
  <c r="DG44" i="9" s="1"/>
  <c r="DH44" i="9" s="1"/>
  <c r="DE51" i="9"/>
  <c r="DJ51" i="9" s="1"/>
  <c r="DL51" i="9" s="1"/>
  <c r="F22" i="9"/>
  <c r="B43" i="9" s="1"/>
  <c r="B25" i="9"/>
  <c r="E25" i="9" s="1"/>
  <c r="K36" i="9" s="1"/>
  <c r="BN38" i="9"/>
  <c r="BO38" i="9" s="1"/>
  <c r="BG38" i="9"/>
  <c r="BQ38" i="9" s="1"/>
  <c r="BR38" i="9" s="1"/>
  <c r="BW38" i="9" s="1"/>
  <c r="BX38" i="9" s="1"/>
  <c r="BH15" i="9"/>
  <c r="BJ15" i="9" s="1"/>
  <c r="AU15" i="9"/>
  <c r="BE15" i="9" s="1"/>
  <c r="BF15" i="9" s="1"/>
  <c r="BK15" i="9" s="1"/>
  <c r="BL15" i="9" s="1"/>
  <c r="BB15" i="9"/>
  <c r="BC15" i="9" s="1"/>
  <c r="CK21" i="9"/>
  <c r="CU21" i="9" s="1"/>
  <c r="CV21" i="9" s="1"/>
  <c r="BH26" i="9"/>
  <c r="BJ26" i="9" s="1"/>
  <c r="BB28" i="9"/>
  <c r="BC28" i="9" s="1"/>
  <c r="AU28" i="9"/>
  <c r="BE28" i="9" s="1"/>
  <c r="BF28" i="9" s="1"/>
  <c r="BK28" i="9" s="1"/>
  <c r="BH28" i="9"/>
  <c r="BJ28" i="9" s="1"/>
  <c r="BH9" i="9"/>
  <c r="BJ9" i="9" s="1"/>
  <c r="AU9" i="9"/>
  <c r="BE9" i="9" s="1"/>
  <c r="BF9" i="9" s="1"/>
  <c r="BK9" i="9" s="1"/>
  <c r="BB9" i="9"/>
  <c r="BC9" i="9" s="1"/>
  <c r="CR20" i="9"/>
  <c r="CS20" i="9" s="1"/>
  <c r="CK20" i="9"/>
  <c r="CU20" i="9" s="1"/>
  <c r="CV20" i="9" s="1"/>
  <c r="CS22" i="9"/>
  <c r="CX22" i="9" s="1"/>
  <c r="CZ22" i="9" s="1"/>
  <c r="DJ49" i="9"/>
  <c r="DL49" i="9" s="1"/>
  <c r="DN49" i="9" s="1"/>
  <c r="DJ37" i="9"/>
  <c r="DL37" i="9" s="1"/>
  <c r="CW35" i="9"/>
  <c r="DG35" i="9" s="1"/>
  <c r="DH35" i="9" s="1"/>
  <c r="DD35" i="9"/>
  <c r="DE35" i="9" s="1"/>
  <c r="BB25" i="9"/>
  <c r="BC25" i="9" s="1"/>
  <c r="AU25" i="9"/>
  <c r="BE25" i="9" s="1"/>
  <c r="BF25" i="9" s="1"/>
  <c r="BK25" i="9" s="1"/>
  <c r="BH25" i="9"/>
  <c r="BJ25" i="9" s="1"/>
  <c r="BL7" i="9"/>
  <c r="BN30" i="9"/>
  <c r="BO30" i="9" s="1"/>
  <c r="BG30" i="9"/>
  <c r="BQ30" i="9" s="1"/>
  <c r="BR30" i="9" s="1"/>
  <c r="BW30" i="9" s="1"/>
  <c r="BT30" i="9"/>
  <c r="BV30" i="9" s="1"/>
  <c r="BX31" i="9"/>
  <c r="BT42" i="9"/>
  <c r="BV42" i="9" s="1"/>
  <c r="BG42" i="9"/>
  <c r="BQ42" i="9" s="1"/>
  <c r="BR42" i="9" s="1"/>
  <c r="BW42" i="9" s="1"/>
  <c r="BN42" i="9"/>
  <c r="BO42" i="9" s="1"/>
  <c r="DD43" i="9"/>
  <c r="DE43" i="9" s="1"/>
  <c r="CW43" i="9"/>
  <c r="DG43" i="9" s="1"/>
  <c r="DH43" i="9" s="1"/>
  <c r="DJ38" i="9"/>
  <c r="DL38" i="9" s="1"/>
  <c r="B64" i="9"/>
  <c r="DJ48" i="9"/>
  <c r="DL48" i="9" s="1"/>
  <c r="DJ34" i="9"/>
  <c r="DL34" i="9" s="1"/>
  <c r="BT43" i="9"/>
  <c r="BV43" i="9" s="1"/>
  <c r="BG43" i="9"/>
  <c r="BQ43" i="9" s="1"/>
  <c r="BR43" i="9" s="1"/>
  <c r="BW43" i="9" s="1"/>
  <c r="BN43" i="9"/>
  <c r="BO43" i="9" s="1"/>
  <c r="CK26" i="9"/>
  <c r="CU26" i="9" s="1"/>
  <c r="CV26" i="9" s="1"/>
  <c r="CR26" i="9"/>
  <c r="CS26" i="9" s="1"/>
  <c r="BB23" i="9"/>
  <c r="BC23" i="9" s="1"/>
  <c r="BH23" i="9"/>
  <c r="BJ23" i="9" s="1"/>
  <c r="AU23" i="9"/>
  <c r="BE23" i="9" s="1"/>
  <c r="BF23" i="9" s="1"/>
  <c r="BK23" i="9" s="1"/>
  <c r="CW40" i="9"/>
  <c r="DG40" i="9" s="1"/>
  <c r="DH40" i="9" s="1"/>
  <c r="DD40" i="9"/>
  <c r="DE40" i="9" s="1"/>
  <c r="BL17" i="9"/>
  <c r="CK8" i="9"/>
  <c r="CU8" i="9" s="1"/>
  <c r="CV8" i="9" s="1"/>
  <c r="CR8" i="9"/>
  <c r="CS8" i="9" s="1"/>
  <c r="CR7" i="9"/>
  <c r="CS7" i="9" s="1"/>
  <c r="CK7" i="9"/>
  <c r="CU7" i="9" s="1"/>
  <c r="CV7" i="9" s="1"/>
  <c r="CR15" i="9"/>
  <c r="CS15" i="9" s="1"/>
  <c r="CK15" i="9"/>
  <c r="CU15" i="9" s="1"/>
  <c r="CV15" i="9" s="1"/>
  <c r="DD29" i="9"/>
  <c r="DE29" i="9" s="1"/>
  <c r="CW29" i="9"/>
  <c r="DG29" i="9" s="1"/>
  <c r="DH29" i="9" s="1"/>
  <c r="DM42" i="9"/>
  <c r="BN46" i="9"/>
  <c r="BO46" i="9" s="1"/>
  <c r="BT46" i="9"/>
  <c r="BV46" i="9" s="1"/>
  <c r="BG46" i="9"/>
  <c r="BQ46" i="9" s="1"/>
  <c r="BR46" i="9" s="1"/>
  <c r="BW46" i="9" s="1"/>
  <c r="CK27" i="9"/>
  <c r="CU27" i="9" s="1"/>
  <c r="CV27" i="9" s="1"/>
  <c r="CR27" i="9"/>
  <c r="CS27" i="9" s="1"/>
  <c r="CX14" i="9"/>
  <c r="CZ14" i="9" s="1"/>
  <c r="CR28" i="9"/>
  <c r="CS28" i="9" s="1"/>
  <c r="CK28" i="9"/>
  <c r="CU28" i="9" s="1"/>
  <c r="CV28" i="9" s="1"/>
  <c r="AU19" i="9"/>
  <c r="BE19" i="9" s="1"/>
  <c r="BF19" i="9" s="1"/>
  <c r="BK19" i="9" s="1"/>
  <c r="BH19" i="9"/>
  <c r="BJ19" i="9" s="1"/>
  <c r="BB19" i="9"/>
  <c r="BC19" i="9" s="1"/>
  <c r="BL6" i="9"/>
  <c r="DM30" i="9" l="1"/>
  <c r="H30" i="9"/>
  <c r="H33" i="9"/>
  <c r="BX44" i="9"/>
  <c r="DJ46" i="9"/>
  <c r="DL46" i="9" s="1"/>
  <c r="DN46" i="9" s="1"/>
  <c r="DA18" i="9"/>
  <c r="DB18" i="9" s="1"/>
  <c r="DA9" i="9"/>
  <c r="DB9" i="9" s="1"/>
  <c r="CX16" i="9"/>
  <c r="CZ16" i="9" s="1"/>
  <c r="DB16" i="9" s="1"/>
  <c r="CX24" i="9"/>
  <c r="CZ24" i="9" s="1"/>
  <c r="DB24" i="9" s="1"/>
  <c r="BL23" i="9"/>
  <c r="BL20" i="9"/>
  <c r="DA25" i="9"/>
  <c r="DB25" i="9" s="1"/>
  <c r="DJ40" i="9"/>
  <c r="DL40" i="9" s="1"/>
  <c r="DN38" i="9"/>
  <c r="DM31" i="9"/>
  <c r="DN31" i="9" s="1"/>
  <c r="CX28" i="9"/>
  <c r="CZ28" i="9" s="1"/>
  <c r="DN37" i="9"/>
  <c r="DJ50" i="9"/>
  <c r="DL50" i="9" s="1"/>
  <c r="DN50" i="9" s="1"/>
  <c r="DN36" i="9"/>
  <c r="DJ39" i="9"/>
  <c r="DL39" i="9" s="1"/>
  <c r="DN39" i="9" s="1"/>
  <c r="DN42" i="9"/>
  <c r="CX19" i="9"/>
  <c r="CZ19" i="9" s="1"/>
  <c r="DB19" i="9" s="1"/>
  <c r="DA28" i="9"/>
  <c r="DA15" i="9"/>
  <c r="BL21" i="9"/>
  <c r="DN48" i="9"/>
  <c r="CX26" i="9"/>
  <c r="CZ26" i="9" s="1"/>
  <c r="CX23" i="9"/>
  <c r="CZ23" i="9" s="1"/>
  <c r="DB23" i="9" s="1"/>
  <c r="DB14" i="9"/>
  <c r="CX8" i="9"/>
  <c r="CZ8" i="9" s="1"/>
  <c r="DB6" i="9"/>
  <c r="DN30" i="9"/>
  <c r="DA20" i="9"/>
  <c r="DA17" i="9"/>
  <c r="DM51" i="9"/>
  <c r="DN51" i="9" s="1"/>
  <c r="DM44" i="9"/>
  <c r="E27" i="9"/>
  <c r="E40" i="9" s="1"/>
  <c r="CX27" i="9"/>
  <c r="CZ27" i="9" s="1"/>
  <c r="DA7" i="9"/>
  <c r="DM43" i="9"/>
  <c r="BL9" i="9"/>
  <c r="CX20" i="9"/>
  <c r="CZ20" i="9" s="1"/>
  <c r="DM41" i="9"/>
  <c r="DJ41" i="9"/>
  <c r="DL41" i="9" s="1"/>
  <c r="BX46" i="9"/>
  <c r="BX42" i="9"/>
  <c r="DJ35" i="9"/>
  <c r="DL35" i="9" s="1"/>
  <c r="CX17" i="9"/>
  <c r="CZ17" i="9" s="1"/>
  <c r="BX43" i="9"/>
  <c r="DN34" i="9"/>
  <c r="DM32" i="9"/>
  <c r="DN32" i="9" s="1"/>
  <c r="CX7" i="9"/>
  <c r="CZ7" i="9" s="1"/>
  <c r="BL25" i="9"/>
  <c r="DA21" i="9"/>
  <c r="CX21" i="9"/>
  <c r="CZ21" i="9" s="1"/>
  <c r="DJ44" i="9"/>
  <c r="DL44" i="9" s="1"/>
  <c r="BX39" i="9"/>
  <c r="BL26" i="9"/>
  <c r="DM33" i="9"/>
  <c r="DJ33" i="9"/>
  <c r="DL33" i="9" s="1"/>
  <c r="DM29" i="9"/>
  <c r="DA27" i="9"/>
  <c r="DJ29" i="9"/>
  <c r="DL29" i="9" s="1"/>
  <c r="BX30" i="9"/>
  <c r="B58" i="9"/>
  <c r="E58" i="9" s="1"/>
  <c r="E61" i="9" s="1"/>
  <c r="BL19" i="9"/>
  <c r="B65" i="9"/>
  <c r="E65" i="9" s="1"/>
  <c r="E64" i="9"/>
  <c r="DM35" i="9"/>
  <c r="DA22" i="9"/>
  <c r="DB22" i="9" s="1"/>
  <c r="DA26" i="9"/>
  <c r="DA8" i="9"/>
  <c r="DJ43" i="9"/>
  <c r="DL43" i="9" s="1"/>
  <c r="CX15" i="9"/>
  <c r="CZ15" i="9" s="1"/>
  <c r="DM40" i="9"/>
  <c r="BL28" i="9"/>
  <c r="K37" i="9" l="1"/>
  <c r="K38" i="9" s="1"/>
  <c r="DN40" i="9"/>
  <c r="E39" i="9"/>
  <c r="B33" i="9"/>
  <c r="B48" i="9"/>
  <c r="R4" i="9"/>
  <c r="DB8" i="9"/>
  <c r="DB28" i="9"/>
  <c r="DB15" i="9"/>
  <c r="DB26" i="9"/>
  <c r="DB27" i="9"/>
  <c r="DB7" i="9"/>
  <c r="R17" i="9"/>
  <c r="R16" i="9"/>
  <c r="R27" i="9"/>
  <c r="R15" i="9"/>
  <c r="R26" i="9"/>
  <c r="R14" i="9"/>
  <c r="R25" i="9"/>
  <c r="R13" i="9"/>
  <c r="R11" i="9"/>
  <c r="R8" i="9"/>
  <c r="R19" i="9"/>
  <c r="R24" i="9"/>
  <c r="R12" i="9"/>
  <c r="R9" i="9"/>
  <c r="R18" i="9"/>
  <c r="R23" i="9"/>
  <c r="R22" i="9"/>
  <c r="R10" i="9"/>
  <c r="R20" i="9"/>
  <c r="R21" i="9"/>
  <c r="DB20" i="9"/>
  <c r="DN29" i="9"/>
  <c r="DN41" i="9"/>
  <c r="DN43" i="9"/>
  <c r="DN35" i="9"/>
  <c r="DN44" i="9"/>
  <c r="DB17" i="9"/>
  <c r="DN33" i="9"/>
  <c r="DB21" i="9"/>
  <c r="R5" i="9"/>
  <c r="R3" i="9"/>
  <c r="R6" i="9"/>
  <c r="R7" i="9"/>
  <c r="E67" i="9"/>
  <c r="H61" i="9" l="1"/>
  <c r="H60" i="9" s="1"/>
  <c r="I60" i="9" s="1"/>
  <c r="H57" i="9"/>
  <c r="H58" i="9" s="1"/>
  <c r="E33" i="9"/>
  <c r="E38" i="9" s="1"/>
  <c r="E41" i="9" s="1"/>
  <c r="E79" i="9" s="1"/>
  <c r="R28" i="9"/>
  <c r="E48" i="9"/>
  <c r="E52" i="9" s="1"/>
  <c r="E54" i="9" l="1"/>
  <c r="E69" i="9" s="1"/>
  <c r="B75" i="9" s="1"/>
  <c r="F41" i="9"/>
  <c r="I41" i="9"/>
  <c r="F52" i="9"/>
  <c r="B72" i="9" l="1"/>
  <c r="E72" i="9" s="1"/>
  <c r="I58" i="9"/>
  <c r="F69" i="9"/>
  <c r="E73" i="9" l="1"/>
  <c r="E74" i="9" s="1"/>
  <c r="L3" i="2"/>
  <c r="K3" i="2"/>
  <c r="J3" i="2"/>
  <c r="T29" i="5"/>
  <c r="S29" i="5"/>
  <c r="T29" i="1"/>
  <c r="S29" i="1"/>
  <c r="D49" i="5"/>
  <c r="E75" i="9" l="1"/>
  <c r="I86" i="9" s="1"/>
  <c r="G86" i="9"/>
  <c r="H86" i="9" s="1"/>
  <c r="Q29" i="13"/>
  <c r="Q29" i="14"/>
  <c r="R29" i="13"/>
  <c r="R29" i="14"/>
  <c r="P29" i="13"/>
  <c r="P29" i="14"/>
  <c r="P29" i="5"/>
  <c r="P29" i="12"/>
  <c r="Q29" i="1"/>
  <c r="Q29" i="12"/>
  <c r="R29" i="1"/>
  <c r="R29" i="12"/>
  <c r="R29" i="5"/>
  <c r="Q29" i="5"/>
  <c r="P29" i="1"/>
  <c r="F265" i="8"/>
  <c r="G73" i="9" l="1"/>
  <c r="H74" i="9" s="1"/>
  <c r="K46" i="5"/>
  <c r="K45" i="5"/>
  <c r="Z204" i="8"/>
  <c r="E128" i="8"/>
  <c r="B216" i="8"/>
  <c r="X218" i="8"/>
  <c r="Z218" i="8" s="1"/>
  <c r="X221" i="8"/>
  <c r="Z221" i="8" s="1"/>
  <c r="AA201" i="8"/>
  <c r="AA204" i="8"/>
  <c r="AA203" i="8"/>
  <c r="Z203" i="8"/>
  <c r="Z209" i="8"/>
  <c r="AA209" i="8"/>
  <c r="Z210" i="8"/>
  <c r="Z211" i="8"/>
  <c r="AA211" i="8"/>
  <c r="Z212" i="8"/>
  <c r="Z217" i="8"/>
  <c r="AA217" i="8"/>
  <c r="Z219" i="8"/>
  <c r="AA219" i="8"/>
  <c r="Z220" i="8"/>
  <c r="AA220" i="8"/>
  <c r="Z226" i="8"/>
  <c r="AA226" i="8"/>
  <c r="Z227" i="8"/>
  <c r="AA227" i="8"/>
  <c r="Z228" i="8"/>
  <c r="AA228" i="8"/>
  <c r="Z229" i="8"/>
  <c r="Z234" i="8"/>
  <c r="AA234" i="8"/>
  <c r="Z235" i="8"/>
  <c r="AA235" i="8"/>
  <c r="Z236" i="8"/>
  <c r="AA236" i="8"/>
  <c r="Z237" i="8"/>
  <c r="Z238" i="8" l="1"/>
  <c r="D203" i="8" s="1"/>
  <c r="Z222" i="8"/>
  <c r="AA222" i="8" s="1"/>
  <c r="Z230" i="8"/>
  <c r="AA230" i="8" s="1"/>
  <c r="Z213" i="8"/>
  <c r="AA213" i="8" s="1"/>
  <c r="AA238" i="8" l="1"/>
  <c r="K203" i="8"/>
  <c r="R203" i="8"/>
  <c r="Z202" i="8"/>
  <c r="Z201" i="8"/>
  <c r="AA200" i="8"/>
  <c r="Z200" i="8"/>
  <c r="M502" i="8"/>
  <c r="F502" i="8"/>
  <c r="M453" i="8"/>
  <c r="F453" i="8"/>
  <c r="F404" i="8"/>
  <c r="M404" i="8"/>
  <c r="M355" i="8"/>
  <c r="F355" i="8"/>
  <c r="F257" i="8"/>
  <c r="M257" i="8"/>
  <c r="T257" i="8"/>
  <c r="T208" i="8"/>
  <c r="M208" i="8"/>
  <c r="F208" i="8"/>
  <c r="M61" i="8"/>
  <c r="J61" i="8"/>
  <c r="S275" i="8"/>
  <c r="L275" i="8"/>
  <c r="E275" i="8"/>
  <c r="S274" i="8"/>
  <c r="L274" i="8"/>
  <c r="E274" i="8"/>
  <c r="R273" i="8"/>
  <c r="K273" i="8"/>
  <c r="D273" i="8"/>
  <c r="R272" i="8"/>
  <c r="K272" i="8"/>
  <c r="D272" i="8"/>
  <c r="C272" i="8"/>
  <c r="E272" i="8" s="1"/>
  <c r="R271" i="8"/>
  <c r="K271" i="8"/>
  <c r="J271" i="8"/>
  <c r="J272" i="8" s="1"/>
  <c r="D271" i="8"/>
  <c r="E271" i="8" s="1"/>
  <c r="S270" i="8"/>
  <c r="L270" i="8"/>
  <c r="E270" i="8"/>
  <c r="S269" i="8"/>
  <c r="L269" i="8"/>
  <c r="E269" i="8"/>
  <c r="R265" i="8"/>
  <c r="Q265" i="8"/>
  <c r="P265" i="8"/>
  <c r="K265" i="8"/>
  <c r="J265" i="8"/>
  <c r="I265" i="8"/>
  <c r="D265" i="8"/>
  <c r="R263" i="8"/>
  <c r="S263" i="8" s="1"/>
  <c r="U263" i="8" s="1"/>
  <c r="K263" i="8"/>
  <c r="L263" i="8" s="1"/>
  <c r="N263" i="8" s="1"/>
  <c r="D263" i="8"/>
  <c r="E263" i="8" s="1"/>
  <c r="G263" i="8" s="1"/>
  <c r="R262" i="8"/>
  <c r="S262" i="8" s="1"/>
  <c r="U262" i="8" s="1"/>
  <c r="K262" i="8"/>
  <c r="L262" i="8" s="1"/>
  <c r="D262" i="8"/>
  <c r="E262" i="8" s="1"/>
  <c r="Q260" i="8"/>
  <c r="R291" i="8" s="1"/>
  <c r="J260" i="8"/>
  <c r="K291" i="8" s="1"/>
  <c r="C260" i="8"/>
  <c r="G260" i="8" s="1"/>
  <c r="S254" i="8"/>
  <c r="L254" i="8"/>
  <c r="E254" i="8"/>
  <c r="S253" i="8"/>
  <c r="L253" i="8"/>
  <c r="E253" i="8"/>
  <c r="S252" i="8"/>
  <c r="S256" i="8" s="1"/>
  <c r="L252" i="8"/>
  <c r="L256" i="8" s="1"/>
  <c r="E252" i="8"/>
  <c r="E256" i="8" s="1"/>
  <c r="S250" i="8"/>
  <c r="L250" i="8"/>
  <c r="E250" i="8"/>
  <c r="S249" i="8"/>
  <c r="L249" i="8"/>
  <c r="E249" i="8"/>
  <c r="L271" i="8" l="1"/>
  <c r="U260" i="8"/>
  <c r="S255" i="8"/>
  <c r="Q257" i="8" s="1"/>
  <c r="L255" i="8"/>
  <c r="J257" i="8" s="1"/>
  <c r="L265" i="8"/>
  <c r="L266" i="8" s="1"/>
  <c r="E255" i="8"/>
  <c r="C257" i="8" s="1"/>
  <c r="Z205" i="8"/>
  <c r="AA205" i="8" s="1"/>
  <c r="C265" i="8"/>
  <c r="E265" i="8" s="1"/>
  <c r="E266" i="8" s="1"/>
  <c r="S265" i="8"/>
  <c r="S266" i="8" s="1"/>
  <c r="L272" i="8"/>
  <c r="N260" i="8"/>
  <c r="G262" i="8"/>
  <c r="N262" i="8"/>
  <c r="D291" i="8"/>
  <c r="F301" i="8"/>
  <c r="M301" i="8"/>
  <c r="T301" i="8"/>
  <c r="AA301" i="8"/>
  <c r="AO301" i="8"/>
  <c r="AH301" i="8"/>
  <c r="AO302" i="8"/>
  <c r="AH302" i="8"/>
  <c r="AM302" i="8"/>
  <c r="AN302" i="8" s="1"/>
  <c r="AL335" i="8"/>
  <c r="AE335" i="8"/>
  <c r="X335" i="8"/>
  <c r="Q335" i="8"/>
  <c r="J335" i="8"/>
  <c r="AO303" i="8"/>
  <c r="AH303" i="8"/>
  <c r="AN324" i="8"/>
  <c r="AN323" i="8"/>
  <c r="AM322" i="8"/>
  <c r="AN322" i="8" s="1"/>
  <c r="AM321" i="8"/>
  <c r="AL321" i="8"/>
  <c r="AM320" i="8"/>
  <c r="AN320" i="8" s="1"/>
  <c r="AN319" i="8"/>
  <c r="AN318" i="8"/>
  <c r="AM314" i="8"/>
  <c r="AN314" i="8" s="1"/>
  <c r="AM312" i="8"/>
  <c r="AN312" i="8" s="1"/>
  <c r="AM311" i="8"/>
  <c r="AN311" i="8" s="1"/>
  <c r="AL309" i="8"/>
  <c r="AM340" i="8" s="1"/>
  <c r="AO306" i="8"/>
  <c r="AL306" i="8"/>
  <c r="AN303" i="8"/>
  <c r="AM301" i="8"/>
  <c r="AN301" i="8" s="1"/>
  <c r="AN305" i="8" s="1"/>
  <c r="AN299" i="8"/>
  <c r="AN298" i="8"/>
  <c r="AG324" i="8"/>
  <c r="AG323" i="8"/>
  <c r="AF322" i="8"/>
  <c r="AG322" i="8" s="1"/>
  <c r="AF321" i="8"/>
  <c r="AE321" i="8"/>
  <c r="AF320" i="8"/>
  <c r="AG320" i="8" s="1"/>
  <c r="AG319" i="8"/>
  <c r="AG318" i="8"/>
  <c r="AF314" i="8"/>
  <c r="AG314" i="8" s="1"/>
  <c r="AF312" i="8"/>
  <c r="AG312" i="8" s="1"/>
  <c r="AF311" i="8"/>
  <c r="AG311" i="8" s="1"/>
  <c r="AE309" i="8"/>
  <c r="AF340" i="8" s="1"/>
  <c r="AH306" i="8"/>
  <c r="AE306" i="8"/>
  <c r="AG303" i="8"/>
  <c r="AG302" i="8"/>
  <c r="AF301" i="8"/>
  <c r="AG301" i="8" s="1"/>
  <c r="AG305" i="8" s="1"/>
  <c r="AG299" i="8"/>
  <c r="AG298" i="8"/>
  <c r="Y302" i="8"/>
  <c r="Z302" i="8" s="1"/>
  <c r="Y301" i="8"/>
  <c r="R302" i="8"/>
  <c r="S302" i="8" s="1"/>
  <c r="R301" i="8"/>
  <c r="S301" i="8" s="1"/>
  <c r="S305" i="8" s="1"/>
  <c r="K302" i="8"/>
  <c r="L302" i="8" s="1"/>
  <c r="K301" i="8"/>
  <c r="L301" i="8" s="1"/>
  <c r="L305" i="8" s="1"/>
  <c r="AA302" i="8"/>
  <c r="T302" i="8"/>
  <c r="M302" i="8"/>
  <c r="F302" i="8"/>
  <c r="Z324" i="8"/>
  <c r="S324" i="8"/>
  <c r="Z323" i="8"/>
  <c r="S323" i="8"/>
  <c r="Y322" i="8"/>
  <c r="Z322" i="8" s="1"/>
  <c r="R322" i="8"/>
  <c r="S322" i="8" s="1"/>
  <c r="Y321" i="8"/>
  <c r="X321" i="8"/>
  <c r="R321" i="8"/>
  <c r="Q321" i="8"/>
  <c r="Y320" i="8"/>
  <c r="Z320" i="8" s="1"/>
  <c r="R320" i="8"/>
  <c r="S320" i="8" s="1"/>
  <c r="Z319" i="8"/>
  <c r="S319" i="8"/>
  <c r="Z318" i="8"/>
  <c r="S318" i="8"/>
  <c r="Y314" i="8"/>
  <c r="Z314" i="8" s="1"/>
  <c r="R314" i="8"/>
  <c r="S314" i="8" s="1"/>
  <c r="Y312" i="8"/>
  <c r="Z312" i="8" s="1"/>
  <c r="R312" i="8"/>
  <c r="S312" i="8" s="1"/>
  <c r="Y311" i="8"/>
  <c r="Z311" i="8" s="1"/>
  <c r="AB311" i="8" s="1"/>
  <c r="R311" i="8"/>
  <c r="S311" i="8" s="1"/>
  <c r="X309" i="8"/>
  <c r="AB309" i="8" s="1"/>
  <c r="Q309" i="8"/>
  <c r="R340" i="8" s="1"/>
  <c r="AA306" i="8"/>
  <c r="X306" i="8"/>
  <c r="T306" i="8"/>
  <c r="Q306" i="8"/>
  <c r="Z303" i="8"/>
  <c r="S303" i="8"/>
  <c r="Z299" i="8"/>
  <c r="S299" i="8"/>
  <c r="Z298" i="8"/>
  <c r="S298" i="8"/>
  <c r="E324" i="8"/>
  <c r="E323" i="8"/>
  <c r="D322" i="8"/>
  <c r="E322" i="8" s="1"/>
  <c r="D321" i="8"/>
  <c r="C321" i="8"/>
  <c r="D320" i="8"/>
  <c r="E320" i="8" s="1"/>
  <c r="E319" i="8"/>
  <c r="E318" i="8"/>
  <c r="D314" i="8"/>
  <c r="E314" i="8" s="1"/>
  <c r="D312" i="8"/>
  <c r="E312" i="8" s="1"/>
  <c r="D311" i="8"/>
  <c r="E311" i="8" s="1"/>
  <c r="C309" i="8"/>
  <c r="G309" i="8" s="1"/>
  <c r="F306" i="8"/>
  <c r="C306" i="8"/>
  <c r="E303" i="8"/>
  <c r="E302" i="8"/>
  <c r="E301" i="8"/>
  <c r="E305" i="8" s="1"/>
  <c r="L324" i="8"/>
  <c r="L323" i="8"/>
  <c r="K322" i="8"/>
  <c r="L322" i="8" s="1"/>
  <c r="K321" i="8"/>
  <c r="J321" i="8"/>
  <c r="K320" i="8"/>
  <c r="L320" i="8" s="1"/>
  <c r="L319" i="8"/>
  <c r="L318" i="8"/>
  <c r="K314" i="8"/>
  <c r="L314" i="8" s="1"/>
  <c r="K312" i="8"/>
  <c r="L312" i="8" s="1"/>
  <c r="K311" i="8"/>
  <c r="L311" i="8" s="1"/>
  <c r="N311" i="8" s="1"/>
  <c r="J309" i="8"/>
  <c r="K340" i="8" s="1"/>
  <c r="M306" i="8"/>
  <c r="J306" i="8"/>
  <c r="L303" i="8"/>
  <c r="L299" i="8"/>
  <c r="E299" i="8"/>
  <c r="L298" i="8"/>
  <c r="E298" i="8"/>
  <c r="T110" i="8"/>
  <c r="M110" i="8"/>
  <c r="F110" i="8"/>
  <c r="C61" i="8"/>
  <c r="F61" i="8"/>
  <c r="M12" i="8"/>
  <c r="J12" i="8"/>
  <c r="E321" i="8" l="1"/>
  <c r="AG321" i="8"/>
  <c r="AG325" i="8" s="1"/>
  <c r="D340" i="8"/>
  <c r="L321" i="8"/>
  <c r="Y340" i="8"/>
  <c r="AN321" i="8"/>
  <c r="AN325" i="8" s="1"/>
  <c r="AB312" i="8"/>
  <c r="U312" i="8"/>
  <c r="Z321" i="8"/>
  <c r="Z325" i="8" s="1"/>
  <c r="S257" i="8"/>
  <c r="S258" i="8" s="1"/>
  <c r="Q273" i="8"/>
  <c r="S273" i="8" s="1"/>
  <c r="S285" i="8"/>
  <c r="S283" i="8"/>
  <c r="Q271" i="8"/>
  <c r="T266" i="8"/>
  <c r="M266" i="8"/>
  <c r="L285" i="8"/>
  <c r="L283" i="8"/>
  <c r="J273" i="8"/>
  <c r="L273" i="8" s="1"/>
  <c r="L276" i="8" s="1"/>
  <c r="F266" i="8"/>
  <c r="E285" i="8"/>
  <c r="E283" i="8"/>
  <c r="C273" i="8"/>
  <c r="E273" i="8" s="1"/>
  <c r="E276" i="8" s="1"/>
  <c r="L257" i="8"/>
  <c r="L258" i="8" s="1"/>
  <c r="AP312" i="8"/>
  <c r="N312" i="8"/>
  <c r="S321" i="8"/>
  <c r="S325" i="8" s="1"/>
  <c r="E257" i="8"/>
  <c r="E258" i="8" s="1"/>
  <c r="AP309" i="8"/>
  <c r="Z315" i="8"/>
  <c r="Z334" i="8" s="1"/>
  <c r="AN304" i="8"/>
  <c r="AP311" i="8"/>
  <c r="AN315" i="8"/>
  <c r="AI312" i="8"/>
  <c r="AG304" i="8"/>
  <c r="AI311" i="8"/>
  <c r="AG315" i="8"/>
  <c r="AI309" i="8"/>
  <c r="S304" i="8"/>
  <c r="S306" i="8" s="1"/>
  <c r="S307" i="8" s="1"/>
  <c r="Z301" i="8"/>
  <c r="Z305" i="8" s="1"/>
  <c r="S315" i="8"/>
  <c r="U311" i="8"/>
  <c r="U309" i="8"/>
  <c r="G312" i="8"/>
  <c r="E325" i="8"/>
  <c r="G311" i="8"/>
  <c r="E315" i="8"/>
  <c r="E304" i="8"/>
  <c r="L304" i="8"/>
  <c r="L306" i="8" s="1"/>
  <c r="L307" i="8" s="1"/>
  <c r="L325" i="8"/>
  <c r="N309" i="8"/>
  <c r="L315" i="8"/>
  <c r="AA315" i="8" l="1"/>
  <c r="Z332" i="8"/>
  <c r="S271" i="8"/>
  <c r="Q272" i="8"/>
  <c r="S272" i="8" s="1"/>
  <c r="T258" i="8"/>
  <c r="Q284" i="8"/>
  <c r="S284" i="8" s="1"/>
  <c r="J284" i="8"/>
  <c r="L284" i="8" s="1"/>
  <c r="L279" i="8"/>
  <c r="M258" i="8"/>
  <c r="E284" i="8"/>
  <c r="E279" i="8"/>
  <c r="F258" i="8"/>
  <c r="Z304" i="8"/>
  <c r="Z306" i="8" s="1"/>
  <c r="Z307" i="8" s="1"/>
  <c r="AN334" i="8"/>
  <c r="AN332" i="8"/>
  <c r="AO315" i="8"/>
  <c r="AN306" i="8"/>
  <c r="AN307" i="8" s="1"/>
  <c r="AG334" i="8"/>
  <c r="AG332" i="8"/>
  <c r="AH315" i="8"/>
  <c r="AG306" i="8"/>
  <c r="AG307" i="8" s="1"/>
  <c r="T307" i="8"/>
  <c r="S333" i="8"/>
  <c r="S328" i="8"/>
  <c r="T315" i="8"/>
  <c r="S334" i="8"/>
  <c r="S332" i="8"/>
  <c r="E334" i="8"/>
  <c r="E332" i="8"/>
  <c r="F315" i="8"/>
  <c r="E306" i="8"/>
  <c r="E307" i="8" s="1"/>
  <c r="L333" i="8"/>
  <c r="M307" i="8"/>
  <c r="L328" i="8"/>
  <c r="L332" i="8"/>
  <c r="L334" i="8"/>
  <c r="M315" i="8"/>
  <c r="C43" i="8"/>
  <c r="J337" i="8" l="1"/>
  <c r="Q288" i="8"/>
  <c r="J288" i="8"/>
  <c r="C288" i="8"/>
  <c r="AE337" i="8"/>
  <c r="C337" i="8"/>
  <c r="Q337" i="8"/>
  <c r="AL337" i="8"/>
  <c r="X337" i="8"/>
  <c r="S276" i="8"/>
  <c r="S279" i="8" s="1"/>
  <c r="AO307" i="8"/>
  <c r="AN333" i="8"/>
  <c r="AN328" i="8"/>
  <c r="AG328" i="8"/>
  <c r="AH307" i="8"/>
  <c r="AG333" i="8"/>
  <c r="Z333" i="8"/>
  <c r="Z328" i="8"/>
  <c r="AA307" i="8"/>
  <c r="E333" i="8"/>
  <c r="F307" i="8"/>
  <c r="E328" i="8"/>
  <c r="O33" i="5"/>
  <c r="O36" i="5" s="1"/>
  <c r="O35" i="5" l="1"/>
  <c r="O34" i="5"/>
  <c r="T28" i="5" l="1"/>
  <c r="S28" i="5"/>
  <c r="O28" i="5"/>
  <c r="T27" i="5"/>
  <c r="S27" i="5"/>
  <c r="O27" i="5"/>
  <c r="T26" i="5"/>
  <c r="S26" i="5"/>
  <c r="O26" i="5"/>
  <c r="T28" i="1"/>
  <c r="T27" i="1"/>
  <c r="T26" i="1"/>
  <c r="S26" i="1"/>
  <c r="S27" i="1"/>
  <c r="S28" i="1"/>
  <c r="O28" i="1"/>
  <c r="O27" i="1"/>
  <c r="O26" i="1"/>
  <c r="V15" i="1"/>
  <c r="V14" i="1"/>
  <c r="V13" i="1"/>
  <c r="F216" i="8" l="1"/>
  <c r="F166" i="8"/>
  <c r="C167" i="8" s="1"/>
  <c r="C118" i="8"/>
  <c r="Q216" i="8"/>
  <c r="J216" i="8"/>
  <c r="J167" i="8"/>
  <c r="Q118" i="8"/>
  <c r="J118" i="8"/>
  <c r="C583" i="8"/>
  <c r="C633" i="8"/>
  <c r="J633" i="8"/>
  <c r="X583" i="8"/>
  <c r="Q583" i="8"/>
  <c r="J583" i="8"/>
  <c r="C533" i="8"/>
  <c r="J533" i="8"/>
  <c r="J484" i="8"/>
  <c r="C484" i="8"/>
  <c r="J435" i="8"/>
  <c r="C435" i="8"/>
  <c r="C386" i="8"/>
  <c r="J386" i="8"/>
  <c r="Q239" i="8"/>
  <c r="J239" i="8"/>
  <c r="C239" i="8"/>
  <c r="C190" i="8"/>
  <c r="J190" i="8"/>
  <c r="Q190" i="8"/>
  <c r="Q141" i="8"/>
  <c r="J141" i="8"/>
  <c r="C141" i="8"/>
  <c r="J92" i="8"/>
  <c r="C92" i="8"/>
  <c r="J43" i="8"/>
  <c r="I348" i="8"/>
  <c r="I397" i="8"/>
  <c r="B397" i="8"/>
  <c r="K400" i="8"/>
  <c r="D400" i="8"/>
  <c r="K351" i="8"/>
  <c r="F399" i="8"/>
  <c r="M399" i="8"/>
  <c r="J400" i="8"/>
  <c r="C400" i="8"/>
  <c r="C351" i="8"/>
  <c r="E351" i="8" s="1"/>
  <c r="J351" i="8"/>
  <c r="E352" i="8"/>
  <c r="M350" i="8"/>
  <c r="F350" i="8"/>
  <c r="D617" i="8"/>
  <c r="D616" i="8"/>
  <c r="E616" i="8" s="1"/>
  <c r="K617" i="8"/>
  <c r="K616" i="8"/>
  <c r="L616" i="8" s="1"/>
  <c r="Y567" i="8"/>
  <c r="Y566" i="8"/>
  <c r="R567" i="8"/>
  <c r="R566" i="8"/>
  <c r="K567" i="8"/>
  <c r="K566" i="8"/>
  <c r="D567" i="8"/>
  <c r="D566" i="8"/>
  <c r="E566" i="8" s="1"/>
  <c r="D517" i="8"/>
  <c r="D516" i="8"/>
  <c r="E516" i="8" s="1"/>
  <c r="K517" i="8"/>
  <c r="K516" i="8"/>
  <c r="K468" i="8"/>
  <c r="K467" i="8"/>
  <c r="L467" i="8" s="1"/>
  <c r="D468" i="8"/>
  <c r="D467" i="8"/>
  <c r="E467" i="8" s="1"/>
  <c r="K419" i="8"/>
  <c r="K418" i="8"/>
  <c r="L418" i="8" s="1"/>
  <c r="D419" i="8"/>
  <c r="D418" i="8"/>
  <c r="D370" i="8"/>
  <c r="D369" i="8"/>
  <c r="K370" i="8"/>
  <c r="K369" i="8"/>
  <c r="L369" i="8" s="1"/>
  <c r="R223" i="8"/>
  <c r="R222" i="8"/>
  <c r="K223" i="8"/>
  <c r="K222" i="8"/>
  <c r="D223" i="8"/>
  <c r="D222" i="8"/>
  <c r="E222" i="8" s="1"/>
  <c r="D174" i="8"/>
  <c r="D173" i="8"/>
  <c r="E173" i="8" s="1"/>
  <c r="K174" i="8"/>
  <c r="K173" i="8"/>
  <c r="R174" i="8"/>
  <c r="R173" i="8"/>
  <c r="R125" i="8"/>
  <c r="R124" i="8"/>
  <c r="K125" i="8"/>
  <c r="K124" i="8"/>
  <c r="D125" i="8"/>
  <c r="D124" i="8"/>
  <c r="E124" i="8" s="1"/>
  <c r="D76" i="8"/>
  <c r="D75" i="8"/>
  <c r="K76" i="8"/>
  <c r="K75" i="8"/>
  <c r="K26" i="8"/>
  <c r="L26" i="8" s="1"/>
  <c r="K27" i="8"/>
  <c r="D618" i="8"/>
  <c r="K618" i="8"/>
  <c r="Y568" i="8"/>
  <c r="R568" i="8"/>
  <c r="K568" i="8"/>
  <c r="D568" i="8"/>
  <c r="D518" i="8"/>
  <c r="K518" i="8"/>
  <c r="K469" i="8"/>
  <c r="D469" i="8"/>
  <c r="D420" i="8"/>
  <c r="K420" i="8"/>
  <c r="K371" i="8"/>
  <c r="D371" i="8"/>
  <c r="D224" i="8"/>
  <c r="K224" i="8"/>
  <c r="R224" i="8"/>
  <c r="R175" i="8"/>
  <c r="K175" i="8"/>
  <c r="D175" i="8"/>
  <c r="R126" i="8"/>
  <c r="K126" i="8"/>
  <c r="D126" i="8"/>
  <c r="K77" i="8"/>
  <c r="L77" i="8" s="1"/>
  <c r="D77" i="8"/>
  <c r="E77" i="8" s="1"/>
  <c r="K28" i="8"/>
  <c r="L28" i="8" s="1"/>
  <c r="J20" i="5"/>
  <c r="C46" i="5"/>
  <c r="D46" i="5" s="1"/>
  <c r="C45" i="5"/>
  <c r="D45" i="5" s="1"/>
  <c r="D610" i="8"/>
  <c r="E610" i="8" s="1"/>
  <c r="K610" i="8"/>
  <c r="L610" i="8" s="1"/>
  <c r="Y560" i="8"/>
  <c r="Z560" i="8" s="1"/>
  <c r="R560" i="8"/>
  <c r="S560" i="8" s="1"/>
  <c r="D560" i="8"/>
  <c r="E560" i="8" s="1"/>
  <c r="K560" i="8"/>
  <c r="L560" i="8" s="1"/>
  <c r="K510" i="8"/>
  <c r="L510" i="8" s="1"/>
  <c r="D510" i="8"/>
  <c r="E510" i="8" s="1"/>
  <c r="D461" i="8"/>
  <c r="E461" i="8" s="1"/>
  <c r="K461" i="8"/>
  <c r="L461" i="8" s="1"/>
  <c r="K412" i="8"/>
  <c r="L412" i="8" s="1"/>
  <c r="D412" i="8"/>
  <c r="E412" i="8" s="1"/>
  <c r="D363" i="8"/>
  <c r="E363" i="8" s="1"/>
  <c r="K363" i="8"/>
  <c r="L363" i="8" s="1"/>
  <c r="R216" i="8"/>
  <c r="K216" i="8"/>
  <c r="D216" i="8"/>
  <c r="D167" i="8"/>
  <c r="K167" i="8"/>
  <c r="R167" i="8"/>
  <c r="R118" i="8"/>
  <c r="K118" i="8"/>
  <c r="D118" i="8"/>
  <c r="D69" i="8"/>
  <c r="E69" i="8" s="1"/>
  <c r="K69" i="8"/>
  <c r="L69" i="8" s="1"/>
  <c r="K20" i="8"/>
  <c r="L20" i="8" s="1"/>
  <c r="D608" i="8"/>
  <c r="E608" i="8" s="1"/>
  <c r="G608" i="8" s="1"/>
  <c r="D607" i="8"/>
  <c r="E607" i="8" s="1"/>
  <c r="G607" i="8" s="1"/>
  <c r="K608" i="8"/>
  <c r="K607" i="8"/>
  <c r="L607" i="8" s="1"/>
  <c r="N607" i="8" s="1"/>
  <c r="Y558" i="8"/>
  <c r="Z558" i="8" s="1"/>
  <c r="AB558" i="8" s="1"/>
  <c r="Y557" i="8"/>
  <c r="Z557" i="8" s="1"/>
  <c r="R558" i="8"/>
  <c r="S558" i="8" s="1"/>
  <c r="U558" i="8" s="1"/>
  <c r="R557" i="8"/>
  <c r="S557" i="8" s="1"/>
  <c r="U557" i="8" s="1"/>
  <c r="K558" i="8"/>
  <c r="L558" i="8" s="1"/>
  <c r="N558" i="8" s="1"/>
  <c r="K557" i="8"/>
  <c r="L557" i="8" s="1"/>
  <c r="N557" i="8" s="1"/>
  <c r="D558" i="8"/>
  <c r="E558" i="8" s="1"/>
  <c r="G558" i="8" s="1"/>
  <c r="D557" i="8"/>
  <c r="E557" i="8" s="1"/>
  <c r="K508" i="8"/>
  <c r="L508" i="8" s="1"/>
  <c r="N508" i="8" s="1"/>
  <c r="K507" i="8"/>
  <c r="L507" i="8" s="1"/>
  <c r="N507" i="8" s="1"/>
  <c r="D508" i="8"/>
  <c r="E508" i="8" s="1"/>
  <c r="G508" i="8" s="1"/>
  <c r="D507" i="8"/>
  <c r="E507" i="8" s="1"/>
  <c r="G507" i="8" s="1"/>
  <c r="K459" i="8"/>
  <c r="L459" i="8" s="1"/>
  <c r="K458" i="8"/>
  <c r="L458" i="8" s="1"/>
  <c r="N458" i="8" s="1"/>
  <c r="D459" i="8"/>
  <c r="E459" i="8" s="1"/>
  <c r="G459" i="8" s="1"/>
  <c r="D458" i="8"/>
  <c r="E458" i="8" s="1"/>
  <c r="G458" i="8" s="1"/>
  <c r="D410" i="8"/>
  <c r="E410" i="8" s="1"/>
  <c r="D409" i="8"/>
  <c r="E409" i="8" s="1"/>
  <c r="G409" i="8" s="1"/>
  <c r="K410" i="8"/>
  <c r="L410" i="8" s="1"/>
  <c r="N410" i="8" s="1"/>
  <c r="K409" i="8"/>
  <c r="K361" i="8"/>
  <c r="L361" i="8" s="1"/>
  <c r="N361" i="8" s="1"/>
  <c r="K360" i="8"/>
  <c r="L360" i="8" s="1"/>
  <c r="D361" i="8"/>
  <c r="E361" i="8" s="1"/>
  <c r="G361" i="8" s="1"/>
  <c r="D360" i="8"/>
  <c r="E360" i="8" s="1"/>
  <c r="G360" i="8" s="1"/>
  <c r="D214" i="8"/>
  <c r="E214" i="8" s="1"/>
  <c r="G214" i="8" s="1"/>
  <c r="D213" i="8"/>
  <c r="E213" i="8" s="1"/>
  <c r="K214" i="8"/>
  <c r="L214" i="8" s="1"/>
  <c r="N214" i="8" s="1"/>
  <c r="K213" i="8"/>
  <c r="L213" i="8" s="1"/>
  <c r="N213" i="8" s="1"/>
  <c r="R214" i="8"/>
  <c r="S214" i="8" s="1"/>
  <c r="U214" i="8" s="1"/>
  <c r="R213" i="8"/>
  <c r="S213" i="8" s="1"/>
  <c r="D165" i="8"/>
  <c r="E165" i="8" s="1"/>
  <c r="G165" i="8" s="1"/>
  <c r="D164" i="8"/>
  <c r="E164" i="8" s="1"/>
  <c r="G164" i="8" s="1"/>
  <c r="K165" i="8"/>
  <c r="L165" i="8" s="1"/>
  <c r="N165" i="8" s="1"/>
  <c r="K164" i="8"/>
  <c r="L164" i="8" s="1"/>
  <c r="R165" i="8"/>
  <c r="S165" i="8" s="1"/>
  <c r="U165" i="8" s="1"/>
  <c r="R164" i="8"/>
  <c r="R116" i="8"/>
  <c r="S116" i="8" s="1"/>
  <c r="U116" i="8" s="1"/>
  <c r="R115" i="8"/>
  <c r="S115" i="8" s="1"/>
  <c r="U115" i="8" s="1"/>
  <c r="K116" i="8"/>
  <c r="L116" i="8" s="1"/>
  <c r="N116" i="8" s="1"/>
  <c r="D116" i="8"/>
  <c r="E116" i="8" s="1"/>
  <c r="G116" i="8" s="1"/>
  <c r="K115" i="8"/>
  <c r="L115" i="8" s="1"/>
  <c r="N115" i="8" s="1"/>
  <c r="D115" i="8"/>
  <c r="E115" i="8" s="1"/>
  <c r="D67" i="8"/>
  <c r="E67" i="8" s="1"/>
  <c r="G67" i="8" s="1"/>
  <c r="D66" i="8"/>
  <c r="E66" i="8" s="1"/>
  <c r="K67" i="8"/>
  <c r="L67" i="8" s="1"/>
  <c r="N67" i="8" s="1"/>
  <c r="K66" i="8"/>
  <c r="L66" i="8" s="1"/>
  <c r="K18" i="8"/>
  <c r="L18" i="8" s="1"/>
  <c r="N18" i="8" s="1"/>
  <c r="K17" i="8"/>
  <c r="L17" i="8" s="1"/>
  <c r="D18" i="8"/>
  <c r="E18" i="8" s="1"/>
  <c r="G18" i="8" s="1"/>
  <c r="V56" i="6"/>
  <c r="S56" i="6"/>
  <c r="V52" i="6"/>
  <c r="S52" i="6"/>
  <c r="V48" i="6"/>
  <c r="S48" i="6"/>
  <c r="V36" i="6"/>
  <c r="S36" i="6"/>
  <c r="V32" i="6"/>
  <c r="S32" i="6"/>
  <c r="V28" i="6"/>
  <c r="S28" i="6"/>
  <c r="V16" i="6"/>
  <c r="S16" i="6"/>
  <c r="V12" i="6"/>
  <c r="S12" i="6"/>
  <c r="V8" i="6"/>
  <c r="S8" i="6"/>
  <c r="L910" i="8"/>
  <c r="E910" i="8"/>
  <c r="L909" i="8"/>
  <c r="E909" i="8"/>
  <c r="L908" i="8"/>
  <c r="E908" i="8"/>
  <c r="L901" i="8"/>
  <c r="E901" i="8"/>
  <c r="L900" i="8"/>
  <c r="E900" i="8"/>
  <c r="L899" i="8"/>
  <c r="E899" i="8"/>
  <c r="L898" i="8"/>
  <c r="E898" i="8"/>
  <c r="R875" i="8"/>
  <c r="L875" i="8"/>
  <c r="E875" i="8"/>
  <c r="R874" i="8"/>
  <c r="L874" i="8"/>
  <c r="E874" i="8"/>
  <c r="R873" i="8"/>
  <c r="L873" i="8"/>
  <c r="E873" i="8"/>
  <c r="R866" i="8"/>
  <c r="L866" i="8"/>
  <c r="E866" i="8"/>
  <c r="R865" i="8"/>
  <c r="L865" i="8"/>
  <c r="E865" i="8"/>
  <c r="R864" i="8"/>
  <c r="L864" i="8"/>
  <c r="E864" i="8"/>
  <c r="R863" i="8"/>
  <c r="J863" i="8"/>
  <c r="L863" i="8" s="1"/>
  <c r="E863" i="8"/>
  <c r="AD839" i="8"/>
  <c r="X839" i="8"/>
  <c r="R839" i="8"/>
  <c r="L839" i="8"/>
  <c r="E839" i="8"/>
  <c r="AD838" i="8"/>
  <c r="X838" i="8"/>
  <c r="Q838" i="8"/>
  <c r="P838" i="8"/>
  <c r="L838" i="8"/>
  <c r="E838" i="8"/>
  <c r="AD837" i="8"/>
  <c r="X837" i="8"/>
  <c r="Q837" i="8"/>
  <c r="P837" i="8"/>
  <c r="L837" i="8"/>
  <c r="E837" i="8"/>
  <c r="AD830" i="8"/>
  <c r="X830" i="8"/>
  <c r="R830" i="8"/>
  <c r="L830" i="8"/>
  <c r="E830" i="8"/>
  <c r="AD829" i="8"/>
  <c r="X829" i="8"/>
  <c r="R829" i="8"/>
  <c r="L829" i="8"/>
  <c r="E829" i="8"/>
  <c r="AD828" i="8"/>
  <c r="X828" i="8"/>
  <c r="R828" i="8"/>
  <c r="L828" i="8"/>
  <c r="E828" i="8"/>
  <c r="AD827" i="8"/>
  <c r="X827" i="8"/>
  <c r="R827" i="8"/>
  <c r="L827" i="8"/>
  <c r="E827" i="8"/>
  <c r="AD801" i="8"/>
  <c r="X801" i="8"/>
  <c r="R801" i="8"/>
  <c r="L801" i="8"/>
  <c r="E801" i="8"/>
  <c r="AD800" i="8"/>
  <c r="X800" i="8"/>
  <c r="R800" i="8"/>
  <c r="L800" i="8"/>
  <c r="E800" i="8"/>
  <c r="AD799" i="8"/>
  <c r="X799" i="8"/>
  <c r="R799" i="8"/>
  <c r="L799" i="8"/>
  <c r="E799" i="8"/>
  <c r="AD792" i="8"/>
  <c r="X792" i="8"/>
  <c r="R792" i="8"/>
  <c r="L792" i="8"/>
  <c r="E792" i="8"/>
  <c r="AD791" i="8"/>
  <c r="X791" i="8"/>
  <c r="R791" i="8"/>
  <c r="L791" i="8"/>
  <c r="E791" i="8"/>
  <c r="AD790" i="8"/>
  <c r="X790" i="8"/>
  <c r="R790" i="8"/>
  <c r="L790" i="8"/>
  <c r="E790" i="8"/>
  <c r="AD789" i="8"/>
  <c r="X789" i="8"/>
  <c r="R789" i="8"/>
  <c r="L789" i="8"/>
  <c r="E789" i="8"/>
  <c r="R768" i="8"/>
  <c r="L768" i="8"/>
  <c r="E768" i="8"/>
  <c r="R767" i="8"/>
  <c r="L767" i="8"/>
  <c r="E767" i="8"/>
  <c r="P766" i="8"/>
  <c r="R766" i="8" s="1"/>
  <c r="J766" i="8"/>
  <c r="L766" i="8" s="1"/>
  <c r="C766" i="8"/>
  <c r="E766" i="8" s="1"/>
  <c r="R759" i="8"/>
  <c r="L759" i="8"/>
  <c r="E759" i="8"/>
  <c r="R758" i="8"/>
  <c r="L758" i="8"/>
  <c r="E758" i="8"/>
  <c r="R757" i="8"/>
  <c r="L757" i="8"/>
  <c r="E757" i="8"/>
  <c r="R756" i="8"/>
  <c r="L756" i="8"/>
  <c r="E756" i="8"/>
  <c r="R735" i="8"/>
  <c r="L735" i="8"/>
  <c r="E735" i="8"/>
  <c r="R734" i="8"/>
  <c r="L734" i="8"/>
  <c r="E734" i="8"/>
  <c r="P733" i="8"/>
  <c r="R733" i="8" s="1"/>
  <c r="J733" i="8"/>
  <c r="L733" i="8" s="1"/>
  <c r="C733" i="8"/>
  <c r="E733" i="8" s="1"/>
  <c r="P732" i="8"/>
  <c r="R732" i="8" s="1"/>
  <c r="J732" i="8"/>
  <c r="L732" i="8" s="1"/>
  <c r="C732" i="8"/>
  <c r="E732" i="8" s="1"/>
  <c r="R725" i="8"/>
  <c r="L725" i="8"/>
  <c r="E725" i="8"/>
  <c r="R724" i="8"/>
  <c r="L724" i="8"/>
  <c r="E724" i="8"/>
  <c r="R723" i="8"/>
  <c r="L723" i="8"/>
  <c r="E723" i="8"/>
  <c r="R722" i="8"/>
  <c r="L722" i="8"/>
  <c r="E722" i="8"/>
  <c r="L701" i="8"/>
  <c r="E701" i="8"/>
  <c r="L700" i="8"/>
  <c r="E700" i="8"/>
  <c r="L691" i="8"/>
  <c r="E691" i="8"/>
  <c r="L690" i="8"/>
  <c r="E690" i="8"/>
  <c r="L689" i="8"/>
  <c r="E689" i="8"/>
  <c r="J688" i="8"/>
  <c r="L688" i="8" s="1"/>
  <c r="C688" i="8"/>
  <c r="E688" i="8" s="1"/>
  <c r="L666" i="8"/>
  <c r="E666" i="8"/>
  <c r="L665" i="8"/>
  <c r="E665" i="8"/>
  <c r="L656" i="8"/>
  <c r="E656" i="8"/>
  <c r="L655" i="8"/>
  <c r="E655" i="8"/>
  <c r="L654" i="8"/>
  <c r="E654" i="8"/>
  <c r="L653" i="8"/>
  <c r="E653" i="8"/>
  <c r="J620" i="8"/>
  <c r="L620" i="8" s="1"/>
  <c r="C620" i="8"/>
  <c r="E620" i="8" s="1"/>
  <c r="L619" i="8"/>
  <c r="E619" i="8"/>
  <c r="J617" i="8"/>
  <c r="C617" i="8"/>
  <c r="E617" i="8" s="1"/>
  <c r="L615" i="8"/>
  <c r="E615" i="8"/>
  <c r="L614" i="8"/>
  <c r="E614" i="8"/>
  <c r="L608" i="8"/>
  <c r="J605" i="8"/>
  <c r="K636" i="8" s="1"/>
  <c r="C605" i="8"/>
  <c r="D636" i="8" s="1"/>
  <c r="L599" i="8"/>
  <c r="E599" i="8"/>
  <c r="L598" i="8"/>
  <c r="E598" i="8"/>
  <c r="L597" i="8"/>
  <c r="L601" i="8" s="1"/>
  <c r="E597" i="8"/>
  <c r="E601" i="8" s="1"/>
  <c r="L595" i="8"/>
  <c r="E595" i="8"/>
  <c r="L594" i="8"/>
  <c r="E594" i="8"/>
  <c r="Z570" i="8"/>
  <c r="S570" i="8"/>
  <c r="L570" i="8"/>
  <c r="E570" i="8"/>
  <c r="Z569" i="8"/>
  <c r="S569" i="8"/>
  <c r="L569" i="8"/>
  <c r="E569" i="8"/>
  <c r="C567" i="8"/>
  <c r="E567" i="8" s="1"/>
  <c r="Z565" i="8"/>
  <c r="S565" i="8"/>
  <c r="L565" i="8"/>
  <c r="E565" i="8"/>
  <c r="Z564" i="8"/>
  <c r="S564" i="8"/>
  <c r="L564" i="8"/>
  <c r="E564" i="8"/>
  <c r="X555" i="8"/>
  <c r="Y586" i="8" s="1"/>
  <c r="Q555" i="8"/>
  <c r="U555" i="8" s="1"/>
  <c r="J555" i="8"/>
  <c r="K586" i="8" s="1"/>
  <c r="C555" i="8"/>
  <c r="Z549" i="8"/>
  <c r="S549" i="8"/>
  <c r="L549" i="8"/>
  <c r="E549" i="8"/>
  <c r="Z548" i="8"/>
  <c r="S548" i="8"/>
  <c r="L548" i="8"/>
  <c r="E548" i="8"/>
  <c r="Z547" i="8"/>
  <c r="Z551" i="8" s="1"/>
  <c r="S547" i="8"/>
  <c r="S551" i="8" s="1"/>
  <c r="L547" i="8"/>
  <c r="L551" i="8" s="1"/>
  <c r="E547" i="8"/>
  <c r="E551" i="8" s="1"/>
  <c r="Z545" i="8"/>
  <c r="S545" i="8"/>
  <c r="L545" i="8"/>
  <c r="E545" i="8"/>
  <c r="Z544" i="8"/>
  <c r="S544" i="8"/>
  <c r="L544" i="8"/>
  <c r="E544" i="8"/>
  <c r="T521" i="8"/>
  <c r="T520" i="8"/>
  <c r="L520" i="8"/>
  <c r="E520" i="8"/>
  <c r="U519" i="8"/>
  <c r="T519" i="8"/>
  <c r="L519" i="8"/>
  <c r="E519" i="8"/>
  <c r="U518" i="8"/>
  <c r="T518" i="8"/>
  <c r="J517" i="8"/>
  <c r="C517" i="8"/>
  <c r="E517" i="8" s="1"/>
  <c r="U516" i="8"/>
  <c r="L516" i="8"/>
  <c r="L514" i="8"/>
  <c r="E514" i="8"/>
  <c r="T513" i="8"/>
  <c r="T512" i="8"/>
  <c r="U511" i="8"/>
  <c r="T511" i="8"/>
  <c r="U510" i="8"/>
  <c r="T510" i="8"/>
  <c r="U508" i="8"/>
  <c r="T505" i="8"/>
  <c r="L505" i="8"/>
  <c r="E505" i="8"/>
  <c r="G505" i="8" s="1"/>
  <c r="T504" i="8"/>
  <c r="U503" i="8"/>
  <c r="T503" i="8"/>
  <c r="U502" i="8"/>
  <c r="T502" i="8"/>
  <c r="U500" i="8"/>
  <c r="L499" i="8"/>
  <c r="E499" i="8"/>
  <c r="T497" i="8"/>
  <c r="T496" i="8"/>
  <c r="U495" i="8"/>
  <c r="T495" i="8"/>
  <c r="L495" i="8"/>
  <c r="E495" i="8"/>
  <c r="U494" i="8"/>
  <c r="T494" i="8"/>
  <c r="J494" i="8"/>
  <c r="L494" i="8" s="1"/>
  <c r="C494" i="8"/>
  <c r="E494" i="8" s="1"/>
  <c r="U492" i="8"/>
  <c r="T472" i="8"/>
  <c r="T471" i="8"/>
  <c r="L471" i="8"/>
  <c r="E471" i="8"/>
  <c r="U470" i="8"/>
  <c r="T470" i="8"/>
  <c r="L470" i="8"/>
  <c r="E470" i="8"/>
  <c r="U469" i="8"/>
  <c r="T469" i="8"/>
  <c r="J468" i="8"/>
  <c r="C468" i="8"/>
  <c r="U467" i="8"/>
  <c r="L465" i="8"/>
  <c r="E465" i="8"/>
  <c r="T464" i="8"/>
  <c r="T463" i="8"/>
  <c r="U462" i="8"/>
  <c r="T462" i="8"/>
  <c r="U461" i="8"/>
  <c r="T461" i="8"/>
  <c r="U459" i="8"/>
  <c r="T456" i="8"/>
  <c r="L456" i="8"/>
  <c r="E456" i="8"/>
  <c r="G456" i="8" s="1"/>
  <c r="T455" i="8"/>
  <c r="U454" i="8"/>
  <c r="T454" i="8"/>
  <c r="U453" i="8"/>
  <c r="T453" i="8"/>
  <c r="U451" i="8"/>
  <c r="L450" i="8"/>
  <c r="E450" i="8"/>
  <c r="T448" i="8"/>
  <c r="T447" i="8"/>
  <c r="U446" i="8"/>
  <c r="T446" i="8"/>
  <c r="L446" i="8"/>
  <c r="E446" i="8"/>
  <c r="U445" i="8"/>
  <c r="T445" i="8"/>
  <c r="J445" i="8"/>
  <c r="L445" i="8" s="1"/>
  <c r="C445" i="8"/>
  <c r="E445" i="8" s="1"/>
  <c r="U443" i="8"/>
  <c r="L422" i="8"/>
  <c r="E422" i="8"/>
  <c r="L421" i="8"/>
  <c r="E421" i="8"/>
  <c r="J419" i="8"/>
  <c r="C419" i="8"/>
  <c r="E418" i="8"/>
  <c r="C417" i="8"/>
  <c r="E417" i="8" s="1"/>
  <c r="L416" i="8"/>
  <c r="E416" i="8"/>
  <c r="L409" i="8"/>
  <c r="L407" i="8"/>
  <c r="K438" i="8" s="1"/>
  <c r="E407" i="8"/>
  <c r="G407" i="8" s="1"/>
  <c r="L401" i="8"/>
  <c r="E401" i="8"/>
  <c r="L399" i="8"/>
  <c r="L403" i="8" s="1"/>
  <c r="E399" i="8"/>
  <c r="E403" i="8" s="1"/>
  <c r="L397" i="8"/>
  <c r="E397" i="8"/>
  <c r="L396" i="8"/>
  <c r="E396" i="8"/>
  <c r="L373" i="8"/>
  <c r="E373" i="8"/>
  <c r="L372" i="8"/>
  <c r="E372" i="8"/>
  <c r="J370" i="8"/>
  <c r="L370" i="8" s="1"/>
  <c r="C370" i="8"/>
  <c r="E369" i="8"/>
  <c r="C368" i="8"/>
  <c r="E368" i="8" s="1"/>
  <c r="L367" i="8"/>
  <c r="E367" i="8"/>
  <c r="L358" i="8"/>
  <c r="K389" i="8" s="1"/>
  <c r="E358" i="8"/>
  <c r="G358" i="8" s="1"/>
  <c r="L352" i="8"/>
  <c r="L350" i="8"/>
  <c r="L354" i="8" s="1"/>
  <c r="E350" i="8"/>
  <c r="E354" i="8" s="1"/>
  <c r="L348" i="8"/>
  <c r="E348" i="8"/>
  <c r="L347" i="8"/>
  <c r="E347" i="8"/>
  <c r="S226" i="8"/>
  <c r="L226" i="8"/>
  <c r="E226" i="8"/>
  <c r="S225" i="8"/>
  <c r="L225" i="8"/>
  <c r="E225" i="8"/>
  <c r="C223" i="8"/>
  <c r="J222" i="8"/>
  <c r="J223" i="8" s="1"/>
  <c r="S221" i="8"/>
  <c r="L221" i="8"/>
  <c r="E221" i="8"/>
  <c r="S220" i="8"/>
  <c r="L220" i="8"/>
  <c r="E220" i="8"/>
  <c r="P216" i="8"/>
  <c r="I216" i="8"/>
  <c r="Q211" i="8"/>
  <c r="U211" i="8" s="1"/>
  <c r="J211" i="8"/>
  <c r="C211" i="8"/>
  <c r="D242" i="8" s="1"/>
  <c r="S205" i="8"/>
  <c r="L205" i="8"/>
  <c r="E205" i="8"/>
  <c r="S204" i="8"/>
  <c r="L204" i="8"/>
  <c r="E204" i="8"/>
  <c r="S203" i="8"/>
  <c r="S207" i="8" s="1"/>
  <c r="L203" i="8"/>
  <c r="L207" i="8" s="1"/>
  <c r="E203" i="8"/>
  <c r="E207" i="8" s="1"/>
  <c r="S201" i="8"/>
  <c r="L201" i="8"/>
  <c r="E201" i="8"/>
  <c r="S200" i="8"/>
  <c r="L200" i="8"/>
  <c r="E200" i="8"/>
  <c r="S177" i="8"/>
  <c r="L177" i="8"/>
  <c r="E177" i="8"/>
  <c r="S176" i="8"/>
  <c r="L176" i="8"/>
  <c r="E176" i="8"/>
  <c r="C174" i="8"/>
  <c r="S172" i="8"/>
  <c r="L172" i="8"/>
  <c r="E172" i="8"/>
  <c r="S171" i="8"/>
  <c r="L171" i="8"/>
  <c r="E171" i="8"/>
  <c r="Q167" i="8"/>
  <c r="P167" i="8"/>
  <c r="I167" i="8"/>
  <c r="B167" i="8"/>
  <c r="S164" i="8"/>
  <c r="Q162" i="8"/>
  <c r="R193" i="8" s="1"/>
  <c r="J162" i="8"/>
  <c r="K193" i="8" s="1"/>
  <c r="C162" i="8"/>
  <c r="D193" i="8" s="1"/>
  <c r="S156" i="8"/>
  <c r="L156" i="8"/>
  <c r="E156" i="8"/>
  <c r="S155" i="8"/>
  <c r="L155" i="8"/>
  <c r="E155" i="8"/>
  <c r="S154" i="8"/>
  <c r="S158" i="8" s="1"/>
  <c r="L154" i="8"/>
  <c r="L158" i="8" s="1"/>
  <c r="E154" i="8"/>
  <c r="E158" i="8" s="1"/>
  <c r="S152" i="8"/>
  <c r="L152" i="8"/>
  <c r="E152" i="8"/>
  <c r="S151" i="8"/>
  <c r="L151" i="8"/>
  <c r="E151" i="8"/>
  <c r="S128" i="8"/>
  <c r="L128" i="8"/>
  <c r="S127" i="8"/>
  <c r="L127" i="8"/>
  <c r="E127" i="8"/>
  <c r="C125" i="8"/>
  <c r="S123" i="8"/>
  <c r="L123" i="8"/>
  <c r="E123" i="8"/>
  <c r="S122" i="8"/>
  <c r="L122" i="8"/>
  <c r="E122" i="8"/>
  <c r="P118" i="8"/>
  <c r="I118" i="8"/>
  <c r="B118" i="8"/>
  <c r="Q113" i="8"/>
  <c r="R144" i="8" s="1"/>
  <c r="J113" i="8"/>
  <c r="K144" i="8" s="1"/>
  <c r="C113" i="8"/>
  <c r="D144" i="8" s="1"/>
  <c r="S107" i="8"/>
  <c r="L107" i="8"/>
  <c r="E107" i="8"/>
  <c r="S106" i="8"/>
  <c r="L106" i="8"/>
  <c r="E106" i="8"/>
  <c r="S105" i="8"/>
  <c r="S109" i="8" s="1"/>
  <c r="L105" i="8"/>
  <c r="L109" i="8" s="1"/>
  <c r="E105" i="8"/>
  <c r="E109" i="8" s="1"/>
  <c r="S103" i="8"/>
  <c r="L103" i="8"/>
  <c r="E103" i="8"/>
  <c r="S102" i="8"/>
  <c r="L102" i="8"/>
  <c r="E102" i="8"/>
  <c r="K94" i="8"/>
  <c r="D94" i="8"/>
  <c r="L79" i="8"/>
  <c r="E79" i="8"/>
  <c r="L78" i="8"/>
  <c r="E78" i="8"/>
  <c r="J76" i="8"/>
  <c r="L76" i="8" s="1"/>
  <c r="C76" i="8"/>
  <c r="L75" i="8"/>
  <c r="E75" i="8"/>
  <c r="L74" i="8"/>
  <c r="E74" i="8"/>
  <c r="L73" i="8"/>
  <c r="E73" i="8"/>
  <c r="J64" i="8"/>
  <c r="N64" i="8" s="1"/>
  <c r="C64" i="8"/>
  <c r="D95" i="8" s="1"/>
  <c r="L58" i="8"/>
  <c r="E58" i="8"/>
  <c r="L57" i="8"/>
  <c r="E57" i="8"/>
  <c r="M56" i="8"/>
  <c r="L56" i="8"/>
  <c r="L60" i="8" s="1"/>
  <c r="F56" i="8"/>
  <c r="E56" i="8"/>
  <c r="E60" i="8" s="1"/>
  <c r="L54" i="8"/>
  <c r="E54" i="8"/>
  <c r="L53" i="8"/>
  <c r="E53" i="8"/>
  <c r="L30" i="8"/>
  <c r="E30" i="8"/>
  <c r="L29" i="8"/>
  <c r="E29" i="8"/>
  <c r="E28" i="8"/>
  <c r="J27" i="8"/>
  <c r="C27" i="8"/>
  <c r="E27" i="8" s="1"/>
  <c r="E26" i="8"/>
  <c r="L25" i="8"/>
  <c r="E25" i="8"/>
  <c r="L24" i="8"/>
  <c r="E24" i="8"/>
  <c r="E20" i="8"/>
  <c r="E17" i="8"/>
  <c r="J15" i="8"/>
  <c r="K46" i="8" s="1"/>
  <c r="C15" i="8"/>
  <c r="D46" i="8" s="1"/>
  <c r="L9" i="8"/>
  <c r="E9" i="8"/>
  <c r="L8" i="8"/>
  <c r="E8" i="8"/>
  <c r="J7" i="8"/>
  <c r="L7" i="8" s="1"/>
  <c r="L11" i="8" s="1"/>
  <c r="C7" i="8"/>
  <c r="E7" i="8" s="1"/>
  <c r="L5" i="8"/>
  <c r="E5" i="8"/>
  <c r="L4" i="8"/>
  <c r="E4" i="8"/>
  <c r="S14" i="2"/>
  <c r="R28" i="14" s="1"/>
  <c r="R14" i="2"/>
  <c r="Q28" i="14" s="1"/>
  <c r="Q14" i="2"/>
  <c r="P28" i="14" s="1"/>
  <c r="L14" i="2"/>
  <c r="R27" i="14" s="1"/>
  <c r="K14" i="2"/>
  <c r="Q27" i="14" s="1"/>
  <c r="J14" i="2"/>
  <c r="P27" i="14" s="1"/>
  <c r="E14" i="2"/>
  <c r="R26" i="14" s="1"/>
  <c r="D14" i="2"/>
  <c r="Q26" i="14" s="1"/>
  <c r="C14" i="2"/>
  <c r="P26" i="14" s="1"/>
  <c r="E223" i="8" l="1"/>
  <c r="L167" i="8"/>
  <c r="P27" i="12"/>
  <c r="P27" i="13"/>
  <c r="P28" i="12"/>
  <c r="P28" i="13"/>
  <c r="R27" i="12"/>
  <c r="R27" i="13"/>
  <c r="Q28" i="12"/>
  <c r="Q28" i="13"/>
  <c r="P26" i="12"/>
  <c r="P26" i="13"/>
  <c r="Q26" i="12"/>
  <c r="Q26" i="13"/>
  <c r="R26" i="12"/>
  <c r="R26" i="13"/>
  <c r="R28" i="12"/>
  <c r="R28" i="13"/>
  <c r="Q27" i="12"/>
  <c r="Q27" i="13"/>
  <c r="L468" i="8"/>
  <c r="R837" i="8"/>
  <c r="E400" i="8"/>
  <c r="E402" i="8" s="1"/>
  <c r="L216" i="8"/>
  <c r="L217" i="8" s="1"/>
  <c r="J44" i="8"/>
  <c r="Q289" i="8"/>
  <c r="J289" i="8"/>
  <c r="C289" i="8"/>
  <c r="AL338" i="8"/>
  <c r="X338" i="8"/>
  <c r="Q338" i="8"/>
  <c r="C338" i="8"/>
  <c r="AE338" i="8"/>
  <c r="P27" i="5"/>
  <c r="P27" i="1"/>
  <c r="Q27" i="1"/>
  <c r="Q27" i="5"/>
  <c r="R27" i="1"/>
  <c r="R27" i="5"/>
  <c r="P28" i="5"/>
  <c r="P28" i="1"/>
  <c r="Q28" i="5"/>
  <c r="Q28" i="1"/>
  <c r="R28" i="1"/>
  <c r="R28" i="5"/>
  <c r="E468" i="8"/>
  <c r="E174" i="8"/>
  <c r="N407" i="8"/>
  <c r="L617" i="8"/>
  <c r="L27" i="8"/>
  <c r="L31" i="8" s="1"/>
  <c r="C515" i="8"/>
  <c r="E515" i="8" s="1"/>
  <c r="J240" i="8"/>
  <c r="C436" i="8"/>
  <c r="C534" i="8"/>
  <c r="L59" i="8"/>
  <c r="L61" i="8" s="1"/>
  <c r="L62" i="8" s="1"/>
  <c r="L400" i="8"/>
  <c r="L402" i="8" s="1"/>
  <c r="X584" i="8"/>
  <c r="L223" i="8"/>
  <c r="L517" i="8"/>
  <c r="R769" i="8"/>
  <c r="R776" i="8" s="1"/>
  <c r="E419" i="8"/>
  <c r="E76" i="8"/>
  <c r="E80" i="8" s="1"/>
  <c r="L419" i="8"/>
  <c r="R736" i="8"/>
  <c r="R743" i="8" s="1"/>
  <c r="L760" i="8"/>
  <c r="L761" i="8" s="1"/>
  <c r="L762" i="8" s="1"/>
  <c r="R586" i="8"/>
  <c r="E793" i="8"/>
  <c r="E796" i="8" s="1"/>
  <c r="L667" i="8"/>
  <c r="L674" i="8" s="1"/>
  <c r="L902" i="8"/>
  <c r="L903" i="8" s="1"/>
  <c r="L904" i="8" s="1"/>
  <c r="J534" i="8"/>
  <c r="J338" i="8"/>
  <c r="G605" i="8"/>
  <c r="L351" i="8"/>
  <c r="L353" i="8" s="1"/>
  <c r="C93" i="8"/>
  <c r="C240" i="8"/>
  <c r="J191" i="8"/>
  <c r="C634" i="8"/>
  <c r="C191" i="8"/>
  <c r="J634" i="8"/>
  <c r="J436" i="8"/>
  <c r="J93" i="8"/>
  <c r="C485" i="8"/>
  <c r="Q191" i="8"/>
  <c r="J485" i="8"/>
  <c r="J142" i="8"/>
  <c r="Q240" i="8"/>
  <c r="C584" i="8"/>
  <c r="C142" i="8"/>
  <c r="J387" i="8"/>
  <c r="J584" i="8"/>
  <c r="C216" i="8"/>
  <c r="E216" i="8" s="1"/>
  <c r="E217" i="8" s="1"/>
  <c r="C224" i="8" s="1"/>
  <c r="E224" i="8" s="1"/>
  <c r="E227" i="8" s="1"/>
  <c r="Q142" i="8"/>
  <c r="C387" i="8"/>
  <c r="Q584" i="8"/>
  <c r="R26" i="1"/>
  <c r="R26" i="5"/>
  <c r="Q26" i="1"/>
  <c r="Q26" i="5"/>
  <c r="P26" i="5"/>
  <c r="P26" i="1"/>
  <c r="E167" i="8"/>
  <c r="E168" i="8" s="1"/>
  <c r="E187" i="8" s="1"/>
  <c r="L118" i="8"/>
  <c r="L119" i="8" s="1"/>
  <c r="J124" i="8" s="1"/>
  <c r="G410" i="8"/>
  <c r="E370" i="8"/>
  <c r="E125" i="8"/>
  <c r="E118" i="8"/>
  <c r="E119" i="8" s="1"/>
  <c r="C126" i="8" s="1"/>
  <c r="S216" i="8"/>
  <c r="S217" i="8" s="1"/>
  <c r="L611" i="8"/>
  <c r="J618" i="8" s="1"/>
  <c r="L618" i="8" s="1"/>
  <c r="S167" i="8"/>
  <c r="S168" i="8" s="1"/>
  <c r="Q173" i="8" s="1"/>
  <c r="N608" i="8"/>
  <c r="L561" i="8"/>
  <c r="J566" i="8" s="1"/>
  <c r="L413" i="8"/>
  <c r="L432" i="8" s="1"/>
  <c r="E70" i="8"/>
  <c r="E89" i="8" s="1"/>
  <c r="R242" i="8"/>
  <c r="E667" i="8"/>
  <c r="E674" i="8" s="1"/>
  <c r="D389" i="8"/>
  <c r="D536" i="8"/>
  <c r="N605" i="8"/>
  <c r="E726" i="8"/>
  <c r="E727" i="8" s="1"/>
  <c r="E728" i="8" s="1"/>
  <c r="AB555" i="8"/>
  <c r="AD793" i="8"/>
  <c r="AD794" i="8" s="1"/>
  <c r="AD795" i="8" s="1"/>
  <c r="L831" i="8"/>
  <c r="L832" i="8" s="1"/>
  <c r="L833" i="8" s="1"/>
  <c r="K95" i="8"/>
  <c r="L168" i="8"/>
  <c r="J173" i="8" s="1"/>
  <c r="S550" i="8"/>
  <c r="Q552" i="8" s="1"/>
  <c r="S552" i="8" s="1"/>
  <c r="S553" i="8" s="1"/>
  <c r="E692" i="8"/>
  <c r="E695" i="8" s="1"/>
  <c r="C698" i="8"/>
  <c r="L876" i="8"/>
  <c r="L885" i="8" s="1"/>
  <c r="G15" i="8"/>
  <c r="G66" i="8"/>
  <c r="L462" i="8"/>
  <c r="M462" i="8" s="1"/>
  <c r="L692" i="8"/>
  <c r="L693" i="8" s="1"/>
  <c r="L694" i="8" s="1"/>
  <c r="R802" i="8"/>
  <c r="R809" i="8" s="1"/>
  <c r="S157" i="8"/>
  <c r="Q159" i="8" s="1"/>
  <c r="S159" i="8" s="1"/>
  <c r="S160" i="8" s="1"/>
  <c r="G211" i="8"/>
  <c r="E550" i="8"/>
  <c r="C552" i="8" s="1"/>
  <c r="E552" i="8" s="1"/>
  <c r="E553" i="8" s="1"/>
  <c r="L702" i="8"/>
  <c r="L709" i="8" s="1"/>
  <c r="L736" i="8"/>
  <c r="L743" i="8" s="1"/>
  <c r="E769" i="8"/>
  <c r="E776" i="8" s="1"/>
  <c r="E840" i="8"/>
  <c r="E848" i="8" s="1"/>
  <c r="R838" i="8"/>
  <c r="E157" i="8"/>
  <c r="C159" i="8" s="1"/>
  <c r="E159" i="8" s="1"/>
  <c r="E160" i="8" s="1"/>
  <c r="E802" i="8"/>
  <c r="E810" i="8" s="1"/>
  <c r="E21" i="8"/>
  <c r="E38" i="8" s="1"/>
  <c r="G113" i="8"/>
  <c r="L364" i="8"/>
  <c r="L381" i="8" s="1"/>
  <c r="T449" i="8"/>
  <c r="K448" i="8" s="1"/>
  <c r="L448" i="8" s="1"/>
  <c r="T473" i="8"/>
  <c r="D449" i="8" s="1"/>
  <c r="E449" i="8" s="1"/>
  <c r="T522" i="8"/>
  <c r="D498" i="8" s="1"/>
  <c r="E498" i="8" s="1"/>
  <c r="L769" i="8"/>
  <c r="L776" i="8" s="1"/>
  <c r="AD802" i="8"/>
  <c r="AD811" i="8" s="1"/>
  <c r="G17" i="8"/>
  <c r="S108" i="8"/>
  <c r="Q110" i="8" s="1"/>
  <c r="S110" i="8" s="1"/>
  <c r="U162" i="8"/>
  <c r="J417" i="8"/>
  <c r="L417" i="8" s="1"/>
  <c r="T457" i="8"/>
  <c r="D448" i="8" s="1"/>
  <c r="E448" i="8" s="1"/>
  <c r="T498" i="8"/>
  <c r="K497" i="8" s="1"/>
  <c r="L497" i="8" s="1"/>
  <c r="L511" i="8"/>
  <c r="M511" i="8" s="1"/>
  <c r="L657" i="8"/>
  <c r="L660" i="8" s="1"/>
  <c r="E702" i="8"/>
  <c r="E709" i="8" s="1"/>
  <c r="L21" i="8"/>
  <c r="L40" i="8" s="1"/>
  <c r="E31" i="8"/>
  <c r="L550" i="8"/>
  <c r="J552" i="8" s="1"/>
  <c r="L552" i="8" s="1"/>
  <c r="L553" i="8" s="1"/>
  <c r="S561" i="8"/>
  <c r="Q566" i="8" s="1"/>
  <c r="Q567" i="8" s="1"/>
  <c r="S567" i="8" s="1"/>
  <c r="E736" i="8"/>
  <c r="E743" i="8" s="1"/>
  <c r="L108" i="8"/>
  <c r="C466" i="8"/>
  <c r="E466" i="8" s="1"/>
  <c r="E760" i="8"/>
  <c r="E761" i="8" s="1"/>
  <c r="E762" i="8" s="1"/>
  <c r="X802" i="8"/>
  <c r="X809" i="8" s="1"/>
  <c r="E831" i="8"/>
  <c r="E832" i="8" s="1"/>
  <c r="R867" i="8"/>
  <c r="R868" i="8" s="1"/>
  <c r="R869" i="8" s="1"/>
  <c r="L10" i="8"/>
  <c r="L12" i="8" s="1"/>
  <c r="N113" i="8"/>
  <c r="L157" i="8"/>
  <c r="J159" i="8" s="1"/>
  <c r="L159" i="8" s="1"/>
  <c r="L160" i="8" s="1"/>
  <c r="T506" i="8"/>
  <c r="D497" i="8" s="1"/>
  <c r="E497" i="8" s="1"/>
  <c r="Z550" i="8"/>
  <c r="X552" i="8" s="1"/>
  <c r="Z552" i="8" s="1"/>
  <c r="Z553" i="8" s="1"/>
  <c r="X793" i="8"/>
  <c r="X794" i="8" s="1"/>
  <c r="X795" i="8" s="1"/>
  <c r="L793" i="8"/>
  <c r="L796" i="8" s="1"/>
  <c r="E867" i="8"/>
  <c r="E868" i="8" s="1"/>
  <c r="E869" i="8" s="1"/>
  <c r="S118" i="8"/>
  <c r="S119" i="8" s="1"/>
  <c r="D487" i="8"/>
  <c r="R760" i="8"/>
  <c r="R761" i="8" s="1"/>
  <c r="R762" i="8" s="1"/>
  <c r="R793" i="8"/>
  <c r="R796" i="8" s="1"/>
  <c r="E876" i="8"/>
  <c r="E885" i="8" s="1"/>
  <c r="L70" i="8"/>
  <c r="L87" i="8" s="1"/>
  <c r="L80" i="8"/>
  <c r="N15" i="8"/>
  <c r="E108" i="8"/>
  <c r="G115" i="8"/>
  <c r="E364" i="8"/>
  <c r="F364" i="8" s="1"/>
  <c r="N459" i="8"/>
  <c r="Z561" i="8"/>
  <c r="X568" i="8" s="1"/>
  <c r="Z568" i="8" s="1"/>
  <c r="E600" i="8"/>
  <c r="C602" i="8" s="1"/>
  <c r="E602" i="8" s="1"/>
  <c r="R726" i="8"/>
  <c r="R727" i="8" s="1"/>
  <c r="R728" i="8" s="1"/>
  <c r="L840" i="8"/>
  <c r="L848" i="8" s="1"/>
  <c r="R876" i="8"/>
  <c r="R884" i="8" s="1"/>
  <c r="E902" i="8"/>
  <c r="E905" i="8" s="1"/>
  <c r="E11" i="8"/>
  <c r="E10" i="8"/>
  <c r="E12" i="8" s="1"/>
  <c r="E59" i="8"/>
  <c r="G162" i="8"/>
  <c r="N164" i="8"/>
  <c r="E206" i="8"/>
  <c r="C208" i="8" s="1"/>
  <c r="G213" i="8"/>
  <c r="N358" i="8"/>
  <c r="J368" i="8"/>
  <c r="L368" i="8" s="1"/>
  <c r="J466" i="8"/>
  <c r="L466" i="8" s="1"/>
  <c r="K487" i="8"/>
  <c r="N456" i="8"/>
  <c r="J515" i="8"/>
  <c r="L515" i="8" s="1"/>
  <c r="K536" i="8"/>
  <c r="N505" i="8"/>
  <c r="AB557" i="8"/>
  <c r="N17" i="8"/>
  <c r="N66" i="8"/>
  <c r="L222" i="8"/>
  <c r="N162" i="8"/>
  <c r="U164" i="8"/>
  <c r="L206" i="8"/>
  <c r="G64" i="8"/>
  <c r="U113" i="8"/>
  <c r="S206" i="8"/>
  <c r="U213" i="8"/>
  <c r="N360" i="8"/>
  <c r="T465" i="8"/>
  <c r="K449" i="8" s="1"/>
  <c r="L449" i="8" s="1"/>
  <c r="T514" i="8"/>
  <c r="K498" i="8" s="1"/>
  <c r="L498" i="8" s="1"/>
  <c r="E413" i="8"/>
  <c r="D586" i="8"/>
  <c r="G555" i="8"/>
  <c r="N211" i="8"/>
  <c r="K242" i="8"/>
  <c r="E353" i="8"/>
  <c r="N409" i="8"/>
  <c r="D438" i="8"/>
  <c r="E462" i="8"/>
  <c r="E511" i="8"/>
  <c r="L726" i="8"/>
  <c r="L802" i="8"/>
  <c r="R831" i="8"/>
  <c r="X831" i="8"/>
  <c r="L867" i="8"/>
  <c r="E561" i="8"/>
  <c r="G557" i="8"/>
  <c r="AD831" i="8"/>
  <c r="X840" i="8"/>
  <c r="L600" i="8"/>
  <c r="AD840" i="8"/>
  <c r="E911" i="8"/>
  <c r="E611" i="8"/>
  <c r="E657" i="8"/>
  <c r="L911" i="8"/>
  <c r="N555" i="8"/>
  <c r="R840" i="8" l="1"/>
  <c r="L621" i="8"/>
  <c r="E903" i="8"/>
  <c r="E904" i="8" s="1"/>
  <c r="M611" i="8"/>
  <c r="L695" i="8"/>
  <c r="L905" i="8"/>
  <c r="L914" i="8" s="1"/>
  <c r="L847" i="8"/>
  <c r="E729" i="8"/>
  <c r="AD810" i="8"/>
  <c r="E693" i="8"/>
  <c r="E694" i="8" s="1"/>
  <c r="E705" i="8" s="1"/>
  <c r="R870" i="8"/>
  <c r="R882" i="8" s="1"/>
  <c r="C404" i="8"/>
  <c r="E404" i="8" s="1"/>
  <c r="E405" i="8" s="1"/>
  <c r="L849" i="8"/>
  <c r="E870" i="8"/>
  <c r="E882" i="8" s="1"/>
  <c r="C355" i="8"/>
  <c r="E355" i="8" s="1"/>
  <c r="E356" i="8" s="1"/>
  <c r="J355" i="8"/>
  <c r="L355" i="8" s="1"/>
  <c r="L356" i="8" s="1"/>
  <c r="R810" i="8"/>
  <c r="J404" i="8"/>
  <c r="L404" i="8" s="1"/>
  <c r="L405" i="8" s="1"/>
  <c r="Q208" i="8"/>
  <c r="S208" i="8" s="1"/>
  <c r="S209" i="8" s="1"/>
  <c r="J208" i="8"/>
  <c r="L208" i="8" s="1"/>
  <c r="L209" i="8" s="1"/>
  <c r="R811" i="8"/>
  <c r="X796" i="8"/>
  <c r="X808" i="8" s="1"/>
  <c r="L794" i="8"/>
  <c r="L795" i="8" s="1"/>
  <c r="L808" i="8" s="1"/>
  <c r="X810" i="8"/>
  <c r="E849" i="8"/>
  <c r="X811" i="8"/>
  <c r="L834" i="8"/>
  <c r="L846" i="8" s="1"/>
  <c r="E833" i="8"/>
  <c r="J630" i="8"/>
  <c r="L630" i="8" s="1"/>
  <c r="R794" i="8"/>
  <c r="R795" i="8" s="1"/>
  <c r="R808" i="8" s="1"/>
  <c r="L628" i="8"/>
  <c r="E794" i="8"/>
  <c r="E795" i="8" s="1"/>
  <c r="E805" i="8" s="1"/>
  <c r="E883" i="8"/>
  <c r="E884" i="8"/>
  <c r="R883" i="8"/>
  <c r="R763" i="8"/>
  <c r="R772" i="8" s="1"/>
  <c r="L763" i="8"/>
  <c r="L772" i="8" s="1"/>
  <c r="AD796" i="8"/>
  <c r="AD805" i="8" s="1"/>
  <c r="E451" i="8"/>
  <c r="E834" i="8"/>
  <c r="AD809" i="8"/>
  <c r="E501" i="8"/>
  <c r="J110" i="8"/>
  <c r="L110" i="8" s="1"/>
  <c r="L111" i="8" s="1"/>
  <c r="C110" i="8"/>
  <c r="E110" i="8" s="1"/>
  <c r="E111" i="8" s="1"/>
  <c r="L501" i="8"/>
  <c r="E763" i="8"/>
  <c r="E772" i="8" s="1"/>
  <c r="E452" i="8"/>
  <c r="E500" i="8"/>
  <c r="R885" i="8"/>
  <c r="L452" i="8"/>
  <c r="J420" i="8"/>
  <c r="L420" i="8" s="1"/>
  <c r="L423" i="8" s="1"/>
  <c r="E138" i="8"/>
  <c r="E126" i="8"/>
  <c r="E129" i="8" s="1"/>
  <c r="L430" i="8"/>
  <c r="L500" i="8"/>
  <c r="L451" i="8"/>
  <c r="J453" i="8" s="1"/>
  <c r="S566" i="8"/>
  <c r="S578" i="8"/>
  <c r="T561" i="8"/>
  <c r="M413" i="8"/>
  <c r="X580" i="8"/>
  <c r="Z580" i="8" s="1"/>
  <c r="Z578" i="8"/>
  <c r="AA561" i="8"/>
  <c r="Q580" i="8"/>
  <c r="S580" i="8" s="1"/>
  <c r="Q568" i="8"/>
  <c r="S568" i="8" s="1"/>
  <c r="L578" i="8"/>
  <c r="J568" i="8"/>
  <c r="L568" i="8" s="1"/>
  <c r="M561" i="8"/>
  <c r="J580" i="8"/>
  <c r="L580" i="8" s="1"/>
  <c r="L528" i="8"/>
  <c r="J469" i="8"/>
  <c r="L469" i="8" s="1"/>
  <c r="L472" i="8" s="1"/>
  <c r="L479" i="8"/>
  <c r="L481" i="8"/>
  <c r="J371" i="8"/>
  <c r="L371" i="8" s="1"/>
  <c r="L374" i="8" s="1"/>
  <c r="L383" i="8"/>
  <c r="M364" i="8"/>
  <c r="F168" i="8"/>
  <c r="E185" i="8"/>
  <c r="C175" i="8"/>
  <c r="E175" i="8" s="1"/>
  <c r="E178" i="8" s="1"/>
  <c r="E181" i="8" s="1"/>
  <c r="L187" i="8"/>
  <c r="M168" i="8"/>
  <c r="L185" i="8"/>
  <c r="J175" i="8"/>
  <c r="L175" i="8" s="1"/>
  <c r="S187" i="8"/>
  <c r="S185" i="8"/>
  <c r="Q175" i="8"/>
  <c r="S175" i="8" s="1"/>
  <c r="T168" i="8"/>
  <c r="L136" i="8"/>
  <c r="F119" i="8"/>
  <c r="E136" i="8"/>
  <c r="E87" i="8"/>
  <c r="F70" i="8"/>
  <c r="L89" i="8"/>
  <c r="M70" i="8"/>
  <c r="M21" i="8"/>
  <c r="Q21" i="8" s="1"/>
  <c r="L38" i="8"/>
  <c r="F21" i="8"/>
  <c r="Q37" i="8" s="1"/>
  <c r="S136" i="8"/>
  <c r="Q126" i="8"/>
  <c r="S126" i="8" s="1"/>
  <c r="S138" i="8"/>
  <c r="T119" i="8"/>
  <c r="Q124" i="8"/>
  <c r="Q125" i="8" s="1"/>
  <c r="S125" i="8" s="1"/>
  <c r="L883" i="8"/>
  <c r="M119" i="8"/>
  <c r="L13" i="8"/>
  <c r="M13" i="8" s="1"/>
  <c r="Q2" i="8" s="1"/>
  <c r="E40" i="8"/>
  <c r="E809" i="8"/>
  <c r="E811" i="8"/>
  <c r="J518" i="8"/>
  <c r="L518" i="8" s="1"/>
  <c r="L521" i="8" s="1"/>
  <c r="E847" i="8"/>
  <c r="L884" i="8"/>
  <c r="L530" i="8"/>
  <c r="X566" i="8"/>
  <c r="Z566" i="8" s="1"/>
  <c r="L138" i="8"/>
  <c r="J126" i="8"/>
  <c r="L126" i="8" s="1"/>
  <c r="L658" i="8"/>
  <c r="L659" i="8" s="1"/>
  <c r="E381" i="8"/>
  <c r="E383" i="8"/>
  <c r="C371" i="8"/>
  <c r="E371" i="8" s="1"/>
  <c r="E374" i="8" s="1"/>
  <c r="E603" i="8"/>
  <c r="C629" i="8" s="1"/>
  <c r="E629" i="8" s="1"/>
  <c r="R729" i="8"/>
  <c r="R742" i="8" s="1"/>
  <c r="S111" i="8"/>
  <c r="T111" i="8" s="1"/>
  <c r="T553" i="8"/>
  <c r="Q579" i="8"/>
  <c r="S579" i="8" s="1"/>
  <c r="E914" i="8"/>
  <c r="E917" i="8"/>
  <c r="X579" i="8"/>
  <c r="Z579" i="8" s="1"/>
  <c r="AA553" i="8"/>
  <c r="C186" i="8"/>
  <c r="E186" i="8" s="1"/>
  <c r="F160" i="8"/>
  <c r="T160" i="8"/>
  <c r="Q186" i="8"/>
  <c r="S186" i="8" s="1"/>
  <c r="L708" i="8"/>
  <c r="L705" i="8"/>
  <c r="M160" i="8"/>
  <c r="J186" i="8"/>
  <c r="L186" i="8" s="1"/>
  <c r="C579" i="8"/>
  <c r="E579" i="8" s="1"/>
  <c r="F553" i="8"/>
  <c r="J579" i="8"/>
  <c r="L579" i="8" s="1"/>
  <c r="M553" i="8"/>
  <c r="L917" i="8"/>
  <c r="E658" i="8"/>
  <c r="E659" i="8" s="1"/>
  <c r="E660" i="8"/>
  <c r="E430" i="8"/>
  <c r="E432" i="8"/>
  <c r="F413" i="8"/>
  <c r="C420" i="8"/>
  <c r="E420" i="8" s="1"/>
  <c r="E423" i="8" s="1"/>
  <c r="E208" i="8"/>
  <c r="E209" i="8" s="1"/>
  <c r="Q174" i="8"/>
  <c r="S174" i="8" s="1"/>
  <c r="S173" i="8"/>
  <c r="E742" i="8"/>
  <c r="E739" i="8"/>
  <c r="E479" i="8"/>
  <c r="E481" i="8"/>
  <c r="F462" i="8"/>
  <c r="C469" i="8"/>
  <c r="E469" i="8" s="1"/>
  <c r="E472" i="8" s="1"/>
  <c r="R849" i="8"/>
  <c r="R847" i="8"/>
  <c r="R848" i="8"/>
  <c r="L236" i="8"/>
  <c r="L234" i="8"/>
  <c r="J224" i="8"/>
  <c r="L224" i="8" s="1"/>
  <c r="L227" i="8" s="1"/>
  <c r="M217" i="8"/>
  <c r="E628" i="8"/>
  <c r="C618" i="8"/>
  <c r="E618" i="8" s="1"/>
  <c r="E621" i="8" s="1"/>
  <c r="C630" i="8"/>
  <c r="E630" i="8" s="1"/>
  <c r="F611" i="8"/>
  <c r="F561" i="8"/>
  <c r="C580" i="8"/>
  <c r="E580" i="8" s="1"/>
  <c r="C568" i="8"/>
  <c r="E568" i="8" s="1"/>
  <c r="E571" i="8" s="1"/>
  <c r="E574" i="8" s="1"/>
  <c r="E578" i="8"/>
  <c r="L868" i="8"/>
  <c r="L869" i="8" s="1"/>
  <c r="L870" i="8"/>
  <c r="L727" i="8"/>
  <c r="L728" i="8" s="1"/>
  <c r="L729" i="8"/>
  <c r="J602" i="8"/>
  <c r="L602" i="8" s="1"/>
  <c r="L603" i="8" s="1"/>
  <c r="X834" i="8"/>
  <c r="X832" i="8"/>
  <c r="X833" i="8" s="1"/>
  <c r="J567" i="8"/>
  <c r="L567" i="8" s="1"/>
  <c r="L566" i="8"/>
  <c r="S236" i="8"/>
  <c r="Q222" i="8"/>
  <c r="Q224" i="8"/>
  <c r="S224" i="8" s="1"/>
  <c r="S234" i="8"/>
  <c r="T217" i="8"/>
  <c r="L173" i="8"/>
  <c r="J174" i="8"/>
  <c r="L174" i="8" s="1"/>
  <c r="L88" i="8"/>
  <c r="M62" i="8"/>
  <c r="L83" i="8"/>
  <c r="AD834" i="8"/>
  <c r="AD832" i="8"/>
  <c r="AD833" i="8" s="1"/>
  <c r="E920" i="8"/>
  <c r="E919" i="8"/>
  <c r="E918" i="8"/>
  <c r="E61" i="8"/>
  <c r="E62" i="8" s="1"/>
  <c r="E13" i="8"/>
  <c r="L811" i="8"/>
  <c r="L809" i="8"/>
  <c r="L810" i="8"/>
  <c r="E528" i="8"/>
  <c r="E530" i="8"/>
  <c r="F511" i="8"/>
  <c r="C518" i="8"/>
  <c r="E518" i="8" s="1"/>
  <c r="E521" i="8" s="1"/>
  <c r="L920" i="8"/>
  <c r="L919" i="8"/>
  <c r="L918" i="8"/>
  <c r="R834" i="8"/>
  <c r="R832" i="8"/>
  <c r="R833" i="8" s="1"/>
  <c r="AD849" i="8"/>
  <c r="AD847" i="8"/>
  <c r="AD848" i="8"/>
  <c r="X849" i="8"/>
  <c r="X847" i="8"/>
  <c r="X848" i="8"/>
  <c r="L124" i="8"/>
  <c r="J125" i="8"/>
  <c r="L125" i="8" s="1"/>
  <c r="F217" i="8"/>
  <c r="E236" i="8"/>
  <c r="E234" i="8"/>
  <c r="Q29" i="8" l="1"/>
  <c r="R805" i="8"/>
  <c r="X805" i="8"/>
  <c r="L805" i="8"/>
  <c r="E775" i="8"/>
  <c r="AD808" i="8"/>
  <c r="R879" i="8"/>
  <c r="R886" i="8" s="1"/>
  <c r="L843" i="8"/>
  <c r="L850" i="8" s="1"/>
  <c r="L775" i="8"/>
  <c r="L777" i="8" s="1"/>
  <c r="E879" i="8"/>
  <c r="E886" i="8" s="1"/>
  <c r="E708" i="8"/>
  <c r="E710" i="8" s="1"/>
  <c r="E711" i="8" s="1"/>
  <c r="C502" i="8"/>
  <c r="E502" i="8" s="1"/>
  <c r="E503" i="8" s="1"/>
  <c r="F503" i="8" s="1"/>
  <c r="J502" i="8"/>
  <c r="L502" i="8" s="1"/>
  <c r="L503" i="8" s="1"/>
  <c r="M503" i="8" s="1"/>
  <c r="C453" i="8"/>
  <c r="E453" i="8" s="1"/>
  <c r="E454" i="8" s="1"/>
  <c r="E808" i="8"/>
  <c r="E812" i="8" s="1"/>
  <c r="E843" i="8"/>
  <c r="R775" i="8"/>
  <c r="R777" i="8" s="1"/>
  <c r="R778" i="8" s="1"/>
  <c r="R739" i="8"/>
  <c r="R744" i="8" s="1"/>
  <c r="F603" i="8"/>
  <c r="E846" i="8"/>
  <c r="E624" i="8"/>
  <c r="C137" i="8"/>
  <c r="E137" i="8" s="1"/>
  <c r="F111" i="8"/>
  <c r="J137" i="8"/>
  <c r="L137" i="8" s="1"/>
  <c r="M111" i="8"/>
  <c r="E132" i="8"/>
  <c r="L453" i="8"/>
  <c r="L454" i="8" s="1"/>
  <c r="S571" i="8"/>
  <c r="S574" i="8" s="1"/>
  <c r="S178" i="8"/>
  <c r="S181" i="8" s="1"/>
  <c r="S124" i="8"/>
  <c r="S129" i="8" s="1"/>
  <c r="S132" i="8" s="1"/>
  <c r="L39" i="8"/>
  <c r="X567" i="8"/>
  <c r="Z567" i="8" s="1"/>
  <c r="Z571" i="8" s="1"/>
  <c r="Z574" i="8" s="1"/>
  <c r="L34" i="8"/>
  <c r="L673" i="8"/>
  <c r="L670" i="8"/>
  <c r="L675" i="8" s="1"/>
  <c r="L676" i="8" s="1"/>
  <c r="L571" i="8"/>
  <c r="L574" i="8" s="1"/>
  <c r="Q137" i="8"/>
  <c r="S137" i="8" s="1"/>
  <c r="L426" i="8"/>
  <c r="L431" i="8"/>
  <c r="M405" i="8"/>
  <c r="X846" i="8"/>
  <c r="X843" i="8"/>
  <c r="E377" i="8"/>
  <c r="F356" i="8"/>
  <c r="C382" i="8"/>
  <c r="E382" i="8" s="1"/>
  <c r="L382" i="8"/>
  <c r="M356" i="8"/>
  <c r="L377" i="8"/>
  <c r="E34" i="8"/>
  <c r="C39" i="8"/>
  <c r="E39" i="8" s="1"/>
  <c r="F13" i="8"/>
  <c r="Q18" i="8" s="1"/>
  <c r="Q10" i="8" s="1"/>
  <c r="L624" i="8"/>
  <c r="M603" i="8"/>
  <c r="J629" i="8"/>
  <c r="L629" i="8" s="1"/>
  <c r="F405" i="8"/>
  <c r="E426" i="8"/>
  <c r="C431" i="8"/>
  <c r="E431" i="8" s="1"/>
  <c r="F209" i="8"/>
  <c r="E230" i="8"/>
  <c r="E235" i="8"/>
  <c r="L230" i="8"/>
  <c r="L235" i="8"/>
  <c r="M209" i="8"/>
  <c r="S235" i="8"/>
  <c r="T209" i="8"/>
  <c r="E673" i="8"/>
  <c r="E670" i="8"/>
  <c r="S222" i="8"/>
  <c r="Q223" i="8"/>
  <c r="S223" i="8" s="1"/>
  <c r="L921" i="8"/>
  <c r="L923" i="8" s="1"/>
  <c r="E83" i="8"/>
  <c r="E88" i="8"/>
  <c r="F62" i="8"/>
  <c r="E921" i="8"/>
  <c r="E923" i="8" s="1"/>
  <c r="L129" i="8"/>
  <c r="L132" i="8" s="1"/>
  <c r="X812" i="8"/>
  <c r="X813" i="8" s="1"/>
  <c r="L882" i="8"/>
  <c r="L879" i="8"/>
  <c r="E777" i="8"/>
  <c r="E779" i="8" s="1"/>
  <c r="L812" i="8"/>
  <c r="L742" i="8"/>
  <c r="L739" i="8"/>
  <c r="L178" i="8"/>
  <c r="L181" i="8" s="1"/>
  <c r="AD812" i="8"/>
  <c r="L710" i="8"/>
  <c r="R846" i="8"/>
  <c r="R843" i="8"/>
  <c r="AD843" i="8"/>
  <c r="AD846" i="8"/>
  <c r="R812" i="8"/>
  <c r="R813" i="8" s="1"/>
  <c r="E744" i="8"/>
  <c r="E745" i="8" s="1"/>
  <c r="Q6" i="8" l="1"/>
  <c r="Q14" i="8"/>
  <c r="Q12" i="8"/>
  <c r="Q13" i="8" s="1"/>
  <c r="Q11" i="8"/>
  <c r="Q25" i="8"/>
  <c r="Q33" i="8"/>
  <c r="E850" i="8"/>
  <c r="E475" i="8"/>
  <c r="F454" i="8"/>
  <c r="C480" i="8"/>
  <c r="E480" i="8" s="1"/>
  <c r="E524" i="8"/>
  <c r="C529" i="8"/>
  <c r="E529" i="8" s="1"/>
  <c r="J480" i="8"/>
  <c r="L480" i="8" s="1"/>
  <c r="L475" i="8"/>
  <c r="J529" i="8"/>
  <c r="L529" i="8" s="1"/>
  <c r="L524" i="8"/>
  <c r="M454" i="8"/>
  <c r="S227" i="8"/>
  <c r="S230" i="8" s="1"/>
  <c r="E781" i="8"/>
  <c r="E784" i="8" s="1"/>
  <c r="L925" i="8"/>
  <c r="L928" i="8" s="1"/>
  <c r="R850" i="8"/>
  <c r="E675" i="8"/>
  <c r="E676" i="8" s="1"/>
  <c r="E887" i="8"/>
  <c r="E888" i="8" s="1"/>
  <c r="E889" i="8" s="1"/>
  <c r="L744" i="8"/>
  <c r="R779" i="8"/>
  <c r="R780" i="8" s="1"/>
  <c r="R781" i="8" s="1"/>
  <c r="E712" i="8"/>
  <c r="R887" i="8"/>
  <c r="R888" i="8" s="1"/>
  <c r="X814" i="8"/>
  <c r="R814" i="8"/>
  <c r="R815" i="8" s="1"/>
  <c r="R745" i="8"/>
  <c r="R746" i="8" s="1"/>
  <c r="E813" i="8"/>
  <c r="AD813" i="8"/>
  <c r="AD814" i="8" s="1"/>
  <c r="L813" i="8"/>
  <c r="L814" i="8" s="1"/>
  <c r="E925" i="8"/>
  <c r="E928" i="8" s="1"/>
  <c r="E851" i="8"/>
  <c r="E746" i="8"/>
  <c r="E748" i="8" s="1"/>
  <c r="L851" i="8"/>
  <c r="L886" i="8"/>
  <c r="L887" i="8" s="1"/>
  <c r="L778" i="8"/>
  <c r="L677" i="8"/>
  <c r="L678" i="8" s="1"/>
  <c r="AD850" i="8"/>
  <c r="L711" i="8"/>
  <c r="X850" i="8"/>
  <c r="X851" i="8" s="1"/>
  <c r="Q16" i="8" l="1"/>
  <c r="Q17" i="8" s="1"/>
  <c r="Q8" i="8"/>
  <c r="Q9" i="8" s="1"/>
  <c r="Q4" i="8"/>
  <c r="Q31" i="8"/>
  <c r="Q35" i="8"/>
  <c r="Q36" i="8" s="1"/>
  <c r="Q27" i="8"/>
  <c r="Q28" i="8" s="1"/>
  <c r="Q23" i="8"/>
  <c r="R889" i="8"/>
  <c r="R890" i="8" s="1"/>
  <c r="AD815" i="8"/>
  <c r="E890" i="8"/>
  <c r="E893" i="8" s="1"/>
  <c r="F893" i="8" s="1"/>
  <c r="R784" i="8"/>
  <c r="E751" i="8"/>
  <c r="R816" i="8"/>
  <c r="R819" i="8" s="1"/>
  <c r="S819" i="8" s="1"/>
  <c r="X852" i="8"/>
  <c r="AD851" i="8"/>
  <c r="AD852" i="8" s="1"/>
  <c r="AD853" i="8" s="1"/>
  <c r="L712" i="8"/>
  <c r="L713" i="8" s="1"/>
  <c r="E677" i="8"/>
  <c r="E678" i="8" s="1"/>
  <c r="E679" i="8" s="1"/>
  <c r="R851" i="8"/>
  <c r="E852" i="8"/>
  <c r="E853" i="8" s="1"/>
  <c r="L745" i="8"/>
  <c r="L779" i="8"/>
  <c r="L852" i="8"/>
  <c r="L853" i="8" s="1"/>
  <c r="X815" i="8"/>
  <c r="X816" i="8" s="1"/>
  <c r="L679" i="8"/>
  <c r="L682" i="8" s="1"/>
  <c r="M682" i="8" s="1"/>
  <c r="E814" i="8"/>
  <c r="E815" i="8" s="1"/>
  <c r="E816" i="8" s="1"/>
  <c r="R747" i="8"/>
  <c r="R748" i="8" s="1"/>
  <c r="R751" i="8" s="1"/>
  <c r="L815" i="8"/>
  <c r="L816" i="8" s="1"/>
  <c r="L819" i="8" s="1"/>
  <c r="L888" i="8"/>
  <c r="E713" i="8"/>
  <c r="E714" i="8" s="1"/>
  <c r="E717" i="8" s="1"/>
  <c r="Q7" i="8" l="1"/>
  <c r="Q15" i="8"/>
  <c r="Q5" i="8"/>
  <c r="Q3" i="8"/>
  <c r="Q34" i="8"/>
  <c r="Q24" i="8"/>
  <c r="Q22" i="8"/>
  <c r="Q26" i="8"/>
  <c r="Q32" i="8"/>
  <c r="Q30" i="8"/>
  <c r="R893" i="8"/>
  <c r="S893" i="8" s="1"/>
  <c r="F717" i="8"/>
  <c r="F715" i="8"/>
  <c r="E854" i="8"/>
  <c r="E857" i="8" s="1"/>
  <c r="F857" i="8" s="1"/>
  <c r="M822" i="8"/>
  <c r="M819" i="8"/>
  <c r="L822" i="8"/>
  <c r="L746" i="8"/>
  <c r="L747" i="8" s="1"/>
  <c r="L780" i="8"/>
  <c r="L781" i="8" s="1"/>
  <c r="L784" i="8" s="1"/>
  <c r="E819" i="8"/>
  <c r="F819" i="8" s="1"/>
  <c r="AD816" i="8"/>
  <c r="AD819" i="8" s="1"/>
  <c r="AE819" i="8" s="1"/>
  <c r="L854" i="8"/>
  <c r="L857" i="8" s="1"/>
  <c r="X853" i="8"/>
  <c r="X854" i="8" s="1"/>
  <c r="X819" i="8"/>
  <c r="Y819" i="8" s="1"/>
  <c r="AD854" i="8"/>
  <c r="AD857" i="8" s="1"/>
  <c r="AE857" i="8" s="1"/>
  <c r="L889" i="8"/>
  <c r="L890" i="8" s="1"/>
  <c r="L893" i="8" s="1"/>
  <c r="M893" i="8" s="1"/>
  <c r="R852" i="8"/>
  <c r="E682" i="8"/>
  <c r="F682" i="8" s="1"/>
  <c r="L714" i="8"/>
  <c r="L717" i="8" s="1"/>
  <c r="M717" i="8" l="1"/>
  <c r="M715" i="8"/>
  <c r="X857" i="8"/>
  <c r="Y857" i="8" s="1"/>
  <c r="L748" i="8"/>
  <c r="L751" i="8" s="1"/>
  <c r="M860" i="8"/>
  <c r="M857" i="8"/>
  <c r="L860" i="8"/>
  <c r="R853" i="8"/>
  <c r="R854" i="8" l="1"/>
  <c r="R857" i="8" s="1"/>
  <c r="S857" i="8" s="1"/>
  <c r="C42" i="1" l="1"/>
  <c r="C40" i="1"/>
  <c r="D40" i="1" s="1"/>
  <c r="C38" i="1"/>
  <c r="D42" i="1" l="1"/>
  <c r="B21" i="1" l="1"/>
  <c r="D21" i="1" s="1"/>
  <c r="C17" i="1"/>
  <c r="CV46" i="5"/>
  <c r="CW46" i="5" s="1"/>
  <c r="CO46" i="5"/>
  <c r="BF46" i="5"/>
  <c r="BG46" i="5" s="1"/>
  <c r="AY46" i="5"/>
  <c r="BI46" i="5" s="1"/>
  <c r="BJ46" i="5" s="1"/>
  <c r="D52" i="1"/>
  <c r="D26" i="5"/>
  <c r="Q10" i="1"/>
  <c r="R10" i="1"/>
  <c r="S10" i="1"/>
  <c r="T10" i="1"/>
  <c r="U10" i="1"/>
  <c r="W10" i="1"/>
  <c r="D19" i="5"/>
  <c r="D24" i="5"/>
  <c r="D25" i="5"/>
  <c r="D27" i="5"/>
  <c r="D29" i="5"/>
  <c r="D30" i="5"/>
  <c r="D34" i="5"/>
  <c r="D35" i="5"/>
  <c r="D36" i="5"/>
  <c r="D57" i="5"/>
  <c r="D58" i="5"/>
  <c r="B62" i="5"/>
  <c r="B63" i="5" s="1"/>
  <c r="D63" i="5" s="1"/>
  <c r="D18" i="1"/>
  <c r="B20" i="1"/>
  <c r="D20" i="1" s="1"/>
  <c r="B22" i="1"/>
  <c r="D22" i="1" s="1"/>
  <c r="D23" i="1"/>
  <c r="B25" i="1"/>
  <c r="D25" i="1" s="1"/>
  <c r="B26" i="1"/>
  <c r="D26" i="1" s="1"/>
  <c r="D27" i="1"/>
  <c r="D30" i="1"/>
  <c r="V10" i="1"/>
  <c r="B58" i="1"/>
  <c r="D58" i="1" s="1"/>
  <c r="CC24" i="5"/>
  <c r="CF24" i="5" s="1"/>
  <c r="CP24" i="5" s="1"/>
  <c r="CJ24" i="5"/>
  <c r="CK24" i="5" s="1"/>
  <c r="CV49" i="5"/>
  <c r="CW49" i="5" s="1"/>
  <c r="CO49" i="5"/>
  <c r="CY49" i="5" s="1"/>
  <c r="CZ49" i="5" s="1"/>
  <c r="CV48" i="5"/>
  <c r="CW48" i="5" s="1"/>
  <c r="CO48" i="5"/>
  <c r="CR48" i="5" s="1"/>
  <c r="CV45" i="5"/>
  <c r="CW45" i="5" s="1"/>
  <c r="CO45" i="5"/>
  <c r="CY45" i="5" s="1"/>
  <c r="CZ45" i="5" s="1"/>
  <c r="CV44" i="5"/>
  <c r="CW44" i="5" s="1"/>
  <c r="CO44" i="5"/>
  <c r="CR44" i="5" s="1"/>
  <c r="CV43" i="5"/>
  <c r="CW43" i="5" s="1"/>
  <c r="CO43" i="5"/>
  <c r="CV42" i="5"/>
  <c r="CW42" i="5" s="1"/>
  <c r="CO42" i="5"/>
  <c r="CY42" i="5" s="1"/>
  <c r="CZ42" i="5" s="1"/>
  <c r="CV41" i="5"/>
  <c r="CW41" i="5" s="1"/>
  <c r="CO41" i="5"/>
  <c r="CR41" i="5" s="1"/>
  <c r="DB41" i="5" s="1"/>
  <c r="CV40" i="5"/>
  <c r="CW40" i="5" s="1"/>
  <c r="CO40" i="5"/>
  <c r="CR40" i="5" s="1"/>
  <c r="CU40" i="5" s="1"/>
  <c r="DE40" i="5" s="1"/>
  <c r="DF40" i="5" s="1"/>
  <c r="CV39" i="5"/>
  <c r="CW39" i="5" s="1"/>
  <c r="CO39" i="5"/>
  <c r="CR39" i="5" s="1"/>
  <c r="CV38" i="5"/>
  <c r="CW38" i="5" s="1"/>
  <c r="CO38" i="5"/>
  <c r="CY38" i="5" s="1"/>
  <c r="CZ38" i="5" s="1"/>
  <c r="CV37" i="5"/>
  <c r="CW37" i="5" s="1"/>
  <c r="CO37" i="5"/>
  <c r="CR37" i="5" s="1"/>
  <c r="CV36" i="5"/>
  <c r="CW36" i="5" s="1"/>
  <c r="CO36" i="5"/>
  <c r="CV35" i="5"/>
  <c r="CW35" i="5" s="1"/>
  <c r="CO35" i="5"/>
  <c r="CY35" i="5" s="1"/>
  <c r="CZ35" i="5" s="1"/>
  <c r="CV34" i="5"/>
  <c r="CW34" i="5" s="1"/>
  <c r="CO34" i="5"/>
  <c r="CR34" i="5" s="1"/>
  <c r="CV33" i="5"/>
  <c r="CW33" i="5" s="1"/>
  <c r="CO33" i="5"/>
  <c r="CR33" i="5" s="1"/>
  <c r="CU33" i="5" s="1"/>
  <c r="DE33" i="5" s="1"/>
  <c r="DF33" i="5" s="1"/>
  <c r="CV32" i="5"/>
  <c r="CW32" i="5" s="1"/>
  <c r="CO32" i="5"/>
  <c r="CY32" i="5" s="1"/>
  <c r="CZ32" i="5" s="1"/>
  <c r="CV30" i="5"/>
  <c r="CW30" i="5" s="1"/>
  <c r="CO30" i="5"/>
  <c r="CR30" i="5" s="1"/>
  <c r="CU30" i="5" s="1"/>
  <c r="DE30" i="5" s="1"/>
  <c r="DF30" i="5" s="1"/>
  <c r="CV29" i="5"/>
  <c r="CW29" i="5" s="1"/>
  <c r="CO29" i="5"/>
  <c r="CR29" i="5" s="1"/>
  <c r="CU29" i="5" s="1"/>
  <c r="DE29" i="5" s="1"/>
  <c r="DF29" i="5" s="1"/>
  <c r="CV28" i="5"/>
  <c r="CW28" i="5" s="1"/>
  <c r="CO28" i="5"/>
  <c r="CV27" i="5"/>
  <c r="CW27" i="5" s="1"/>
  <c r="CO27" i="5"/>
  <c r="CR27" i="5" s="1"/>
  <c r="DB27" i="5" s="1"/>
  <c r="CJ26" i="5"/>
  <c r="CK26" i="5" s="1"/>
  <c r="CC26" i="5"/>
  <c r="CF26" i="5" s="1"/>
  <c r="CI26" i="5" s="1"/>
  <c r="CS26" i="5" s="1"/>
  <c r="CT26" i="5" s="1"/>
  <c r="CJ25" i="5"/>
  <c r="CK25" i="5" s="1"/>
  <c r="CC25" i="5"/>
  <c r="CJ23" i="5"/>
  <c r="CK23" i="5" s="1"/>
  <c r="CC23" i="5"/>
  <c r="CF23" i="5" s="1"/>
  <c r="CP23" i="5" s="1"/>
  <c r="CJ22" i="5"/>
  <c r="CK22" i="5" s="1"/>
  <c r="CC22" i="5"/>
  <c r="CF22" i="5" s="1"/>
  <c r="CJ21" i="5"/>
  <c r="CK21" i="5" s="1"/>
  <c r="CC21" i="5"/>
  <c r="CM21" i="5" s="1"/>
  <c r="CN21" i="5" s="1"/>
  <c r="CJ20" i="5"/>
  <c r="CK20" i="5" s="1"/>
  <c r="CC20" i="5"/>
  <c r="CM20" i="5" s="1"/>
  <c r="CN20" i="5" s="1"/>
  <c r="CJ19" i="5"/>
  <c r="CK19" i="5" s="1"/>
  <c r="CC19" i="5"/>
  <c r="CF19" i="5" s="1"/>
  <c r="CJ18" i="5"/>
  <c r="CK18" i="5" s="1"/>
  <c r="CC18" i="5"/>
  <c r="CF18" i="5" s="1"/>
  <c r="CI18" i="5" s="1"/>
  <c r="CS18" i="5" s="1"/>
  <c r="CT18" i="5" s="1"/>
  <c r="CJ17" i="5"/>
  <c r="CK17" i="5" s="1"/>
  <c r="CC17" i="5"/>
  <c r="CM17" i="5" s="1"/>
  <c r="CN17" i="5" s="1"/>
  <c r="CJ16" i="5"/>
  <c r="CK16" i="5" s="1"/>
  <c r="CC16" i="5"/>
  <c r="CM16" i="5" s="1"/>
  <c r="CN16" i="5" s="1"/>
  <c r="CJ15" i="5"/>
  <c r="CK15" i="5" s="1"/>
  <c r="CC15" i="5"/>
  <c r="CM15" i="5" s="1"/>
  <c r="CN15" i="5" s="1"/>
  <c r="CJ14" i="5"/>
  <c r="CK14" i="5" s="1"/>
  <c r="CC14" i="5"/>
  <c r="CJ13" i="5"/>
  <c r="CK13" i="5" s="1"/>
  <c r="CC13" i="5"/>
  <c r="CF13" i="5" s="1"/>
  <c r="CP13" i="5" s="1"/>
  <c r="CJ12" i="5"/>
  <c r="CK12" i="5" s="1"/>
  <c r="CC12" i="5"/>
  <c r="CF12" i="5" s="1"/>
  <c r="CJ7" i="5"/>
  <c r="CK7" i="5" s="1"/>
  <c r="CC7" i="5"/>
  <c r="CF7" i="5" s="1"/>
  <c r="CJ6" i="5"/>
  <c r="CK6" i="5" s="1"/>
  <c r="CC6" i="5"/>
  <c r="CM6" i="5" s="1"/>
  <c r="CN6" i="5" s="1"/>
  <c r="CJ5" i="5"/>
  <c r="CK5" i="5" s="1"/>
  <c r="CC5" i="5"/>
  <c r="CM5" i="5" s="1"/>
  <c r="CN5" i="5" s="1"/>
  <c r="CJ4" i="5"/>
  <c r="CK4" i="5" s="1"/>
  <c r="CC4" i="5"/>
  <c r="CF4" i="5" s="1"/>
  <c r="AY34" i="5"/>
  <c r="BI34" i="5" s="1"/>
  <c r="BJ34" i="5" s="1"/>
  <c r="BF34" i="5"/>
  <c r="BG34" i="5" s="1"/>
  <c r="AY35" i="5"/>
  <c r="BB35" i="5" s="1"/>
  <c r="BF35" i="5"/>
  <c r="BG35" i="5" s="1"/>
  <c r="AY36" i="5"/>
  <c r="BI36" i="5" s="1"/>
  <c r="BJ36" i="5" s="1"/>
  <c r="BF36" i="5"/>
  <c r="BG36" i="5" s="1"/>
  <c r="AY37" i="5"/>
  <c r="BB37" i="5" s="1"/>
  <c r="BF37" i="5"/>
  <c r="BG37" i="5" s="1"/>
  <c r="AY38" i="5"/>
  <c r="BB38" i="5" s="1"/>
  <c r="BF38" i="5"/>
  <c r="BG38" i="5" s="1"/>
  <c r="AY39" i="5"/>
  <c r="BI39" i="5" s="1"/>
  <c r="BJ39" i="5" s="1"/>
  <c r="BF39" i="5"/>
  <c r="BG39" i="5" s="1"/>
  <c r="AY40" i="5"/>
  <c r="BI40" i="5" s="1"/>
  <c r="BJ40" i="5" s="1"/>
  <c r="BF40" i="5"/>
  <c r="BG40" i="5" s="1"/>
  <c r="AY41" i="5"/>
  <c r="BF41" i="5"/>
  <c r="BG41" i="5" s="1"/>
  <c r="AY42" i="5"/>
  <c r="BI42" i="5" s="1"/>
  <c r="BJ42" i="5" s="1"/>
  <c r="BF42" i="5"/>
  <c r="BG42" i="5" s="1"/>
  <c r="AY43" i="5"/>
  <c r="BB43" i="5" s="1"/>
  <c r="BL43" i="5" s="1"/>
  <c r="BF43" i="5"/>
  <c r="BG43" i="5" s="1"/>
  <c r="AY44" i="5"/>
  <c r="BB44" i="5" s="1"/>
  <c r="BF44" i="5"/>
  <c r="BG44" i="5" s="1"/>
  <c r="AY45" i="5"/>
  <c r="BB45" i="5" s="1"/>
  <c r="BF45" i="5"/>
  <c r="BG45" i="5" s="1"/>
  <c r="AY48" i="5"/>
  <c r="BI48" i="5" s="1"/>
  <c r="BJ48" i="5" s="1"/>
  <c r="BF48" i="5"/>
  <c r="BG48" i="5" s="1"/>
  <c r="AY49" i="5"/>
  <c r="BB49" i="5" s="1"/>
  <c r="BF49" i="5"/>
  <c r="BG49" i="5" s="1"/>
  <c r="BF33" i="5"/>
  <c r="BG33" i="5" s="1"/>
  <c r="AY33" i="5"/>
  <c r="BI33" i="5" s="1"/>
  <c r="BJ33" i="5" s="1"/>
  <c r="BF32" i="5"/>
  <c r="BG32" i="5" s="1"/>
  <c r="AY32" i="5"/>
  <c r="BI32" i="5" s="1"/>
  <c r="BJ32" i="5" s="1"/>
  <c r="BF30" i="5"/>
  <c r="BG30" i="5" s="1"/>
  <c r="AY30" i="5"/>
  <c r="BB30" i="5" s="1"/>
  <c r="BE30" i="5" s="1"/>
  <c r="BO30" i="5" s="1"/>
  <c r="BP30" i="5" s="1"/>
  <c r="BF29" i="5"/>
  <c r="BG29" i="5" s="1"/>
  <c r="AY29" i="5"/>
  <c r="BI29" i="5" s="1"/>
  <c r="BJ29" i="5" s="1"/>
  <c r="BF28" i="5"/>
  <c r="BG28" i="5" s="1"/>
  <c r="AY28" i="5"/>
  <c r="BB28" i="5" s="1"/>
  <c r="BF27" i="5"/>
  <c r="BG27" i="5" s="1"/>
  <c r="AY27" i="5"/>
  <c r="BI27" i="5" s="1"/>
  <c r="BJ27" i="5" s="1"/>
  <c r="AT26" i="5"/>
  <c r="AU26" i="5" s="1"/>
  <c r="AM26" i="5"/>
  <c r="AW26" i="5" s="1"/>
  <c r="AX26" i="5" s="1"/>
  <c r="AT25" i="5"/>
  <c r="AU25" i="5" s="1"/>
  <c r="AM25" i="5"/>
  <c r="AW25" i="5" s="1"/>
  <c r="AX25" i="5" s="1"/>
  <c r="AT24" i="5"/>
  <c r="AU24" i="5" s="1"/>
  <c r="AM24" i="5"/>
  <c r="AP24" i="5" s="1"/>
  <c r="AT23" i="5"/>
  <c r="AU23" i="5" s="1"/>
  <c r="AM23" i="5"/>
  <c r="AW23" i="5" s="1"/>
  <c r="AX23" i="5" s="1"/>
  <c r="AT22" i="5"/>
  <c r="AU22" i="5" s="1"/>
  <c r="AM22" i="5"/>
  <c r="AW22" i="5" s="1"/>
  <c r="AX22" i="5" s="1"/>
  <c r="AT21" i="5"/>
  <c r="AU21" i="5" s="1"/>
  <c r="AM21" i="5"/>
  <c r="AW21" i="5" s="1"/>
  <c r="AX21" i="5" s="1"/>
  <c r="AT20" i="5"/>
  <c r="AU20" i="5" s="1"/>
  <c r="AM20" i="5"/>
  <c r="AP20" i="5" s="1"/>
  <c r="AS20" i="5" s="1"/>
  <c r="BC20" i="5" s="1"/>
  <c r="BD20" i="5" s="1"/>
  <c r="AT19" i="5"/>
  <c r="AU19" i="5" s="1"/>
  <c r="AM19" i="5"/>
  <c r="AW19" i="5" s="1"/>
  <c r="AX19" i="5" s="1"/>
  <c r="AT18" i="5"/>
  <c r="AU18" i="5" s="1"/>
  <c r="AM18" i="5"/>
  <c r="AP18" i="5" s="1"/>
  <c r="AT17" i="5"/>
  <c r="AU17" i="5" s="1"/>
  <c r="AM17" i="5"/>
  <c r="AT16" i="5"/>
  <c r="AU16" i="5" s="1"/>
  <c r="AM16" i="5"/>
  <c r="AW16" i="5" s="1"/>
  <c r="AX16" i="5" s="1"/>
  <c r="AT15" i="5"/>
  <c r="AU15" i="5" s="1"/>
  <c r="AM15" i="5"/>
  <c r="AW15" i="5" s="1"/>
  <c r="AX15" i="5" s="1"/>
  <c r="AT14" i="5"/>
  <c r="AU14" i="5" s="1"/>
  <c r="AM14" i="5"/>
  <c r="AW14" i="5" s="1"/>
  <c r="AX14" i="5" s="1"/>
  <c r="AT13" i="5"/>
  <c r="AU13" i="5" s="1"/>
  <c r="AM13" i="5"/>
  <c r="AP13" i="5" s="1"/>
  <c r="AS13" i="5" s="1"/>
  <c r="BC13" i="5" s="1"/>
  <c r="BD13" i="5" s="1"/>
  <c r="AT12" i="5"/>
  <c r="AU12" i="5" s="1"/>
  <c r="AM12" i="5"/>
  <c r="AW12" i="5" s="1"/>
  <c r="AX12" i="5" s="1"/>
  <c r="AT7" i="5"/>
  <c r="AU7" i="5" s="1"/>
  <c r="AM7" i="5"/>
  <c r="AT6" i="5"/>
  <c r="AU6" i="5" s="1"/>
  <c r="AM6" i="5"/>
  <c r="AW6" i="5" s="1"/>
  <c r="AX6" i="5" s="1"/>
  <c r="AT5" i="5"/>
  <c r="AU5" i="5" s="1"/>
  <c r="AM5" i="5"/>
  <c r="AP5" i="5" s="1"/>
  <c r="AS5" i="5" s="1"/>
  <c r="BC5" i="5" s="1"/>
  <c r="BD5" i="5" s="1"/>
  <c r="AT4" i="5"/>
  <c r="AU4" i="5" s="1"/>
  <c r="AM4" i="5"/>
  <c r="AP4" i="5" s="1"/>
  <c r="G24" i="6"/>
  <c r="CM18" i="5" l="1"/>
  <c r="CN18" i="5" s="1"/>
  <c r="CY44" i="5"/>
  <c r="CZ44" i="5" s="1"/>
  <c r="CY30" i="5"/>
  <c r="CZ30" i="5" s="1"/>
  <c r="CY40" i="5"/>
  <c r="CZ40" i="5" s="1"/>
  <c r="CM19" i="5"/>
  <c r="CN19" i="5" s="1"/>
  <c r="D50" i="5"/>
  <c r="CY37" i="5"/>
  <c r="CZ37" i="5" s="1"/>
  <c r="CU41" i="5"/>
  <c r="DE41" i="5" s="1"/>
  <c r="DF41" i="5" s="1"/>
  <c r="CI24" i="5"/>
  <c r="CS24" i="5" s="1"/>
  <c r="CT24" i="5" s="1"/>
  <c r="I336" i="8"/>
  <c r="P287" i="8"/>
  <c r="I287" i="8"/>
  <c r="B287" i="8"/>
  <c r="P336" i="8"/>
  <c r="AD336" i="8"/>
  <c r="W336" i="8"/>
  <c r="B336" i="8"/>
  <c r="AK336" i="8"/>
  <c r="CY33" i="5"/>
  <c r="CZ33" i="5" s="1"/>
  <c r="CM7" i="5"/>
  <c r="CN7" i="5" s="1"/>
  <c r="CY41" i="5"/>
  <c r="CZ41" i="5" s="1"/>
  <c r="DC41" i="5" s="1"/>
  <c r="AP25" i="5"/>
  <c r="AS25" i="5" s="1"/>
  <c r="BC25" i="5" s="1"/>
  <c r="BD25" i="5" s="1"/>
  <c r="CM13" i="5"/>
  <c r="CN13" i="5" s="1"/>
  <c r="CQ13" i="5" s="1"/>
  <c r="I42" i="8"/>
  <c r="B91" i="8"/>
  <c r="P140" i="8"/>
  <c r="P582" i="8"/>
  <c r="B582" i="8"/>
  <c r="I91" i="8"/>
  <c r="I385" i="8"/>
  <c r="B140" i="8"/>
  <c r="I632" i="8"/>
  <c r="B632" i="8"/>
  <c r="P238" i="8"/>
  <c r="P189" i="8"/>
  <c r="I582" i="8"/>
  <c r="B385" i="8"/>
  <c r="I238" i="8"/>
  <c r="B532" i="8"/>
  <c r="B238" i="8"/>
  <c r="B189" i="8"/>
  <c r="I483" i="8"/>
  <c r="I189" i="8"/>
  <c r="B483" i="8"/>
  <c r="W582" i="8"/>
  <c r="B434" i="8"/>
  <c r="I532" i="8"/>
  <c r="I140" i="8"/>
  <c r="I434" i="8"/>
  <c r="I44" i="5"/>
  <c r="I48" i="5" s="1"/>
  <c r="DB30" i="5"/>
  <c r="DC30" i="5" s="1"/>
  <c r="DK30" i="5" s="1"/>
  <c r="CR35" i="5"/>
  <c r="CU35" i="5" s="1"/>
  <c r="DE35" i="5" s="1"/>
  <c r="DF35" i="5" s="1"/>
  <c r="CR49" i="5"/>
  <c r="DB49" i="5" s="1"/>
  <c r="DC49" i="5" s="1"/>
  <c r="BI44" i="5"/>
  <c r="BJ44" i="5" s="1"/>
  <c r="CP18" i="5"/>
  <c r="CQ18" i="5" s="1"/>
  <c r="CV18" i="5" s="1"/>
  <c r="CX18" i="5" s="1"/>
  <c r="BB40" i="5"/>
  <c r="BE40" i="5" s="1"/>
  <c r="BO40" i="5" s="1"/>
  <c r="BP40" i="5" s="1"/>
  <c r="CM22" i="5"/>
  <c r="CN22" i="5" s="1"/>
  <c r="BB32" i="5"/>
  <c r="BE32" i="5" s="1"/>
  <c r="BO32" i="5" s="1"/>
  <c r="BP32" i="5" s="1"/>
  <c r="CY48" i="5"/>
  <c r="CZ48" i="5" s="1"/>
  <c r="CM4" i="5"/>
  <c r="CN4" i="5" s="1"/>
  <c r="BL38" i="5"/>
  <c r="BE38" i="5"/>
  <c r="BO38" i="5" s="1"/>
  <c r="BP38" i="5" s="1"/>
  <c r="AW24" i="5"/>
  <c r="AX24" i="5" s="1"/>
  <c r="BI38" i="5"/>
  <c r="BJ38" i="5" s="1"/>
  <c r="BE43" i="5"/>
  <c r="BO43" i="5" s="1"/>
  <c r="BP43" i="5" s="1"/>
  <c r="BB36" i="5"/>
  <c r="BE36" i="5" s="1"/>
  <c r="BO36" i="5" s="1"/>
  <c r="BP36" i="5" s="1"/>
  <c r="AP19" i="5"/>
  <c r="AZ19" i="5" s="1"/>
  <c r="BA19" i="5" s="1"/>
  <c r="B17" i="1"/>
  <c r="D17" i="1" s="1"/>
  <c r="H27" i="1"/>
  <c r="D29" i="1"/>
  <c r="AS24" i="5"/>
  <c r="BC24" i="5" s="1"/>
  <c r="BD24" i="5" s="1"/>
  <c r="AZ24" i="5"/>
  <c r="BB42" i="5"/>
  <c r="BL42" i="5" s="1"/>
  <c r="BM42" i="5" s="1"/>
  <c r="CF5" i="5"/>
  <c r="CP5" i="5" s="1"/>
  <c r="CQ5" i="5" s="1"/>
  <c r="CM26" i="5"/>
  <c r="CN26" i="5" s="1"/>
  <c r="BB27" i="5"/>
  <c r="AP26" i="5"/>
  <c r="AS26" i="5" s="1"/>
  <c r="BC26" i="5" s="1"/>
  <c r="BD26" i="5" s="1"/>
  <c r="BI37" i="5"/>
  <c r="BJ37" i="5" s="1"/>
  <c r="BI49" i="5"/>
  <c r="BJ49" i="5" s="1"/>
  <c r="BB39" i="5"/>
  <c r="BE39" i="5" s="1"/>
  <c r="BO39" i="5" s="1"/>
  <c r="BP39" i="5" s="1"/>
  <c r="DB44" i="5"/>
  <c r="DC44" i="5" s="1"/>
  <c r="CU44" i="5"/>
  <c r="DE44" i="5" s="1"/>
  <c r="DF44" i="5" s="1"/>
  <c r="CF15" i="5"/>
  <c r="CP15" i="5" s="1"/>
  <c r="CQ15" i="5" s="1"/>
  <c r="CF21" i="5"/>
  <c r="CI21" i="5" s="1"/>
  <c r="CS21" i="5" s="1"/>
  <c r="CT21" i="5" s="1"/>
  <c r="AP21" i="5"/>
  <c r="BI28" i="5"/>
  <c r="BJ28" i="5" s="1"/>
  <c r="CR38" i="5"/>
  <c r="CY29" i="5"/>
  <c r="CZ29" i="5" s="1"/>
  <c r="BB33" i="5"/>
  <c r="BL33" i="5" s="1"/>
  <c r="BM33" i="5" s="1"/>
  <c r="AP12" i="5"/>
  <c r="AS12" i="5" s="1"/>
  <c r="BC12" i="5" s="1"/>
  <c r="BD12" i="5" s="1"/>
  <c r="CF17" i="5"/>
  <c r="CI17" i="5" s="1"/>
  <c r="CS17" i="5" s="1"/>
  <c r="CT17" i="5" s="1"/>
  <c r="BE28" i="5"/>
  <c r="BO28" i="5" s="1"/>
  <c r="BP28" i="5" s="1"/>
  <c r="BU28" i="5" s="1"/>
  <c r="BL28" i="5"/>
  <c r="DB37" i="5"/>
  <c r="DC37" i="5" s="1"/>
  <c r="CU37" i="5"/>
  <c r="DE37" i="5" s="1"/>
  <c r="DF37" i="5" s="1"/>
  <c r="BI35" i="5"/>
  <c r="BJ35" i="5" s="1"/>
  <c r="AP15" i="5"/>
  <c r="AZ15" i="5" s="1"/>
  <c r="BA15" i="5" s="1"/>
  <c r="DB40" i="5"/>
  <c r="DC40" i="5" s="1"/>
  <c r="DK40" i="5" s="1"/>
  <c r="CM23" i="5"/>
  <c r="CN23" i="5" s="1"/>
  <c r="CQ23" i="5" s="1"/>
  <c r="CM24" i="5"/>
  <c r="CN24" i="5" s="1"/>
  <c r="CQ24" i="5" s="1"/>
  <c r="AW20" i="5"/>
  <c r="AX20" i="5" s="1"/>
  <c r="AW13" i="5"/>
  <c r="AX13" i="5" s="1"/>
  <c r="CR45" i="5"/>
  <c r="CU45" i="5" s="1"/>
  <c r="DE45" i="5" s="1"/>
  <c r="DF45" i="5" s="1"/>
  <c r="CF6" i="5"/>
  <c r="CP6" i="5" s="1"/>
  <c r="CQ6" i="5" s="1"/>
  <c r="CY27" i="5"/>
  <c r="CZ27" i="5" s="1"/>
  <c r="DC27" i="5" s="1"/>
  <c r="CI4" i="5"/>
  <c r="CS4" i="5" s="1"/>
  <c r="CT4" i="5" s="1"/>
  <c r="CP4" i="5"/>
  <c r="CP22" i="5"/>
  <c r="CI22" i="5"/>
  <c r="CS22" i="5" s="1"/>
  <c r="CT22" i="5" s="1"/>
  <c r="CI13" i="5"/>
  <c r="CS13" i="5" s="1"/>
  <c r="CT13" i="5" s="1"/>
  <c r="CP26" i="5"/>
  <c r="CF16" i="5"/>
  <c r="BB48" i="5"/>
  <c r="AP22" i="5"/>
  <c r="BI30" i="5"/>
  <c r="BJ30" i="5" s="1"/>
  <c r="DB29" i="5"/>
  <c r="BB29" i="5"/>
  <c r="CU27" i="5"/>
  <c r="DE27" i="5" s="1"/>
  <c r="DF27" i="5" s="1"/>
  <c r="BB34" i="5"/>
  <c r="CY39" i="5"/>
  <c r="CZ39" i="5" s="1"/>
  <c r="BB46" i="5"/>
  <c r="CI23" i="5"/>
  <c r="CS23" i="5" s="1"/>
  <c r="CT23" i="5" s="1"/>
  <c r="CF20" i="5"/>
  <c r="AZ4" i="5"/>
  <c r="AS4" i="5"/>
  <c r="BC4" i="5" s="1"/>
  <c r="BD4" i="5" s="1"/>
  <c r="DB48" i="5"/>
  <c r="CU48" i="5"/>
  <c r="DE48" i="5" s="1"/>
  <c r="DF48" i="5" s="1"/>
  <c r="DB34" i="5"/>
  <c r="CU34" i="5"/>
  <c r="DE34" i="5" s="1"/>
  <c r="DF34" i="5" s="1"/>
  <c r="AZ18" i="5"/>
  <c r="AS18" i="5"/>
  <c r="BC18" i="5" s="1"/>
  <c r="BD18" i="5" s="1"/>
  <c r="BE44" i="5"/>
  <c r="BO44" i="5" s="1"/>
  <c r="BP44" i="5" s="1"/>
  <c r="BL44" i="5"/>
  <c r="BE49" i="5"/>
  <c r="BO49" i="5" s="1"/>
  <c r="BP49" i="5" s="1"/>
  <c r="BL49" i="5"/>
  <c r="BL35" i="5"/>
  <c r="BE35" i="5"/>
  <c r="BO35" i="5" s="1"/>
  <c r="BP35" i="5" s="1"/>
  <c r="CU39" i="5"/>
  <c r="DE39" i="5" s="1"/>
  <c r="DF39" i="5" s="1"/>
  <c r="DB39" i="5"/>
  <c r="AP14" i="5"/>
  <c r="AS14" i="5" s="1"/>
  <c r="BC14" i="5" s="1"/>
  <c r="BD14" i="5" s="1"/>
  <c r="CY34" i="5"/>
  <c r="CZ34" i="5" s="1"/>
  <c r="BL30" i="5"/>
  <c r="AW4" i="5"/>
  <c r="AX4" i="5" s="1"/>
  <c r="BI45" i="5"/>
  <c r="BJ45" i="5" s="1"/>
  <c r="CR32" i="5"/>
  <c r="AP16" i="5"/>
  <c r="AZ13" i="5"/>
  <c r="AW18" i="5"/>
  <c r="AX18" i="5" s="1"/>
  <c r="AP23" i="5"/>
  <c r="AW5" i="5"/>
  <c r="AX5" i="5" s="1"/>
  <c r="CR42" i="5"/>
  <c r="BI43" i="5"/>
  <c r="BJ43" i="5" s="1"/>
  <c r="BM43" i="5" s="1"/>
  <c r="AP6" i="5"/>
  <c r="B59" i="1"/>
  <c r="D59" i="1" s="1"/>
  <c r="D61" i="1" s="1"/>
  <c r="L33" i="1"/>
  <c r="AZ20" i="5"/>
  <c r="CM12" i="5"/>
  <c r="CN12" i="5" s="1"/>
  <c r="BE37" i="5"/>
  <c r="BO37" i="5" s="1"/>
  <c r="BP37" i="5" s="1"/>
  <c r="CY43" i="5"/>
  <c r="CZ43" i="5" s="1"/>
  <c r="CR43" i="5"/>
  <c r="DB33" i="5"/>
  <c r="BF20" i="5"/>
  <c r="BH20" i="5" s="1"/>
  <c r="BL37" i="5"/>
  <c r="AW17" i="5"/>
  <c r="AX17" i="5" s="1"/>
  <c r="AP17" i="5"/>
  <c r="BE45" i="5"/>
  <c r="BO45" i="5" s="1"/>
  <c r="BP45" i="5" s="1"/>
  <c r="BL45" i="5"/>
  <c r="CR46" i="5"/>
  <c r="CY46" i="5"/>
  <c r="CZ46" i="5" s="1"/>
  <c r="CR36" i="5"/>
  <c r="CY36" i="5"/>
  <c r="CZ36" i="5" s="1"/>
  <c r="CI7" i="5"/>
  <c r="CS7" i="5" s="1"/>
  <c r="CT7" i="5" s="1"/>
  <c r="CP7" i="5"/>
  <c r="CQ7" i="5" s="1"/>
  <c r="CF14" i="5"/>
  <c r="CM14" i="5"/>
  <c r="CN14" i="5" s="1"/>
  <c r="CF25" i="5"/>
  <c r="CM25" i="5"/>
  <c r="CN25" i="5" s="1"/>
  <c r="BB41" i="5"/>
  <c r="BI41" i="5"/>
  <c r="BJ41" i="5" s="1"/>
  <c r="CP12" i="5"/>
  <c r="CI12" i="5"/>
  <c r="CS12" i="5" s="1"/>
  <c r="CT12" i="5" s="1"/>
  <c r="AZ5" i="5"/>
  <c r="CI19" i="5"/>
  <c r="CS19" i="5" s="1"/>
  <c r="CT19" i="5" s="1"/>
  <c r="CP19" i="5"/>
  <c r="CQ19" i="5" s="1"/>
  <c r="CR28" i="5"/>
  <c r="CY28" i="5"/>
  <c r="CZ28" i="5" s="1"/>
  <c r="AW7" i="5"/>
  <c r="AX7" i="5" s="1"/>
  <c r="AP7" i="5"/>
  <c r="D21" i="5"/>
  <c r="D33" i="5"/>
  <c r="D62" i="5"/>
  <c r="D65" i="5" s="1"/>
  <c r="D51" i="5" l="1"/>
  <c r="D52" i="5" s="1"/>
  <c r="J88" i="5" s="1"/>
  <c r="DC33" i="5"/>
  <c r="DK33" i="5" s="1"/>
  <c r="AZ25" i="5"/>
  <c r="BA25" i="5" s="1"/>
  <c r="DH41" i="5"/>
  <c r="DJ41" i="5" s="1"/>
  <c r="F40" i="1"/>
  <c r="I41" i="1" s="1"/>
  <c r="J17" i="1"/>
  <c r="J18" i="1"/>
  <c r="L18" i="1" s="1"/>
  <c r="CY24" i="5"/>
  <c r="J19" i="5"/>
  <c r="L19" i="5" s="1"/>
  <c r="C84" i="5"/>
  <c r="DC29" i="5"/>
  <c r="DK29" i="5" s="1"/>
  <c r="CQ22" i="5"/>
  <c r="CV22" i="5" s="1"/>
  <c r="CX22" i="5" s="1"/>
  <c r="BU43" i="5"/>
  <c r="BE42" i="5"/>
  <c r="BO42" i="5" s="1"/>
  <c r="BP42" i="5" s="1"/>
  <c r="BU42" i="5" s="1"/>
  <c r="BL36" i="5"/>
  <c r="BM36" i="5" s="1"/>
  <c r="BR36" i="5" s="1"/>
  <c r="BT36" i="5" s="1"/>
  <c r="I49" i="5"/>
  <c r="I50" i="5" s="1"/>
  <c r="BM49" i="5"/>
  <c r="BR49" i="5" s="1"/>
  <c r="BT49" i="5" s="1"/>
  <c r="BL32" i="5"/>
  <c r="BM32" i="5" s="1"/>
  <c r="BR32" i="5" s="1"/>
  <c r="BT32" i="5" s="1"/>
  <c r="BM37" i="5"/>
  <c r="CP17" i="5"/>
  <c r="CQ17" i="5" s="1"/>
  <c r="CV17" i="5" s="1"/>
  <c r="CX17" i="5" s="1"/>
  <c r="AS19" i="5"/>
  <c r="BC19" i="5" s="1"/>
  <c r="BD19" i="5" s="1"/>
  <c r="BI19" i="5" s="1"/>
  <c r="BM44" i="5"/>
  <c r="BR44" i="5" s="1"/>
  <c r="BT44" i="5" s="1"/>
  <c r="CP21" i="5"/>
  <c r="CQ21" i="5" s="1"/>
  <c r="CV21" i="5" s="1"/>
  <c r="CX21" i="5" s="1"/>
  <c r="D55" i="5"/>
  <c r="J18" i="5"/>
  <c r="BL40" i="5"/>
  <c r="BM40" i="5" s="1"/>
  <c r="BR40" i="5" s="1"/>
  <c r="BT40" i="5" s="1"/>
  <c r="CV24" i="5"/>
  <c r="CX24" i="5" s="1"/>
  <c r="DH44" i="5"/>
  <c r="DJ44" i="5" s="1"/>
  <c r="CU49" i="5"/>
  <c r="DE49" i="5" s="1"/>
  <c r="DF49" i="5" s="1"/>
  <c r="DH49" i="5" s="1"/>
  <c r="DJ49" i="5" s="1"/>
  <c r="BA4" i="5"/>
  <c r="D22" i="5"/>
  <c r="B18" i="5"/>
  <c r="D18" i="5" s="1"/>
  <c r="D23" i="5"/>
  <c r="DB35" i="5"/>
  <c r="DC35" i="5" s="1"/>
  <c r="DH35" i="5" s="1"/>
  <c r="DJ35" i="5" s="1"/>
  <c r="CV7" i="5"/>
  <c r="CX7" i="5" s="1"/>
  <c r="BM28" i="5"/>
  <c r="BR28" i="5" s="1"/>
  <c r="BT28" i="5" s="1"/>
  <c r="BV28" i="5" s="1"/>
  <c r="DC48" i="5"/>
  <c r="DK48" i="5" s="1"/>
  <c r="CI5" i="5"/>
  <c r="CS5" i="5" s="1"/>
  <c r="CT5" i="5" s="1"/>
  <c r="CY5" i="5" s="1"/>
  <c r="DH30" i="5"/>
  <c r="DJ30" i="5" s="1"/>
  <c r="DL30" i="5" s="1"/>
  <c r="BL39" i="5"/>
  <c r="BM39" i="5" s="1"/>
  <c r="BA24" i="5"/>
  <c r="BI24" i="5" s="1"/>
  <c r="BA20" i="5"/>
  <c r="BI20" i="5" s="1"/>
  <c r="BJ20" i="5" s="1"/>
  <c r="CQ4" i="5"/>
  <c r="CY4" i="5" s="1"/>
  <c r="DK37" i="5"/>
  <c r="CI6" i="5"/>
  <c r="CS6" i="5" s="1"/>
  <c r="CT6" i="5" s="1"/>
  <c r="CY6" i="5" s="1"/>
  <c r="CQ26" i="5"/>
  <c r="CY26" i="5" s="1"/>
  <c r="BM38" i="5"/>
  <c r="BU38" i="5" s="1"/>
  <c r="J21" i="5"/>
  <c r="D42" i="5"/>
  <c r="J20" i="1"/>
  <c r="J19" i="1"/>
  <c r="D35" i="1"/>
  <c r="F35" i="1" s="1"/>
  <c r="AZ14" i="5"/>
  <c r="BA14" i="5" s="1"/>
  <c r="D31" i="1"/>
  <c r="D32" i="1" s="1"/>
  <c r="D33" i="1" s="1"/>
  <c r="D74" i="1" s="1"/>
  <c r="J28" i="1"/>
  <c r="J29" i="1"/>
  <c r="J30" i="1"/>
  <c r="CI15" i="5"/>
  <c r="CS15" i="5" s="1"/>
  <c r="CT15" i="5" s="1"/>
  <c r="CV15" i="5" s="1"/>
  <c r="CX15" i="5" s="1"/>
  <c r="AS15" i="5"/>
  <c r="BC15" i="5" s="1"/>
  <c r="BD15" i="5" s="1"/>
  <c r="BI15" i="5" s="1"/>
  <c r="BE27" i="5"/>
  <c r="BO27" i="5" s="1"/>
  <c r="BP27" i="5" s="1"/>
  <c r="BL27" i="5"/>
  <c r="BM27" i="5" s="1"/>
  <c r="CY18" i="5"/>
  <c r="CZ18" i="5" s="1"/>
  <c r="AZ12" i="5"/>
  <c r="BA12" i="5" s="1"/>
  <c r="BI12" i="5" s="1"/>
  <c r="BE33" i="5"/>
  <c r="BO33" i="5" s="1"/>
  <c r="BP33" i="5" s="1"/>
  <c r="BU33" i="5" s="1"/>
  <c r="AZ26" i="5"/>
  <c r="BA26" i="5" s="1"/>
  <c r="BI26" i="5" s="1"/>
  <c r="BR33" i="5"/>
  <c r="BT33" i="5" s="1"/>
  <c r="AS21" i="5"/>
  <c r="BC21" i="5" s="1"/>
  <c r="BD21" i="5" s="1"/>
  <c r="AZ21" i="5"/>
  <c r="BA21" i="5" s="1"/>
  <c r="BF21" i="5" s="1"/>
  <c r="BH21" i="5" s="1"/>
  <c r="DH27" i="5"/>
  <c r="DJ27" i="5" s="1"/>
  <c r="CV23" i="5"/>
  <c r="CX23" i="5" s="1"/>
  <c r="BM35" i="5"/>
  <c r="BR35" i="5" s="1"/>
  <c r="BT35" i="5" s="1"/>
  <c r="CV13" i="5"/>
  <c r="CX13" i="5" s="1"/>
  <c r="BU40" i="5"/>
  <c r="CU38" i="5"/>
  <c r="DE38" i="5" s="1"/>
  <c r="DF38" i="5" s="1"/>
  <c r="DB38" i="5"/>
  <c r="DC38" i="5" s="1"/>
  <c r="BU39" i="5"/>
  <c r="BR39" i="5"/>
  <c r="BT39" i="5" s="1"/>
  <c r="BF26" i="5"/>
  <c r="BH26" i="5" s="1"/>
  <c r="BA13" i="5"/>
  <c r="DK27" i="5"/>
  <c r="DB45" i="5"/>
  <c r="DC45" i="5" s="1"/>
  <c r="CV19" i="5"/>
  <c r="CX19" i="5" s="1"/>
  <c r="BF15" i="5"/>
  <c r="BH15" i="5" s="1"/>
  <c r="BA5" i="5"/>
  <c r="BM45" i="5"/>
  <c r="BR45" i="5" s="1"/>
  <c r="BT45" i="5" s="1"/>
  <c r="BI25" i="5"/>
  <c r="CY13" i="5"/>
  <c r="CQ12" i="5"/>
  <c r="CV12" i="5" s="1"/>
  <c r="CX12" i="5" s="1"/>
  <c r="BF25" i="5"/>
  <c r="BH25" i="5" s="1"/>
  <c r="BE46" i="5"/>
  <c r="BO46" i="5" s="1"/>
  <c r="BP46" i="5" s="1"/>
  <c r="BL46" i="5"/>
  <c r="BM46" i="5" s="1"/>
  <c r="BF14" i="5"/>
  <c r="BH14" i="5" s="1"/>
  <c r="BR42" i="5"/>
  <c r="BT42" i="5" s="1"/>
  <c r="DC39" i="5"/>
  <c r="DK39" i="5" s="1"/>
  <c r="BL34" i="5"/>
  <c r="BM34" i="5" s="1"/>
  <c r="BE34" i="5"/>
  <c r="BO34" i="5" s="1"/>
  <c r="BP34" i="5" s="1"/>
  <c r="AZ22" i="5"/>
  <c r="BA22" i="5" s="1"/>
  <c r="BF22" i="5" s="1"/>
  <c r="BH22" i="5" s="1"/>
  <c r="AS22" i="5"/>
  <c r="BC22" i="5" s="1"/>
  <c r="BD22" i="5" s="1"/>
  <c r="BU44" i="5"/>
  <c r="CP20" i="5"/>
  <c r="CQ20" i="5" s="1"/>
  <c r="CI20" i="5"/>
  <c r="CS20" i="5" s="1"/>
  <c r="CT20" i="5" s="1"/>
  <c r="BL48" i="5"/>
  <c r="BM48" i="5" s="1"/>
  <c r="BE48" i="5"/>
  <c r="BO48" i="5" s="1"/>
  <c r="BP48" i="5" s="1"/>
  <c r="BU35" i="5"/>
  <c r="BU36" i="5"/>
  <c r="BM30" i="5"/>
  <c r="BU30" i="5" s="1"/>
  <c r="BA18" i="5"/>
  <c r="BF18" i="5" s="1"/>
  <c r="BH18" i="5" s="1"/>
  <c r="BR38" i="5"/>
  <c r="BT38" i="5" s="1"/>
  <c r="BL29" i="5"/>
  <c r="BM29" i="5" s="1"/>
  <c r="BE29" i="5"/>
  <c r="BO29" i="5" s="1"/>
  <c r="BP29" i="5" s="1"/>
  <c r="CP16" i="5"/>
  <c r="CQ16" i="5" s="1"/>
  <c r="CI16" i="5"/>
  <c r="CS16" i="5" s="1"/>
  <c r="CT16" i="5" s="1"/>
  <c r="BF13" i="5"/>
  <c r="BH13" i="5" s="1"/>
  <c r="BI13" i="5"/>
  <c r="BF19" i="5"/>
  <c r="BH19" i="5" s="1"/>
  <c r="E50" i="5"/>
  <c r="DB42" i="5"/>
  <c r="DC42" i="5" s="1"/>
  <c r="CU42" i="5"/>
  <c r="DE42" i="5" s="1"/>
  <c r="DF42" i="5" s="1"/>
  <c r="AZ16" i="5"/>
  <c r="BA16" i="5" s="1"/>
  <c r="AS16" i="5"/>
  <c r="BC16" i="5" s="1"/>
  <c r="BD16" i="5" s="1"/>
  <c r="BU32" i="5"/>
  <c r="DB32" i="5"/>
  <c r="DC32" i="5" s="1"/>
  <c r="CU32" i="5"/>
  <c r="DE32" i="5" s="1"/>
  <c r="DF32" i="5" s="1"/>
  <c r="DK44" i="5"/>
  <c r="DH33" i="5"/>
  <c r="DJ33" i="5" s="1"/>
  <c r="DL33" i="5" s="1"/>
  <c r="BR43" i="5"/>
  <c r="BT43" i="5" s="1"/>
  <c r="AS6" i="5"/>
  <c r="BC6" i="5" s="1"/>
  <c r="BD6" i="5" s="1"/>
  <c r="AZ6" i="5"/>
  <c r="BA6" i="5" s="1"/>
  <c r="CY23" i="5"/>
  <c r="AS23" i="5"/>
  <c r="BC23" i="5" s="1"/>
  <c r="BD23" i="5" s="1"/>
  <c r="AZ23" i="5"/>
  <c r="BA23" i="5" s="1"/>
  <c r="DC34" i="5"/>
  <c r="DH34" i="5" s="1"/>
  <c r="DJ34" i="5" s="1"/>
  <c r="DH40" i="5"/>
  <c r="DJ40" i="5" s="1"/>
  <c r="DL40" i="5" s="1"/>
  <c r="BR37" i="5"/>
  <c r="BT37" i="5" s="1"/>
  <c r="BU49" i="5"/>
  <c r="B54" i="1"/>
  <c r="D54" i="1" s="1"/>
  <c r="B53" i="1"/>
  <c r="D53" i="1" s="1"/>
  <c r="P5" i="1"/>
  <c r="B51" i="1"/>
  <c r="D51" i="1" s="1"/>
  <c r="C81" i="1"/>
  <c r="J78" i="1" s="1"/>
  <c r="BU37" i="5"/>
  <c r="CU36" i="5"/>
  <c r="DE36" i="5" s="1"/>
  <c r="DF36" i="5" s="1"/>
  <c r="DB36" i="5"/>
  <c r="DC36" i="5" s="1"/>
  <c r="DH37" i="5"/>
  <c r="DJ37" i="5" s="1"/>
  <c r="BR34" i="5"/>
  <c r="BT34" i="5" s="1"/>
  <c r="CU46" i="5"/>
  <c r="DE46" i="5" s="1"/>
  <c r="DF46" i="5" s="1"/>
  <c r="DB46" i="5"/>
  <c r="DC46" i="5" s="1"/>
  <c r="DK41" i="5"/>
  <c r="DL41" i="5" s="1"/>
  <c r="CY19" i="5"/>
  <c r="BL41" i="5"/>
  <c r="BM41" i="5" s="1"/>
  <c r="BR41" i="5" s="1"/>
  <c r="BT41" i="5" s="1"/>
  <c r="BE41" i="5"/>
  <c r="BO41" i="5" s="1"/>
  <c r="BP41" i="5" s="1"/>
  <c r="CY7" i="5"/>
  <c r="AZ17" i="5"/>
  <c r="BA17" i="5" s="1"/>
  <c r="AS17" i="5"/>
  <c r="BC17" i="5" s="1"/>
  <c r="BD17" i="5" s="1"/>
  <c r="BI17" i="5" s="1"/>
  <c r="CP25" i="5"/>
  <c r="CQ25" i="5" s="1"/>
  <c r="CI25" i="5"/>
  <c r="CS25" i="5" s="1"/>
  <c r="CT25" i="5" s="1"/>
  <c r="DB28" i="5"/>
  <c r="DC28" i="5" s="1"/>
  <c r="CU28" i="5"/>
  <c r="DE28" i="5" s="1"/>
  <c r="DF28" i="5" s="1"/>
  <c r="CP14" i="5"/>
  <c r="CQ14" i="5" s="1"/>
  <c r="CI14" i="5"/>
  <c r="CS14" i="5" s="1"/>
  <c r="CT14" i="5" s="1"/>
  <c r="BI5" i="5"/>
  <c r="BF5" i="5"/>
  <c r="BH5" i="5" s="1"/>
  <c r="BI4" i="5"/>
  <c r="BF4" i="5"/>
  <c r="BH4" i="5" s="1"/>
  <c r="CU43" i="5"/>
  <c r="DE43" i="5" s="1"/>
  <c r="DF43" i="5" s="1"/>
  <c r="DB43" i="5"/>
  <c r="DC43" i="5" s="1"/>
  <c r="AZ7" i="5"/>
  <c r="BA7" i="5" s="1"/>
  <c r="AS7" i="5"/>
  <c r="BC7" i="5" s="1"/>
  <c r="BD7" i="5" s="1"/>
  <c r="BI7" i="5" s="1"/>
  <c r="BI14" i="5"/>
  <c r="BF24" i="5"/>
  <c r="BH24" i="5" s="1"/>
  <c r="BV42" i="5" l="1"/>
  <c r="CY22" i="5"/>
  <c r="CZ22" i="5" s="1"/>
  <c r="CZ24" i="5"/>
  <c r="BV32" i="5"/>
  <c r="J40" i="1"/>
  <c r="BV43" i="5"/>
  <c r="H40" i="1"/>
  <c r="BV40" i="5"/>
  <c r="J25" i="5"/>
  <c r="K25" i="5" s="1"/>
  <c r="J24" i="5"/>
  <c r="K24" i="5" s="1"/>
  <c r="F42" i="5"/>
  <c r="J44" i="5"/>
  <c r="J48" i="5" s="1"/>
  <c r="DL44" i="5"/>
  <c r="CY17" i="5"/>
  <c r="CZ17" i="5" s="1"/>
  <c r="BV49" i="5"/>
  <c r="BV36" i="5"/>
  <c r="DH29" i="5"/>
  <c r="DJ29" i="5" s="1"/>
  <c r="DL29" i="5" s="1"/>
  <c r="F44" i="5"/>
  <c r="CY12" i="5"/>
  <c r="CZ12" i="5" s="1"/>
  <c r="DK35" i="5"/>
  <c r="DL35" i="5" s="1"/>
  <c r="BV44" i="5"/>
  <c r="CV26" i="5"/>
  <c r="CX26" i="5" s="1"/>
  <c r="CZ26" i="5" s="1"/>
  <c r="DL37" i="5"/>
  <c r="CY21" i="5"/>
  <c r="CZ21" i="5" s="1"/>
  <c r="DK49" i="5"/>
  <c r="DL49" i="5" s="1"/>
  <c r="D59" i="5"/>
  <c r="BJ19" i="5"/>
  <c r="BV35" i="5"/>
  <c r="DH39" i="5"/>
  <c r="DJ39" i="5" s="1"/>
  <c r="DL39" i="5" s="1"/>
  <c r="DH48" i="5"/>
  <c r="DJ48" i="5" s="1"/>
  <c r="DL48" i="5" s="1"/>
  <c r="CZ7" i="5"/>
  <c r="CY16" i="5"/>
  <c r="BJ26" i="5"/>
  <c r="CV5" i="5"/>
  <c r="CX5" i="5" s="1"/>
  <c r="CZ5" i="5" s="1"/>
  <c r="CV6" i="5"/>
  <c r="CX6" i="5" s="1"/>
  <c r="CZ6" i="5" s="1"/>
  <c r="D37" i="5"/>
  <c r="F45" i="5"/>
  <c r="F46" i="5"/>
  <c r="CV4" i="5"/>
  <c r="CX4" i="5" s="1"/>
  <c r="CZ4" i="5" s="1"/>
  <c r="BJ24" i="5"/>
  <c r="CY15" i="5"/>
  <c r="CZ15" i="5" s="1"/>
  <c r="BV38" i="5"/>
  <c r="CZ13" i="5"/>
  <c r="BU27" i="5"/>
  <c r="DK32" i="5"/>
  <c r="CY25" i="5"/>
  <c r="CZ19" i="5"/>
  <c r="CZ23" i="5"/>
  <c r="BJ25" i="5"/>
  <c r="BJ15" i="5"/>
  <c r="E33" i="1"/>
  <c r="DH46" i="5"/>
  <c r="DJ46" i="5" s="1"/>
  <c r="DH28" i="5"/>
  <c r="DJ28" i="5" s="1"/>
  <c r="H33" i="1"/>
  <c r="DL27" i="5"/>
  <c r="BR30" i="5"/>
  <c r="BT30" i="5" s="1"/>
  <c r="BV30" i="5" s="1"/>
  <c r="BJ14" i="5"/>
  <c r="BF12" i="5"/>
  <c r="BH12" i="5" s="1"/>
  <c r="BJ12" i="5" s="1"/>
  <c r="DH43" i="5"/>
  <c r="DJ43" i="5" s="1"/>
  <c r="BV33" i="5"/>
  <c r="BR27" i="5"/>
  <c r="BT27" i="5" s="1"/>
  <c r="BV39" i="5"/>
  <c r="CV16" i="5"/>
  <c r="CX16" i="5" s="1"/>
  <c r="BI6" i="5"/>
  <c r="DK38" i="5"/>
  <c r="DH38" i="5"/>
  <c r="DJ38" i="5" s="1"/>
  <c r="BI21" i="5"/>
  <c r="BJ21" i="5" s="1"/>
  <c r="BU46" i="5"/>
  <c r="CY14" i="5"/>
  <c r="BR48" i="5"/>
  <c r="BT48" i="5" s="1"/>
  <c r="BF23" i="5"/>
  <c r="BH23" i="5" s="1"/>
  <c r="BU29" i="5"/>
  <c r="DK45" i="5"/>
  <c r="DH45" i="5"/>
  <c r="DJ45" i="5" s="1"/>
  <c r="BR46" i="5"/>
  <c r="BT46" i="5" s="1"/>
  <c r="BU45" i="5"/>
  <c r="BV45" i="5" s="1"/>
  <c r="BI16" i="5"/>
  <c r="DH36" i="5"/>
  <c r="DJ36" i="5" s="1"/>
  <c r="DK42" i="5"/>
  <c r="BU48" i="5"/>
  <c r="BI22" i="5"/>
  <c r="BJ22" i="5" s="1"/>
  <c r="BR29" i="5"/>
  <c r="BT29" i="5" s="1"/>
  <c r="BU34" i="5"/>
  <c r="BV34" i="5" s="1"/>
  <c r="BV37" i="5"/>
  <c r="DH42" i="5"/>
  <c r="DJ42" i="5" s="1"/>
  <c r="BJ13" i="5"/>
  <c r="CY20" i="5"/>
  <c r="CV20" i="5"/>
  <c r="CX20" i="5" s="1"/>
  <c r="DK34" i="5"/>
  <c r="DL34" i="5" s="1"/>
  <c r="BI18" i="5"/>
  <c r="BJ18" i="5" s="1"/>
  <c r="BF7" i="5"/>
  <c r="BH7" i="5" s="1"/>
  <c r="BJ7" i="5" s="1"/>
  <c r="CV14" i="5"/>
  <c r="CX14" i="5" s="1"/>
  <c r="BI23" i="5"/>
  <c r="BF6" i="5"/>
  <c r="BH6" i="5" s="1"/>
  <c r="BJ5" i="5"/>
  <c r="DK46" i="5"/>
  <c r="BF16" i="5"/>
  <c r="BH16" i="5" s="1"/>
  <c r="CV25" i="5"/>
  <c r="CX25" i="5" s="1"/>
  <c r="BU41" i="5"/>
  <c r="BV41" i="5" s="1"/>
  <c r="DH32" i="5"/>
  <c r="DJ32" i="5" s="1"/>
  <c r="F38" i="1"/>
  <c r="G37" i="1"/>
  <c r="F37" i="1"/>
  <c r="J37" i="1"/>
  <c r="I38" i="1"/>
  <c r="H37" i="1"/>
  <c r="G38" i="1"/>
  <c r="I37" i="1"/>
  <c r="J38" i="1"/>
  <c r="H38" i="1"/>
  <c r="D55" i="1"/>
  <c r="J84" i="1" s="1"/>
  <c r="BJ4" i="5"/>
  <c r="BF17" i="5"/>
  <c r="BH17" i="5" s="1"/>
  <c r="BJ17" i="5" s="1"/>
  <c r="DK28" i="5"/>
  <c r="DK43" i="5"/>
  <c r="DK36" i="5"/>
  <c r="D39" i="5" l="1"/>
  <c r="CZ20" i="5"/>
  <c r="BV27" i="5"/>
  <c r="K44" i="5"/>
  <c r="CZ16" i="5"/>
  <c r="DL32" i="5"/>
  <c r="H38" i="5"/>
  <c r="G38" i="5" s="1"/>
  <c r="DL43" i="5"/>
  <c r="DL28" i="5"/>
  <c r="CZ25" i="5"/>
  <c r="DL46" i="5"/>
  <c r="CZ14" i="5"/>
  <c r="BJ6" i="5"/>
  <c r="BJ16" i="5"/>
  <c r="DL36" i="5"/>
  <c r="BV29" i="5"/>
  <c r="DL45" i="5"/>
  <c r="BJ23" i="5"/>
  <c r="DL38" i="5"/>
  <c r="BV46" i="5"/>
  <c r="BV48" i="5"/>
  <c r="DL42" i="5"/>
  <c r="E37" i="1"/>
  <c r="E38" i="1"/>
  <c r="D37" i="1" l="1"/>
  <c r="A44" i="1"/>
  <c r="F67" i="1" s="1"/>
  <c r="D38" i="1"/>
  <c r="K38" i="1" s="1"/>
  <c r="D40" i="5"/>
  <c r="D67" i="5" l="1"/>
  <c r="D77" i="5"/>
  <c r="D44" i="1"/>
  <c r="D45" i="1" s="1"/>
  <c r="D46" i="1" s="1"/>
  <c r="K37" i="1"/>
  <c r="H56" i="1"/>
  <c r="H57" i="1" s="1"/>
  <c r="H40" i="5"/>
  <c r="J87" i="5"/>
  <c r="E40" i="5"/>
  <c r="B70" i="5" l="1"/>
  <c r="D70" i="5" s="1"/>
  <c r="D71" i="5" s="1"/>
  <c r="F84" i="5" s="1"/>
  <c r="G84" i="5" s="1"/>
  <c r="D47" i="1"/>
  <c r="I44" i="1"/>
  <c r="I45" i="1" s="1"/>
  <c r="E45" i="1"/>
  <c r="E67" i="5"/>
  <c r="D72" i="5" l="1"/>
  <c r="D64" i="1"/>
  <c r="J85" i="1"/>
  <c r="E64" i="1" l="1"/>
  <c r="D73" i="5"/>
  <c r="H84" i="5" s="1"/>
  <c r="B67" i="1"/>
  <c r="D67" i="1" s="1"/>
  <c r="D68" i="1" l="1"/>
  <c r="F81" i="1" s="1"/>
  <c r="F68" i="1" s="1"/>
  <c r="D69" i="1" l="1"/>
  <c r="G81" i="1"/>
  <c r="F71" i="5"/>
  <c r="D35" i="14"/>
  <c r="D37" i="14"/>
  <c r="D70" i="1" l="1"/>
  <c r="H81" i="1" s="1"/>
  <c r="T141" i="14"/>
  <c r="T142" i="14"/>
  <c r="T148" i="14" l="1"/>
  <c r="T179" i="14"/>
  <c r="T178" i="14"/>
  <c r="T163" i="14"/>
  <c r="T162" i="14"/>
  <c r="T153" i="14"/>
  <c r="T161" i="14"/>
  <c r="T160" i="14"/>
  <c r="T159" i="14"/>
  <c r="T158" i="14"/>
  <c r="T174" i="14"/>
  <c r="AF167" i="14" s="1"/>
  <c r="T173" i="14"/>
  <c r="AF166" i="14" s="1"/>
  <c r="D25" i="14" s="1"/>
  <c r="T175" i="14"/>
  <c r="T176" i="14"/>
  <c r="T167" i="14"/>
  <c r="T152" i="14"/>
  <c r="AF295" i="14" s="1"/>
  <c r="T166" i="14"/>
  <c r="T156" i="14"/>
  <c r="T146" i="14"/>
  <c r="T149" i="14"/>
  <c r="T170" i="14"/>
  <c r="T157" i="14"/>
  <c r="T151" i="14"/>
  <c r="T165" i="14"/>
  <c r="T168" i="14"/>
  <c r="T155" i="14"/>
  <c r="T147" i="14"/>
  <c r="T164" i="14"/>
  <c r="T145" i="14"/>
  <c r="T169" i="14"/>
  <c r="T150" i="14"/>
  <c r="T154" i="14"/>
  <c r="AI329" i="14" l="1"/>
  <c r="AI322" i="14"/>
  <c r="AI337" i="14"/>
  <c r="AI330" i="14"/>
  <c r="AI323" i="14"/>
  <c r="AI338" i="14"/>
  <c r="AF329" i="14"/>
  <c r="AF338" i="14"/>
  <c r="AF337" i="14"/>
  <c r="AF330" i="14"/>
  <c r="AF322" i="14"/>
  <c r="AF323" i="14"/>
  <c r="AI307" i="14"/>
  <c r="AH307" i="14"/>
  <c r="AF335" i="14"/>
  <c r="AF336" i="14"/>
  <c r="AF328" i="14"/>
  <c r="AF304" i="14"/>
  <c r="AF312" i="14"/>
  <c r="O24" i="14"/>
  <c r="D28" i="14" s="1"/>
  <c r="D27" i="14"/>
  <c r="F241" i="14"/>
  <c r="AF173" i="14"/>
  <c r="F209" i="14"/>
  <c r="AF179" i="14"/>
  <c r="AF249" i="14"/>
  <c r="AF217" i="14"/>
  <c r="F173" i="14"/>
  <c r="AF209" i="14"/>
  <c r="AF241" i="14"/>
  <c r="F249" i="14"/>
  <c r="F217" i="14"/>
  <c r="F179" i="14"/>
  <c r="F187" i="14"/>
  <c r="AF174" i="14"/>
  <c r="F174" i="14"/>
  <c r="AF187" i="14"/>
  <c r="F125" i="14"/>
  <c r="F147" i="14"/>
  <c r="AF141" i="14"/>
  <c r="F135" i="14"/>
  <c r="AF125" i="14"/>
  <c r="F152" i="14"/>
  <c r="AF152" i="14"/>
  <c r="AF130" i="14"/>
  <c r="AF135" i="14"/>
  <c r="F130" i="14"/>
  <c r="AF147" i="14"/>
  <c r="F141" i="14"/>
  <c r="F186" i="14"/>
  <c r="AF186" i="14"/>
  <c r="F251" i="14"/>
  <c r="F234" i="14"/>
  <c r="AF252" i="14"/>
  <c r="AF211" i="14"/>
  <c r="AF305" i="14"/>
  <c r="AF306" i="14"/>
  <c r="AF242" i="14"/>
  <c r="F250" i="14"/>
  <c r="F252" i="14"/>
  <c r="F235" i="14"/>
  <c r="AF294" i="14"/>
  <c r="AF251" i="14"/>
  <c r="AF243" i="14"/>
  <c r="AF210" i="14"/>
  <c r="F210" i="14"/>
  <c r="AF218" i="14"/>
  <c r="F202" i="14"/>
  <c r="F211" i="14"/>
  <c r="AF313" i="14"/>
  <c r="AF219" i="14"/>
  <c r="AF202" i="14"/>
  <c r="F218" i="14"/>
  <c r="AF195" i="14"/>
  <c r="AF235" i="14"/>
  <c r="F203" i="14"/>
  <c r="F242" i="14"/>
  <c r="F195" i="14"/>
  <c r="AF314" i="14"/>
  <c r="AF233" i="14"/>
  <c r="AF203" i="14"/>
  <c r="F243" i="14"/>
  <c r="AF250" i="14"/>
  <c r="AF234" i="14"/>
  <c r="F219" i="14"/>
  <c r="F233" i="14"/>
  <c r="AF285" i="14"/>
  <c r="AF286" i="14" s="1"/>
  <c r="F285" i="14"/>
  <c r="F286" i="14" s="1"/>
  <c r="F261" i="14"/>
  <c r="AF260" i="14"/>
  <c r="AF180" i="14"/>
  <c r="F262" i="14"/>
  <c r="F268" i="14"/>
  <c r="F180" i="14"/>
  <c r="AF261" i="14"/>
  <c r="F269" i="14"/>
  <c r="AF262" i="14"/>
  <c r="AF268" i="14"/>
  <c r="AF269" i="14"/>
  <c r="F260" i="14"/>
  <c r="F162" i="14"/>
  <c r="AF162" i="14"/>
  <c r="F181" i="14"/>
  <c r="AF181" i="14"/>
  <c r="F263" i="14"/>
  <c r="F270" i="14"/>
  <c r="F278" i="14"/>
  <c r="AF263" i="14"/>
  <c r="AF278" i="14"/>
  <c r="AF270" i="14"/>
  <c r="F226" i="14"/>
  <c r="F164" i="14"/>
  <c r="AF164" i="14"/>
  <c r="AF226" i="14"/>
  <c r="F277" i="14"/>
  <c r="AF277" i="14"/>
  <c r="P147" i="14"/>
  <c r="AP135" i="14"/>
  <c r="P135" i="14"/>
  <c r="AP141" i="14"/>
  <c r="AP130" i="14"/>
  <c r="P152" i="14"/>
  <c r="P125" i="14"/>
  <c r="AP125" i="14"/>
  <c r="P141" i="14"/>
  <c r="AP152" i="14"/>
  <c r="P130" i="14"/>
  <c r="AP147" i="14"/>
  <c r="F165" i="14"/>
  <c r="AF165" i="14"/>
  <c r="F225" i="14"/>
  <c r="AF225" i="14"/>
  <c r="F201" i="14"/>
  <c r="AF201" i="14"/>
  <c r="F194" i="14"/>
  <c r="AF194" i="14"/>
  <c r="F163" i="14"/>
  <c r="AF163" i="14"/>
  <c r="F220" i="14"/>
  <c r="AF236" i="14"/>
  <c r="AF253" i="14"/>
  <c r="F244" i="14"/>
  <c r="AF212" i="14"/>
  <c r="F236" i="14"/>
  <c r="AF307" i="14"/>
  <c r="F253" i="14"/>
  <c r="AF244" i="14"/>
  <c r="AF296" i="14"/>
  <c r="F196" i="14"/>
  <c r="AF204" i="14"/>
  <c r="F212" i="14"/>
  <c r="AF220" i="14"/>
  <c r="AF196" i="14"/>
  <c r="F204" i="14"/>
  <c r="AF315" i="14"/>
  <c r="AF331" i="14" l="1"/>
  <c r="AF339" i="14"/>
  <c r="AF175" i="14"/>
  <c r="F175" i="14"/>
  <c r="F279" i="14"/>
  <c r="F188" i="14"/>
  <c r="F197" i="14"/>
  <c r="F227" i="14"/>
  <c r="AF188" i="14"/>
  <c r="F182" i="14"/>
  <c r="D22" i="14" s="1"/>
  <c r="D40" i="14" s="1"/>
  <c r="B42" i="14" s="1"/>
  <c r="D42" i="14" s="1"/>
  <c r="D43" i="14" s="1"/>
  <c r="D80" i="14" s="1"/>
  <c r="AF237" i="14"/>
  <c r="AF316" i="14"/>
  <c r="F205" i="14"/>
  <c r="AF308" i="14"/>
  <c r="AF205" i="14"/>
  <c r="AF221" i="14"/>
  <c r="F213" i="14"/>
  <c r="AF213" i="14"/>
  <c r="AF245" i="14"/>
  <c r="F264" i="14"/>
  <c r="AF227" i="14"/>
  <c r="AF182" i="14"/>
  <c r="F245" i="14"/>
  <c r="F254" i="14"/>
  <c r="F271" i="14"/>
  <c r="AF264" i="14"/>
  <c r="F221" i="14"/>
  <c r="F237" i="14"/>
  <c r="AF324" i="14"/>
  <c r="AF271" i="14"/>
  <c r="AF197" i="14"/>
  <c r="AF279" i="14"/>
  <c r="AF254" i="14"/>
  <c r="AF297" i="14"/>
  <c r="D70" i="14" l="1"/>
  <c r="H41" i="14"/>
  <c r="G41" i="14" s="1"/>
  <c r="E43" i="14"/>
  <c r="J89" i="14"/>
  <c r="H43" i="14"/>
  <c r="B73" i="14" l="1"/>
  <c r="D73" i="14" s="1"/>
  <c r="E70" i="14"/>
  <c r="AE331" i="8" l="1"/>
  <c r="AG331" i="8" s="1"/>
  <c r="AG335" i="8" s="1"/>
  <c r="AI340" i="8" s="1"/>
  <c r="C233" i="8"/>
  <c r="E233" i="8" s="1"/>
  <c r="E237" i="8" s="1"/>
  <c r="G242" i="8" s="1"/>
  <c r="E37" i="8"/>
  <c r="E41" i="8" s="1"/>
  <c r="G46" i="8" s="1"/>
  <c r="X577" i="8"/>
  <c r="Z577" i="8" s="1"/>
  <c r="Z581" i="8" s="1"/>
  <c r="AB586" i="8" s="1"/>
  <c r="J577" i="8"/>
  <c r="L577" i="8" s="1"/>
  <c r="L581" i="8" s="1"/>
  <c r="N586" i="8" s="1"/>
  <c r="Q233" i="8"/>
  <c r="S233" i="8" s="1"/>
  <c r="S237" i="8" s="1"/>
  <c r="U242" i="8" s="1"/>
  <c r="C577" i="8"/>
  <c r="E577" i="8" s="1"/>
  <c r="E581" i="8" s="1"/>
  <c r="G586" i="8" s="1"/>
  <c r="C627" i="8"/>
  <c r="E627" i="8" s="1"/>
  <c r="E631" i="8" s="1"/>
  <c r="G636" i="8" s="1"/>
  <c r="Q184" i="8"/>
  <c r="S184" i="8" s="1"/>
  <c r="S188" i="8" s="1"/>
  <c r="U193" i="8" s="1"/>
  <c r="AL331" i="8"/>
  <c r="AN331" i="8" s="1"/>
  <c r="AN335" i="8" s="1"/>
  <c r="AP340" i="8" s="1"/>
  <c r="C331" i="8"/>
  <c r="E331" i="8" s="1"/>
  <c r="E335" i="8" s="1"/>
  <c r="G340" i="8" s="1"/>
  <c r="C135" i="8"/>
  <c r="E135" i="8" s="1"/>
  <c r="E139" i="8" s="1"/>
  <c r="G144" i="8" s="1"/>
  <c r="C184" i="8"/>
  <c r="E184" i="8" s="1"/>
  <c r="E188" i="8" s="1"/>
  <c r="G193" i="8" s="1"/>
  <c r="J478" i="8"/>
  <c r="L478" i="8" s="1"/>
  <c r="L482" i="8" s="1"/>
  <c r="N487" i="8" s="1"/>
  <c r="C86" i="8"/>
  <c r="E86" i="8" s="1"/>
  <c r="E90" i="8" s="1"/>
  <c r="G95" i="8" s="1"/>
  <c r="J429" i="8"/>
  <c r="L429" i="8" s="1"/>
  <c r="L433" i="8" s="1"/>
  <c r="N438" i="8" s="1"/>
  <c r="J282" i="8"/>
  <c r="L282" i="8" s="1"/>
  <c r="L286" i="8" s="1"/>
  <c r="N291" i="8" s="1"/>
  <c r="Q282" i="8"/>
  <c r="S282" i="8" s="1"/>
  <c r="S286" i="8" s="1"/>
  <c r="U291" i="8" s="1"/>
  <c r="Q331" i="8"/>
  <c r="S331" i="8" s="1"/>
  <c r="S335" i="8" s="1"/>
  <c r="U340" i="8" s="1"/>
  <c r="Q577" i="8"/>
  <c r="S577" i="8" s="1"/>
  <c r="S581" i="8" s="1"/>
  <c r="U586" i="8" s="1"/>
  <c r="J527" i="8"/>
  <c r="L527" i="8" s="1"/>
  <c r="L531" i="8" s="1"/>
  <c r="N536" i="8" s="1"/>
  <c r="J86" i="8"/>
  <c r="L86" i="8" s="1"/>
  <c r="L90" i="8" s="1"/>
  <c r="N95" i="8" s="1"/>
  <c r="J331" i="8"/>
  <c r="L331" i="8" s="1"/>
  <c r="L335" i="8" s="1"/>
  <c r="N340" i="8" s="1"/>
  <c r="C380" i="8"/>
  <c r="E380" i="8" s="1"/>
  <c r="E384" i="8" s="1"/>
  <c r="G389" i="8" s="1"/>
  <c r="J135" i="8"/>
  <c r="L135" i="8" s="1"/>
  <c r="L139" i="8" s="1"/>
  <c r="N144" i="8" s="1"/>
  <c r="J184" i="8"/>
  <c r="L184" i="8" s="1"/>
  <c r="L188" i="8" s="1"/>
  <c r="N193" i="8" s="1"/>
  <c r="X331" i="8"/>
  <c r="Z331" i="8" s="1"/>
  <c r="Z335" i="8" s="1"/>
  <c r="AB340" i="8" s="1"/>
  <c r="C429" i="8"/>
  <c r="E429" i="8" s="1"/>
  <c r="E433" i="8" s="1"/>
  <c r="G438" i="8" s="1"/>
  <c r="J233" i="8"/>
  <c r="L233" i="8" s="1"/>
  <c r="L237" i="8" s="1"/>
  <c r="N242" i="8" s="1"/>
  <c r="J627" i="8"/>
  <c r="L627" i="8" s="1"/>
  <c r="L631" i="8" s="1"/>
  <c r="N636" i="8" s="1"/>
  <c r="J380" i="8"/>
  <c r="L380" i="8" s="1"/>
  <c r="L384" i="8" s="1"/>
  <c r="N389" i="8" s="1"/>
  <c r="Q135" i="8"/>
  <c r="S135" i="8" s="1"/>
  <c r="S139" i="8" s="1"/>
  <c r="U144" i="8" s="1"/>
  <c r="C527" i="8"/>
  <c r="E527" i="8" s="1"/>
  <c r="E531" i="8" s="1"/>
  <c r="G536" i="8" s="1"/>
  <c r="C282" i="8"/>
  <c r="E282" i="8" s="1"/>
  <c r="E286" i="8" s="1"/>
  <c r="G291" i="8" s="1"/>
  <c r="J37" i="8"/>
  <c r="L37" i="8" s="1"/>
  <c r="L41" i="8" s="1"/>
  <c r="N46" i="8" s="1"/>
  <c r="C478" i="8"/>
  <c r="E478" i="8" s="1"/>
  <c r="E482" i="8" s="1"/>
  <c r="G487" i="8" s="1"/>
  <c r="D74" i="14" l="1"/>
  <c r="D75" i="14" l="1"/>
  <c r="D76" i="14" s="1"/>
  <c r="F87" i="14"/>
  <c r="F74" i="14" s="1"/>
  <c r="G87" i="14" l="1"/>
  <c r="H87" i="14"/>
  <c r="B81" i="14"/>
  <c r="D8" i="9"/>
  <c r="F80" i="9" s="1"/>
  <c r="D6" i="5"/>
  <c r="E78" i="5" s="1"/>
  <c r="D6" i="12"/>
  <c r="B77" i="12" s="1"/>
  <c r="D77" i="12" s="1"/>
  <c r="E75" i="1"/>
  <c r="B75" i="1"/>
  <c r="G42" i="8" s="1"/>
  <c r="D8" i="15"/>
  <c r="B80" i="15" s="1"/>
  <c r="E80" i="15" s="1"/>
  <c r="D6" i="13"/>
  <c r="E75" i="13" s="1"/>
  <c r="E81" i="14"/>
  <c r="F80" i="15" l="1"/>
  <c r="D75" i="1"/>
  <c r="D76" i="1" s="1"/>
  <c r="D78" i="1" s="1"/>
  <c r="D79" i="1" s="1"/>
  <c r="D82" i="1" s="1"/>
  <c r="E82" i="1" s="1"/>
  <c r="B78" i="5"/>
  <c r="D78" i="5" s="1"/>
  <c r="D79" i="5" s="1"/>
  <c r="D81" i="5" s="1"/>
  <c r="D82" i="5" s="1"/>
  <c r="D81" i="14"/>
  <c r="D82" i="14" s="1"/>
  <c r="B80" i="9"/>
  <c r="E80" i="9" s="1"/>
  <c r="E81" i="9" s="1"/>
  <c r="G39" i="8"/>
  <c r="C42" i="8"/>
  <c r="C91" i="8" s="1"/>
  <c r="E91" i="8" s="1"/>
  <c r="D78" i="12"/>
  <c r="D6" i="19"/>
  <c r="E75" i="19" s="1"/>
  <c r="E81" i="15"/>
  <c r="E83" i="15" s="1"/>
  <c r="E84" i="15" s="1"/>
  <c r="J189" i="8"/>
  <c r="L189" i="8" s="1"/>
  <c r="J287" i="8"/>
  <c r="L287" i="8" s="1"/>
  <c r="C336" i="8"/>
  <c r="E336" i="8" s="1"/>
  <c r="B75" i="13"/>
  <c r="D8" i="16"/>
  <c r="E77" i="12"/>
  <c r="D8" i="17"/>
  <c r="D8" i="18"/>
  <c r="J82" i="1" l="1"/>
  <c r="C82" i="1"/>
  <c r="D15" i="1" s="1"/>
  <c r="J140" i="8"/>
  <c r="L140" i="8" s="1"/>
  <c r="L141" i="8" s="1"/>
  <c r="C385" i="8"/>
  <c r="E385" i="8" s="1"/>
  <c r="E386" i="8" s="1"/>
  <c r="E387" i="8" s="1"/>
  <c r="E390" i="8" s="1"/>
  <c r="Q582" i="8"/>
  <c r="S582" i="8" s="1"/>
  <c r="S583" i="8" s="1"/>
  <c r="S584" i="8" s="1"/>
  <c r="J238" i="8"/>
  <c r="L238" i="8" s="1"/>
  <c r="L239" i="8" s="1"/>
  <c r="C189" i="8"/>
  <c r="E189" i="8" s="1"/>
  <c r="E190" i="8" s="1"/>
  <c r="E194" i="8" s="1"/>
  <c r="J91" i="8"/>
  <c r="L91" i="8" s="1"/>
  <c r="L92" i="8" s="1"/>
  <c r="C287" i="8"/>
  <c r="E287" i="8" s="1"/>
  <c r="E288" i="8" s="1"/>
  <c r="E292" i="8" s="1"/>
  <c r="J483" i="8"/>
  <c r="L483" i="8" s="1"/>
  <c r="L484" i="8" s="1"/>
  <c r="L485" i="8" s="1"/>
  <c r="Q140" i="8"/>
  <c r="S140" i="8" s="1"/>
  <c r="S141" i="8" s="1"/>
  <c r="E83" i="9"/>
  <c r="E84" i="9" s="1"/>
  <c r="E87" i="9" s="1"/>
  <c r="G87" i="9" s="1"/>
  <c r="C140" i="8"/>
  <c r="E140" i="8" s="1"/>
  <c r="E141" i="8" s="1"/>
  <c r="E145" i="8" s="1"/>
  <c r="J532" i="8"/>
  <c r="L532" i="8" s="1"/>
  <c r="L533" i="8" s="1"/>
  <c r="L534" i="8" s="1"/>
  <c r="Q287" i="8"/>
  <c r="S287" i="8" s="1"/>
  <c r="S288" i="8" s="1"/>
  <c r="S289" i="8" s="1"/>
  <c r="S292" i="8" s="1"/>
  <c r="AL336" i="8"/>
  <c r="AN336" i="8" s="1"/>
  <c r="AN337" i="8" s="1"/>
  <c r="AN338" i="8" s="1"/>
  <c r="X582" i="8"/>
  <c r="Z582" i="8" s="1"/>
  <c r="J42" i="8"/>
  <c r="L42" i="8" s="1"/>
  <c r="L43" i="8" s="1"/>
  <c r="L44" i="8" s="1"/>
  <c r="E42" i="8"/>
  <c r="J434" i="8"/>
  <c r="L434" i="8" s="1"/>
  <c r="L435" i="8" s="1"/>
  <c r="L436" i="8" s="1"/>
  <c r="L439" i="8" s="1"/>
  <c r="C483" i="8"/>
  <c r="E483" i="8" s="1"/>
  <c r="E484" i="8" s="1"/>
  <c r="AE336" i="8"/>
  <c r="AG336" i="8" s="1"/>
  <c r="AG337" i="8" s="1"/>
  <c r="AG338" i="8" s="1"/>
  <c r="C434" i="8"/>
  <c r="E434" i="8" s="1"/>
  <c r="E435" i="8" s="1"/>
  <c r="E436" i="8" s="1"/>
  <c r="J385" i="8"/>
  <c r="L385" i="8" s="1"/>
  <c r="L386" i="8" s="1"/>
  <c r="J336" i="8"/>
  <c r="L336" i="8" s="1"/>
  <c r="L337" i="8" s="1"/>
  <c r="L338" i="8" s="1"/>
  <c r="H82" i="1"/>
  <c r="J582" i="8"/>
  <c r="L582" i="8" s="1"/>
  <c r="L583" i="8" s="1"/>
  <c r="L584" i="8" s="1"/>
  <c r="J632" i="8"/>
  <c r="L632" i="8" s="1"/>
  <c r="L633" i="8" s="1"/>
  <c r="L634" i="8" s="1"/>
  <c r="L637" i="8" s="1"/>
  <c r="X336" i="8"/>
  <c r="Z336" i="8" s="1"/>
  <c r="Z337" i="8" s="1"/>
  <c r="J76" i="1"/>
  <c r="J73" i="1" s="1"/>
  <c r="L79" i="1"/>
  <c r="M79" i="1" s="1"/>
  <c r="Q189" i="8"/>
  <c r="S189" i="8" s="1"/>
  <c r="Q238" i="8"/>
  <c r="S238" i="8" s="1"/>
  <c r="S239" i="8" s="1"/>
  <c r="S240" i="8" s="1"/>
  <c r="S243" i="8" s="1"/>
  <c r="B15" i="1"/>
  <c r="F66" i="1"/>
  <c r="I66" i="1" s="1"/>
  <c r="J86" i="1"/>
  <c r="J87" i="1" s="1"/>
  <c r="D83" i="1"/>
  <c r="C83" i="1" s="1"/>
  <c r="L30" i="1"/>
  <c r="M30" i="1" s="1"/>
  <c r="F82" i="1"/>
  <c r="L82" i="1"/>
  <c r="L29" i="1"/>
  <c r="M29" i="1" s="1"/>
  <c r="C238" i="8"/>
  <c r="E238" i="8" s="1"/>
  <c r="E239" i="8" s="1"/>
  <c r="K82" i="1"/>
  <c r="L28" i="1"/>
  <c r="M28" i="1" s="1"/>
  <c r="C632" i="8"/>
  <c r="E632" i="8" s="1"/>
  <c r="E633" i="8" s="1"/>
  <c r="E634" i="8" s="1"/>
  <c r="C582" i="8"/>
  <c r="E582" i="8" s="1"/>
  <c r="E583" i="8" s="1"/>
  <c r="C532" i="8"/>
  <c r="E532" i="8" s="1"/>
  <c r="E533" i="8" s="1"/>
  <c r="E534" i="8" s="1"/>
  <c r="Q336" i="8"/>
  <c r="S336" i="8" s="1"/>
  <c r="F80" i="16"/>
  <c r="B80" i="16"/>
  <c r="E80" i="16" s="1"/>
  <c r="S190" i="8"/>
  <c r="S191" i="8" s="1"/>
  <c r="E337" i="8"/>
  <c r="L288" i="8"/>
  <c r="L289" i="8" s="1"/>
  <c r="L292" i="8" s="1"/>
  <c r="Z583" i="8"/>
  <c r="Z584" i="8" s="1"/>
  <c r="E43" i="8"/>
  <c r="D75" i="13"/>
  <c r="B75" i="19"/>
  <c r="D75" i="19" s="1"/>
  <c r="L190" i="8"/>
  <c r="L191" i="8" s="1"/>
  <c r="E637" i="8"/>
  <c r="G71" i="15"/>
  <c r="J71" i="15" s="1"/>
  <c r="E87" i="15"/>
  <c r="I83" i="15"/>
  <c r="D84" i="14"/>
  <c r="D85" i="14" s="1"/>
  <c r="F72" i="14" s="1"/>
  <c r="I72" i="14" s="1"/>
  <c r="F80" i="18"/>
  <c r="B80" i="18"/>
  <c r="E80" i="18" s="1"/>
  <c r="D80" i="12"/>
  <c r="D81" i="12" s="1"/>
  <c r="F68" i="12" s="1"/>
  <c r="I68" i="12" s="1"/>
  <c r="E92" i="8"/>
  <c r="E93" i="8" s="1"/>
  <c r="E96" i="8" s="1"/>
  <c r="F69" i="5"/>
  <c r="I69" i="5" s="1"/>
  <c r="D85" i="5"/>
  <c r="J89" i="5"/>
  <c r="B80" i="17"/>
  <c r="E80" i="17" s="1"/>
  <c r="F80" i="17"/>
  <c r="G81" i="9" l="1"/>
  <c r="G78" i="9" s="1"/>
  <c r="I87" i="9"/>
  <c r="C87" i="9"/>
  <c r="E18" i="9" s="1"/>
  <c r="F87" i="9"/>
  <c r="E88" i="9"/>
  <c r="C88" i="9" s="1"/>
  <c r="G83" i="15"/>
  <c r="H31" i="15" s="1"/>
  <c r="L387" i="8"/>
  <c r="L390" i="8" s="1"/>
  <c r="E243" i="8"/>
  <c r="N21" i="5" s="1"/>
  <c r="B18" i="9"/>
  <c r="Z338" i="8"/>
  <c r="Z341" i="8" s="1"/>
  <c r="AB341" i="8" s="1"/>
  <c r="AB342" i="8" s="1"/>
  <c r="J87" i="12"/>
  <c r="J88" i="12" s="1"/>
  <c r="K87" i="12" s="1"/>
  <c r="G71" i="9"/>
  <c r="J71" i="9" s="1"/>
  <c r="I83" i="9"/>
  <c r="G83" i="9" s="1"/>
  <c r="H31" i="9" s="1"/>
  <c r="E584" i="8"/>
  <c r="E587" i="8" s="1"/>
  <c r="D587" i="8" s="1"/>
  <c r="E537" i="8"/>
  <c r="E538" i="8" s="1"/>
  <c r="D538" i="8" s="1"/>
  <c r="L537" i="8"/>
  <c r="N537" i="8" s="1"/>
  <c r="N538" i="8" s="1"/>
  <c r="L587" i="8"/>
  <c r="K587" i="8" s="1"/>
  <c r="E439" i="8"/>
  <c r="D439" i="8" s="1"/>
  <c r="F394" i="8" s="1"/>
  <c r="U40" i="6" s="1"/>
  <c r="L93" i="8"/>
  <c r="L96" i="8" s="1"/>
  <c r="S194" i="8"/>
  <c r="R194" i="8" s="1"/>
  <c r="S337" i="8"/>
  <c r="S338" i="8" s="1"/>
  <c r="Z587" i="8"/>
  <c r="AB587" i="8" s="1"/>
  <c r="AB588" i="8" s="1"/>
  <c r="S587" i="8"/>
  <c r="S588" i="8" s="1"/>
  <c r="R588" i="8" s="1"/>
  <c r="L240" i="8"/>
  <c r="L243" i="8" s="1"/>
  <c r="AG341" i="8"/>
  <c r="AF341" i="8" s="1"/>
  <c r="AH296" i="8" s="1"/>
  <c r="D84" i="12"/>
  <c r="F84" i="12" s="1"/>
  <c r="N21" i="19"/>
  <c r="E293" i="8"/>
  <c r="D293" i="8" s="1"/>
  <c r="N21" i="1"/>
  <c r="F247" i="8"/>
  <c r="F248" i="8" s="1"/>
  <c r="F292" i="8"/>
  <c r="D292" i="8"/>
  <c r="G292" i="8"/>
  <c r="G293" i="8" s="1"/>
  <c r="N21" i="13"/>
  <c r="F96" i="8"/>
  <c r="C97" i="8"/>
  <c r="F52" i="8" s="1"/>
  <c r="D96" i="8"/>
  <c r="F51" i="8" s="1"/>
  <c r="U20" i="6" s="1"/>
  <c r="G96" i="8"/>
  <c r="G97" i="8" s="1"/>
  <c r="E97" i="8"/>
  <c r="D97" i="8" s="1"/>
  <c r="AA587" i="8"/>
  <c r="N637" i="8"/>
  <c r="N638" i="8" s="1"/>
  <c r="M637" i="8"/>
  <c r="M592" i="8"/>
  <c r="L638" i="8"/>
  <c r="K638" i="8" s="1"/>
  <c r="K637" i="8"/>
  <c r="G194" i="8"/>
  <c r="G195" i="8" s="1"/>
  <c r="D194" i="8"/>
  <c r="N22" i="1"/>
  <c r="N22" i="13"/>
  <c r="F194" i="8"/>
  <c r="F149" i="8"/>
  <c r="N22" i="19"/>
  <c r="E195" i="8"/>
  <c r="D195" i="8" s="1"/>
  <c r="D390" i="8"/>
  <c r="F345" i="8" s="1"/>
  <c r="R40" i="6" s="1"/>
  <c r="F390" i="8"/>
  <c r="G390" i="8"/>
  <c r="G391" i="8" s="1"/>
  <c r="E391" i="8"/>
  <c r="D391" i="8" s="1"/>
  <c r="U292" i="8"/>
  <c r="U293" i="8" s="1"/>
  <c r="T247" i="8"/>
  <c r="T248" i="8" s="1"/>
  <c r="R292" i="8"/>
  <c r="T292" i="8"/>
  <c r="S293" i="8"/>
  <c r="R293" i="8" s="1"/>
  <c r="R243" i="8"/>
  <c r="U243" i="8"/>
  <c r="U244" i="8" s="1"/>
  <c r="S244" i="8"/>
  <c r="R244" i="8" s="1"/>
  <c r="T198" i="8"/>
  <c r="T199" i="8" s="1"/>
  <c r="T243" i="8"/>
  <c r="S142" i="8"/>
  <c r="S145" i="8" s="1"/>
  <c r="L47" i="8"/>
  <c r="AN341" i="8"/>
  <c r="L341" i="8"/>
  <c r="K84" i="1"/>
  <c r="K85" i="1"/>
  <c r="J90" i="5"/>
  <c r="K89" i="5" s="1"/>
  <c r="L440" i="8"/>
  <c r="K440" i="8" s="1"/>
  <c r="N439" i="8"/>
  <c r="N440" i="8" s="1"/>
  <c r="K439" i="8"/>
  <c r="M394" i="8" s="1"/>
  <c r="U24" i="6" s="1"/>
  <c r="M439" i="8"/>
  <c r="J91" i="14"/>
  <c r="E44" i="8"/>
  <c r="E47" i="8" s="1"/>
  <c r="L488" i="8"/>
  <c r="E485" i="8"/>
  <c r="E488" i="8" s="1"/>
  <c r="D88" i="14"/>
  <c r="L142" i="8"/>
  <c r="L145" i="8" s="1"/>
  <c r="E81" i="17"/>
  <c r="L194" i="8"/>
  <c r="E81" i="18"/>
  <c r="C85" i="5"/>
  <c r="D16" i="5" s="1"/>
  <c r="J85" i="5"/>
  <c r="L85" i="5"/>
  <c r="B16" i="5"/>
  <c r="H85" i="5"/>
  <c r="D86" i="5"/>
  <c r="C86" i="5" s="1"/>
  <c r="J79" i="5"/>
  <c r="J76" i="5" s="1"/>
  <c r="E85" i="5"/>
  <c r="K85" i="5"/>
  <c r="F85" i="5"/>
  <c r="D76" i="19"/>
  <c r="D78" i="19" s="1"/>
  <c r="D79" i="19" s="1"/>
  <c r="D637" i="8"/>
  <c r="F637" i="8"/>
  <c r="L639" i="8"/>
  <c r="F592" i="8"/>
  <c r="E638" i="8"/>
  <c r="D638" i="8" s="1"/>
  <c r="G637" i="8"/>
  <c r="G638" i="8" s="1"/>
  <c r="D76" i="13"/>
  <c r="E338" i="8"/>
  <c r="E341" i="8" s="1"/>
  <c r="M247" i="8"/>
  <c r="M248" i="8" s="1"/>
  <c r="M292" i="8"/>
  <c r="K292" i="8"/>
  <c r="L293" i="8"/>
  <c r="K293" i="8" s="1"/>
  <c r="N292" i="8"/>
  <c r="N293" i="8" s="1"/>
  <c r="G537" i="8"/>
  <c r="G538" i="8" s="1"/>
  <c r="F537" i="8"/>
  <c r="D537" i="8"/>
  <c r="F492" i="8" s="1"/>
  <c r="U60" i="6" s="1"/>
  <c r="G145" i="8"/>
  <c r="G146" i="8" s="1"/>
  <c r="E146" i="8"/>
  <c r="D146" i="8" s="1"/>
  <c r="D145" i="8"/>
  <c r="F145" i="8"/>
  <c r="F100" i="8"/>
  <c r="N22" i="5"/>
  <c r="N22" i="14"/>
  <c r="K86" i="1"/>
  <c r="C87" i="15"/>
  <c r="E18" i="15" s="1"/>
  <c r="E88" i="15"/>
  <c r="C88" i="15" s="1"/>
  <c r="I87" i="15"/>
  <c r="J81" i="15"/>
  <c r="J78" i="15" s="1"/>
  <c r="B18" i="15"/>
  <c r="G87" i="15"/>
  <c r="F87" i="15"/>
  <c r="E81" i="16"/>
  <c r="E83" i="16" s="1"/>
  <c r="E84" i="16" s="1"/>
  <c r="U587" i="8" l="1"/>
  <c r="U588" i="8" s="1"/>
  <c r="G587" i="8"/>
  <c r="G588" i="8" s="1"/>
  <c r="AA341" i="8"/>
  <c r="Y341" i="8"/>
  <c r="AA296" i="8" s="1"/>
  <c r="D243" i="8"/>
  <c r="E244" i="8"/>
  <c r="D244" i="8" s="1"/>
  <c r="F198" i="8"/>
  <c r="F199" i="8" s="1"/>
  <c r="N21" i="14"/>
  <c r="G243" i="8"/>
  <c r="G244" i="8" s="1"/>
  <c r="M390" i="8"/>
  <c r="L391" i="8"/>
  <c r="K391" i="8" s="1"/>
  <c r="N390" i="8"/>
  <c r="N391" i="8" s="1"/>
  <c r="F542" i="8"/>
  <c r="F587" i="8"/>
  <c r="F243" i="8"/>
  <c r="E588" i="8"/>
  <c r="D588" i="8" s="1"/>
  <c r="Z342" i="8"/>
  <c r="Y342" i="8" s="1"/>
  <c r="B16" i="12"/>
  <c r="K83" i="12"/>
  <c r="C84" i="12"/>
  <c r="D16" i="12" s="1"/>
  <c r="J83" i="12"/>
  <c r="J78" i="12"/>
  <c r="J75" i="12" s="1"/>
  <c r="E84" i="12"/>
  <c r="K537" i="8"/>
  <c r="M492" i="8" s="1"/>
  <c r="U44" i="6" s="1"/>
  <c r="I22" i="1" s="1"/>
  <c r="K22" i="1" s="1"/>
  <c r="L538" i="8"/>
  <c r="K538" i="8" s="1"/>
  <c r="M537" i="8"/>
  <c r="E440" i="8"/>
  <c r="D440" i="8" s="1"/>
  <c r="L83" i="12"/>
  <c r="K390" i="8"/>
  <c r="M345" i="8" s="1"/>
  <c r="R24" i="6" s="1"/>
  <c r="I20" i="14" s="1"/>
  <c r="K20" i="14" s="1"/>
  <c r="F439" i="8"/>
  <c r="G439" i="8"/>
  <c r="G440" i="8" s="1"/>
  <c r="L588" i="8"/>
  <c r="K588" i="8" s="1"/>
  <c r="M542" i="8"/>
  <c r="H84" i="12"/>
  <c r="N587" i="8"/>
  <c r="N588" i="8" s="1"/>
  <c r="D85" i="12"/>
  <c r="C85" i="12" s="1"/>
  <c r="M587" i="8"/>
  <c r="AH341" i="8"/>
  <c r="AI341" i="8"/>
  <c r="AI342" i="8" s="1"/>
  <c r="AG342" i="8"/>
  <c r="AF342" i="8" s="1"/>
  <c r="AA542" i="8"/>
  <c r="Y587" i="8"/>
  <c r="K87" i="1"/>
  <c r="K243" i="8"/>
  <c r="L244" i="8"/>
  <c r="K244" i="8" s="1"/>
  <c r="M198" i="8"/>
  <c r="M199" i="8" s="1"/>
  <c r="M243" i="8"/>
  <c r="N243" i="8"/>
  <c r="N244" i="8" s="1"/>
  <c r="N96" i="8"/>
  <c r="N97" i="8" s="1"/>
  <c r="K96" i="8"/>
  <c r="M51" i="8" s="1"/>
  <c r="U4" i="6" s="1"/>
  <c r="I18" i="13" s="1"/>
  <c r="K18" i="13" s="1"/>
  <c r="M18" i="13" s="1"/>
  <c r="M96" i="8"/>
  <c r="J97" i="8"/>
  <c r="M52" i="8" s="1"/>
  <c r="L97" i="8"/>
  <c r="K97" i="8" s="1"/>
  <c r="S195" i="8"/>
  <c r="R195" i="8" s="1"/>
  <c r="T149" i="8"/>
  <c r="U194" i="8"/>
  <c r="U195" i="8" s="1"/>
  <c r="T194" i="8"/>
  <c r="S341" i="8"/>
  <c r="Z588" i="8"/>
  <c r="Y588" i="8" s="1"/>
  <c r="R587" i="8"/>
  <c r="T587" i="8"/>
  <c r="T542" i="8"/>
  <c r="U145" i="8"/>
  <c r="U146" i="8" s="1"/>
  <c r="S146" i="8"/>
  <c r="R146" i="8" s="1"/>
  <c r="T100" i="8"/>
  <c r="T145" i="8"/>
  <c r="R145" i="8"/>
  <c r="F488" i="8"/>
  <c r="D488" i="8"/>
  <c r="F443" i="8" s="1"/>
  <c r="R60" i="6" s="1"/>
  <c r="G488" i="8"/>
  <c r="G489" i="8" s="1"/>
  <c r="E489" i="8"/>
  <c r="D489" i="8" s="1"/>
  <c r="D47" i="8"/>
  <c r="F2" i="8" s="1"/>
  <c r="R20" i="6" s="1"/>
  <c r="E48" i="8"/>
  <c r="D48" i="8" s="1"/>
  <c r="F47" i="8"/>
  <c r="G47" i="8"/>
  <c r="G48" i="8" s="1"/>
  <c r="L146" i="8"/>
  <c r="K146" i="8" s="1"/>
  <c r="K145" i="8"/>
  <c r="N145" i="8"/>
  <c r="N146" i="8" s="1"/>
  <c r="M145" i="8"/>
  <c r="M100" i="8"/>
  <c r="D341" i="8"/>
  <c r="F296" i="8" s="1"/>
  <c r="E342" i="8"/>
  <c r="D342" i="8" s="1"/>
  <c r="G341" i="8"/>
  <c r="G342" i="8" s="1"/>
  <c r="F341" i="8"/>
  <c r="AO341" i="8"/>
  <c r="AP341" i="8"/>
  <c r="AP342" i="8" s="1"/>
  <c r="AM341" i="8"/>
  <c r="AO296" i="8" s="1"/>
  <c r="AN342" i="8"/>
  <c r="AM342" i="8" s="1"/>
  <c r="L489" i="8"/>
  <c r="K489" i="8" s="1"/>
  <c r="N488" i="8"/>
  <c r="N489" i="8" s="1"/>
  <c r="M488" i="8"/>
  <c r="K488" i="8"/>
  <c r="M443" i="8" s="1"/>
  <c r="R44" i="6" s="1"/>
  <c r="E83" i="18"/>
  <c r="E84" i="18" s="1"/>
  <c r="G71" i="18" s="1"/>
  <c r="J71" i="18" s="1"/>
  <c r="J92" i="14"/>
  <c r="K86" i="12"/>
  <c r="K85" i="12"/>
  <c r="E87" i="16"/>
  <c r="G71" i="16"/>
  <c r="J71" i="16" s="1"/>
  <c r="I83" i="16"/>
  <c r="J82" i="14"/>
  <c r="J79" i="14" s="1"/>
  <c r="E88" i="14"/>
  <c r="B16" i="14"/>
  <c r="C88" i="14"/>
  <c r="D16" i="14" s="1"/>
  <c r="L87" i="14"/>
  <c r="F88" i="14"/>
  <c r="D89" i="14"/>
  <c r="C89" i="14" s="1"/>
  <c r="J87" i="14"/>
  <c r="H88" i="14"/>
  <c r="K87" i="14"/>
  <c r="J86" i="19"/>
  <c r="D82" i="19"/>
  <c r="F66" i="19"/>
  <c r="I66" i="19" s="1"/>
  <c r="L48" i="8"/>
  <c r="K48" i="8" s="1"/>
  <c r="K47" i="8"/>
  <c r="M2" i="8" s="1"/>
  <c r="R4" i="6" s="1"/>
  <c r="M47" i="8"/>
  <c r="N47" i="8"/>
  <c r="N48" i="8" s="1"/>
  <c r="I20" i="13"/>
  <c r="K20" i="13" s="1"/>
  <c r="I21" i="14"/>
  <c r="K21" i="14" s="1"/>
  <c r="U32" i="6"/>
  <c r="U28" i="6" s="1"/>
  <c r="I20" i="1"/>
  <c r="K20" i="1" s="1"/>
  <c r="I20" i="19"/>
  <c r="K20" i="19" s="1"/>
  <c r="I21" i="5"/>
  <c r="K21" i="5" s="1"/>
  <c r="D78" i="13"/>
  <c r="D79" i="13" s="1"/>
  <c r="J86" i="13" s="1"/>
  <c r="K87" i="5"/>
  <c r="K88" i="5"/>
  <c r="L195" i="8"/>
  <c r="K195" i="8" s="1"/>
  <c r="M149" i="8"/>
  <c r="M194" i="8"/>
  <c r="K194" i="8"/>
  <c r="N194" i="8"/>
  <c r="N195" i="8" s="1"/>
  <c r="E83" i="17"/>
  <c r="E84" i="17" s="1"/>
  <c r="I83" i="17" s="1"/>
  <c r="L342" i="8"/>
  <c r="K342" i="8" s="1"/>
  <c r="K341" i="8"/>
  <c r="M296" i="8" s="1"/>
  <c r="M341" i="8"/>
  <c r="N341" i="8"/>
  <c r="N342" i="8" s="1"/>
  <c r="U52" i="6"/>
  <c r="I23" i="14"/>
  <c r="K23" i="14" s="1"/>
  <c r="I23" i="5"/>
  <c r="K23" i="5" s="1"/>
  <c r="I22" i="13"/>
  <c r="K22" i="13" s="1"/>
  <c r="I22" i="19"/>
  <c r="K22" i="19" s="1"/>
  <c r="I19" i="13" l="1"/>
  <c r="K19" i="13" s="1"/>
  <c r="I20" i="5"/>
  <c r="K20" i="5" s="1"/>
  <c r="I19" i="19"/>
  <c r="K19" i="19" s="1"/>
  <c r="R32" i="6"/>
  <c r="R28" i="6" s="1"/>
  <c r="R26" i="6" s="1"/>
  <c r="I19" i="1"/>
  <c r="K19" i="1" s="1"/>
  <c r="I83" i="18"/>
  <c r="U12" i="6"/>
  <c r="U8" i="6" s="1"/>
  <c r="I18" i="19"/>
  <c r="K18" i="19" s="1"/>
  <c r="M18" i="19" s="1"/>
  <c r="I19" i="5"/>
  <c r="K19" i="5" s="1"/>
  <c r="M19" i="5" s="1"/>
  <c r="I18" i="1"/>
  <c r="K18" i="1" s="1"/>
  <c r="M18" i="1" s="1"/>
  <c r="F66" i="13"/>
  <c r="I66" i="13" s="1"/>
  <c r="I19" i="14"/>
  <c r="K19" i="14" s="1"/>
  <c r="M19" i="14" s="1"/>
  <c r="D82" i="13"/>
  <c r="J82" i="13" s="1"/>
  <c r="E87" i="17"/>
  <c r="B18" i="17" s="1"/>
  <c r="G71" i="17"/>
  <c r="J71" i="17" s="1"/>
  <c r="R341" i="8"/>
  <c r="T296" i="8" s="1"/>
  <c r="U341" i="8"/>
  <c r="U342" i="8" s="1"/>
  <c r="T341" i="8"/>
  <c r="S342" i="8"/>
  <c r="R342" i="8" s="1"/>
  <c r="U30" i="6"/>
  <c r="U31" i="6" s="1"/>
  <c r="U29" i="6"/>
  <c r="U26" i="6"/>
  <c r="U10" i="6"/>
  <c r="U11" i="6" s="1"/>
  <c r="U6" i="6"/>
  <c r="J87" i="13"/>
  <c r="K86" i="13" s="1"/>
  <c r="G83" i="16"/>
  <c r="H31" i="16" s="1"/>
  <c r="R30" i="6"/>
  <c r="R31" i="6" s="1"/>
  <c r="E87" i="18"/>
  <c r="E90" i="16" s="1"/>
  <c r="C90" i="16" s="1"/>
  <c r="U56" i="6"/>
  <c r="U54" i="6" s="1"/>
  <c r="K90" i="5"/>
  <c r="U48" i="6"/>
  <c r="K88" i="12"/>
  <c r="R36" i="6"/>
  <c r="R12" i="6"/>
  <c r="R8" i="6" s="1"/>
  <c r="R6" i="6" s="1"/>
  <c r="I17" i="19"/>
  <c r="K17" i="19" s="1"/>
  <c r="I17" i="1"/>
  <c r="K17" i="1" s="1"/>
  <c r="I18" i="14"/>
  <c r="K18" i="14" s="1"/>
  <c r="I18" i="5"/>
  <c r="K18" i="5" s="1"/>
  <c r="I17" i="13"/>
  <c r="K17" i="13" s="1"/>
  <c r="K89" i="14"/>
  <c r="K90" i="14"/>
  <c r="K91" i="14"/>
  <c r="B15" i="19"/>
  <c r="D83" i="19"/>
  <c r="C83" i="19" s="1"/>
  <c r="E82" i="19"/>
  <c r="H82" i="19"/>
  <c r="C82" i="19"/>
  <c r="D15" i="19" s="1"/>
  <c r="J82" i="19"/>
  <c r="L82" i="19"/>
  <c r="K82" i="19"/>
  <c r="F82" i="19"/>
  <c r="J76" i="19"/>
  <c r="J73" i="19" s="1"/>
  <c r="U16" i="6"/>
  <c r="U14" i="6" s="1"/>
  <c r="J81" i="16"/>
  <c r="J78" i="16" s="1"/>
  <c r="I87" i="16"/>
  <c r="F87" i="16"/>
  <c r="G87" i="16"/>
  <c r="E88" i="16"/>
  <c r="C88" i="16" s="1"/>
  <c r="E89" i="16"/>
  <c r="C89" i="16" s="1"/>
  <c r="B18" i="16"/>
  <c r="C87" i="16"/>
  <c r="E18" i="16" s="1"/>
  <c r="E89" i="15"/>
  <c r="C89" i="15" s="1"/>
  <c r="U36" i="6"/>
  <c r="J87" i="19"/>
  <c r="K86" i="19" s="1"/>
  <c r="I21" i="19"/>
  <c r="K21" i="19" s="1"/>
  <c r="I22" i="14"/>
  <c r="K22" i="14" s="1"/>
  <c r="I21" i="13"/>
  <c r="K21" i="13" s="1"/>
  <c r="I21" i="1"/>
  <c r="K21" i="1" s="1"/>
  <c r="I22" i="5"/>
  <c r="K22" i="5" s="1"/>
  <c r="R52" i="6"/>
  <c r="R48" i="6" s="1"/>
  <c r="F87" i="17" l="1"/>
  <c r="E89" i="17"/>
  <c r="C89" i="17" s="1"/>
  <c r="G87" i="17"/>
  <c r="E88" i="17"/>
  <c r="C88" i="17" s="1"/>
  <c r="I87" i="17"/>
  <c r="C87" i="17"/>
  <c r="E18" i="17" s="1"/>
  <c r="G83" i="17"/>
  <c r="H31" i="17" s="1"/>
  <c r="D83" i="13"/>
  <c r="C83" i="13" s="1"/>
  <c r="K82" i="13"/>
  <c r="D84" i="19"/>
  <c r="G12" i="19" s="1"/>
  <c r="I12" i="19" s="1"/>
  <c r="F82" i="13"/>
  <c r="H82" i="13"/>
  <c r="U55" i="6"/>
  <c r="U53" i="6"/>
  <c r="R7" i="6"/>
  <c r="R5" i="6"/>
  <c r="R29" i="6"/>
  <c r="J81" i="17"/>
  <c r="J78" i="17" s="1"/>
  <c r="J76" i="13"/>
  <c r="J73" i="13" s="1"/>
  <c r="B15" i="13"/>
  <c r="C82" i="13"/>
  <c r="D15" i="13" s="1"/>
  <c r="E82" i="13"/>
  <c r="L82" i="13"/>
  <c r="U15" i="6"/>
  <c r="U13" i="6"/>
  <c r="R16" i="6"/>
  <c r="R14" i="6" s="1"/>
  <c r="R15" i="6" s="1"/>
  <c r="R38" i="6"/>
  <c r="R39" i="6" s="1"/>
  <c r="R34" i="6"/>
  <c r="K84" i="13"/>
  <c r="K85" i="13"/>
  <c r="K92" i="14"/>
  <c r="U50" i="6"/>
  <c r="U51" i="6" s="1"/>
  <c r="U46" i="6"/>
  <c r="U38" i="6"/>
  <c r="U39" i="6" s="1"/>
  <c r="G83" i="18"/>
  <c r="H31" i="18" s="1"/>
  <c r="U34" i="6"/>
  <c r="U18" i="6"/>
  <c r="U19" i="6" s="1"/>
  <c r="R56" i="6"/>
  <c r="R54" i="6" s="1"/>
  <c r="U7" i="6"/>
  <c r="U5" i="6"/>
  <c r="U58" i="6"/>
  <c r="U59" i="6" s="1"/>
  <c r="U9" i="6"/>
  <c r="R50" i="6"/>
  <c r="R51" i="6" s="1"/>
  <c r="K85" i="19"/>
  <c r="K84" i="19"/>
  <c r="R46" i="6"/>
  <c r="R10" i="6"/>
  <c r="R11" i="6" s="1"/>
  <c r="R27" i="6"/>
  <c r="R25" i="6"/>
  <c r="U27" i="6"/>
  <c r="U25" i="6"/>
  <c r="C87" i="18"/>
  <c r="E18" i="18" s="1"/>
  <c r="E90" i="18"/>
  <c r="C90" i="18" s="1"/>
  <c r="J81" i="18"/>
  <c r="J78" i="18" s="1"/>
  <c r="E88" i="18"/>
  <c r="C88" i="18" s="1"/>
  <c r="B18" i="18"/>
  <c r="G87" i="18"/>
  <c r="E89" i="18"/>
  <c r="C89" i="18" s="1"/>
  <c r="F87" i="18"/>
  <c r="I87" i="18"/>
  <c r="E90" i="15"/>
  <c r="C90" i="15" s="1"/>
  <c r="K87" i="19" l="1"/>
  <c r="G12" i="13"/>
  <c r="I12" i="13" s="1"/>
  <c r="C84" i="19"/>
  <c r="R55" i="6"/>
  <c r="R53" i="6"/>
  <c r="U17" i="6"/>
  <c r="K87" i="13"/>
  <c r="R9" i="6"/>
  <c r="U47" i="6"/>
  <c r="U45" i="6"/>
  <c r="U57" i="6"/>
  <c r="U49" i="6"/>
  <c r="R35" i="6"/>
  <c r="R33" i="6"/>
  <c r="R47" i="6"/>
  <c r="R45" i="6"/>
  <c r="R58" i="6"/>
  <c r="R59" i="6" s="1"/>
  <c r="R37" i="6"/>
  <c r="R13" i="6"/>
  <c r="U35" i="6"/>
  <c r="U33" i="6"/>
  <c r="R18" i="6"/>
  <c r="R19" i="6" s="1"/>
  <c r="R49" i="6"/>
  <c r="U37" i="6"/>
  <c r="R17" i="6" l="1"/>
  <c r="R57" i="6"/>
  <c r="E5" i="5"/>
  <c r="E5" i="13"/>
  <c r="E5" i="19" s="1"/>
  <c r="E5" i="1"/>
  <c r="E5" i="12"/>
  <c r="E6" i="1"/>
  <c r="E6" i="5"/>
  <c r="E6" i="13"/>
  <c r="E6" i="19" s="1"/>
  <c r="E6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41" authorId="0" shapeId="0" xr:uid="{CCBC02A3-47A6-FD42-8D28-E3B09A47C64E}">
      <text>
        <r>
          <rPr>
            <b/>
            <sz val="10"/>
            <color rgb="FF000000"/>
            <rFont val="Tahoma"/>
            <family val="2"/>
          </rPr>
          <t>DAF -5% Inventory Discount (</t>
        </r>
        <r>
          <rPr>
            <b/>
            <sz val="9"/>
            <color rgb="FF000000"/>
            <rFont val="Tahoma"/>
            <family val="2"/>
          </rPr>
          <t>Standard</t>
        </r>
        <r>
          <rPr>
            <b/>
            <sz val="10"/>
            <color rgb="FF000000"/>
            <rFont val="Tahoma"/>
            <family val="2"/>
          </rPr>
          <t xml:space="preserve">)
</t>
        </r>
        <r>
          <rPr>
            <b/>
            <sz val="10"/>
            <color rgb="FF000000"/>
            <rFont val="Tahoma"/>
            <family val="2"/>
          </rPr>
          <t xml:space="preserve">***********
</t>
        </r>
        <r>
          <rPr>
            <b/>
            <sz val="10"/>
            <color rgb="FF000000"/>
            <rFont val="Tahoma"/>
            <family val="2"/>
          </rPr>
          <t xml:space="preserve">Cap discount at 
</t>
        </r>
        <r>
          <rPr>
            <b/>
            <sz val="10"/>
            <color rgb="FF000000"/>
            <rFont val="Tahoma"/>
            <family val="2"/>
          </rPr>
          <t>-15% (note TOTAL % DAF discount)</t>
        </r>
      </text>
    </comment>
    <comment ref="C41" authorId="0" shapeId="0" xr:uid="{3169C758-184B-D944-A430-0D0E0531A0F3}">
      <text>
        <r>
          <rPr>
            <b/>
            <sz val="10"/>
            <color rgb="FF000000"/>
            <rFont val="Calibri"/>
            <family val="2"/>
          </rPr>
          <t>DAF -5% Inventory Discount (</t>
        </r>
        <r>
          <rPr>
            <b/>
            <sz val="9"/>
            <color rgb="FF000000"/>
            <rFont val="Calibri"/>
            <family val="2"/>
          </rPr>
          <t>Standard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***********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Cap discount at 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-15% (note TOTAL % DAF discount)</t>
        </r>
      </text>
    </comment>
    <comment ref="A55" authorId="0" shapeId="0" xr:uid="{FAFEAAAA-B4B8-6843-8D70-3D391A72A5BA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00000000-0006-0000-0100-000002000000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14C40280-654C-C648-99BF-90BB337EA229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F2C7E197-62C4-9B41-B54F-F2BF5FB9325D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93214667-AE65-9243-B2A1-3C1EEDDE5837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6D8F08FD-4685-6745-A4A7-DDB6C834F437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8" authorId="0" shapeId="0" xr:uid="{B79A1774-3A24-C645-B8AE-E79E9DDCF554}">
      <text>
        <r>
          <rPr>
            <b/>
            <sz val="10"/>
            <color rgb="FF000000"/>
            <rFont val="Calibri"/>
            <family val="2"/>
          </rPr>
          <t>DAF -5% Inventory Discount (</t>
        </r>
        <r>
          <rPr>
            <b/>
            <sz val="9"/>
            <color rgb="FF000000"/>
            <rFont val="Calibri"/>
            <family val="2"/>
          </rPr>
          <t>Standard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***********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Cap discount at 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-15% (note TOTAL % DAF discount)</t>
        </r>
      </text>
    </comment>
    <comment ref="A52" authorId="0" shapeId="0" xr:uid="{00000000-0006-0000-0000-000005000000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12" authorId="0" shapeId="0" xr:uid="{E507298F-A74F-FA44-B693-E3ECFEF54692}">
      <text>
        <r>
          <rPr>
            <sz val="10"/>
            <color rgb="FF000000"/>
            <rFont val="Tahoma"/>
            <family val="2"/>
          </rPr>
          <t>4%-10%</t>
        </r>
      </text>
    </comment>
    <comment ref="J12" authorId="0" shapeId="0" xr:uid="{B3076435-8A59-CF44-A250-731FDBF2BFF3}">
      <text>
        <r>
          <rPr>
            <sz val="10"/>
            <color rgb="FF000000"/>
            <rFont val="Tahoma"/>
            <family val="2"/>
          </rPr>
          <t>4%-10%</t>
        </r>
      </text>
    </comment>
    <comment ref="E26" authorId="0" shapeId="0" xr:uid="{B61EC617-5403-0A4C-AC07-8D00AA1E94B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6" authorId="0" shapeId="0" xr:uid="{D5840D6F-39EE-E944-BB68-7D50A9E0F45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7" authorId="0" shapeId="0" xr:uid="{C98BAF6C-173E-6945-9C74-06127156340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7" authorId="0" shapeId="0" xr:uid="{02319446-9140-EE4D-8AE6-8E1D6C51ADC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8" authorId="0" shapeId="0" xr:uid="{24CEE0EE-574A-B74D-8761-731C38495FD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8" authorId="0" shapeId="0" xr:uid="{351EF28F-A88C-FC49-A45E-A6FD0548EF84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9" authorId="0" shapeId="0" xr:uid="{CAA420B2-FDBC-FC4E-BD92-9C0AF6956A0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9" authorId="0" shapeId="0" xr:uid="{FD591DB8-76D6-AF46-999E-B253033828E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0" authorId="0" shapeId="0" xr:uid="{FACF068B-FD50-CD4F-AE5C-460EE6E866BB}">
      <text>
        <r>
          <rPr>
            <sz val="10"/>
            <color rgb="FF000000"/>
            <rFont val="Tahoma"/>
            <family val="2"/>
          </rPr>
          <t>15%-35%</t>
        </r>
      </text>
    </comment>
    <comment ref="J40" authorId="0" shapeId="0" xr:uid="{BB064BFC-380C-9247-9A75-0C89BA545C77}">
      <text>
        <r>
          <rPr>
            <sz val="10"/>
            <color rgb="FF000000"/>
            <rFont val="Tahoma"/>
            <family val="2"/>
          </rPr>
          <t>15%-35%</t>
        </r>
      </text>
    </comment>
    <comment ref="C41" authorId="0" shapeId="0" xr:uid="{E1A358AA-A476-7E4C-BFA6-0A1870E9CF8A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1" authorId="0" shapeId="0" xr:uid="{5E4878CD-C93D-534D-8FD9-F8D9C71288D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1" authorId="0" shapeId="0" xr:uid="{B7503376-66D1-574A-A31A-E668EA34770C}">
      <text>
        <r>
          <rPr>
            <sz val="10"/>
            <color rgb="FF000000"/>
            <rFont val="Tahoma"/>
            <family val="2"/>
          </rPr>
          <t>4%-10%</t>
        </r>
      </text>
    </comment>
    <comment ref="J61" authorId="0" shapeId="0" xr:uid="{DDBAF636-08A0-E54C-B5DD-7E96F9D0DE82}">
      <text>
        <r>
          <rPr>
            <sz val="10"/>
            <color rgb="FF000000"/>
            <rFont val="Tahoma"/>
            <family val="2"/>
          </rPr>
          <t>4%-10%</t>
        </r>
      </text>
    </comment>
    <comment ref="E75" authorId="0" shapeId="0" xr:uid="{DFCBD120-86EA-714C-8762-D3988547977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75" authorId="0" shapeId="0" xr:uid="{F00A557F-7DB4-2E46-B18B-A4537C04F2FF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76" authorId="0" shapeId="0" xr:uid="{4BA10B8A-F1F9-204C-A9C1-A7B639ADBCD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76" authorId="0" shapeId="0" xr:uid="{CDA218AC-8287-6343-B695-EEFAC668EF5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77" authorId="0" shapeId="0" xr:uid="{F549A703-A683-F744-AC7D-B81CD60C93A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77" authorId="0" shapeId="0" xr:uid="{BF629130-796D-9D44-A137-D3C5D0FBD59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88" authorId="0" shapeId="0" xr:uid="{7FAB5794-FFA6-CB45-A02A-BAD3EE09F23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88" authorId="0" shapeId="0" xr:uid="{AB5F5C0B-7EA6-B044-9EF5-B53EB7458825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89" authorId="0" shapeId="0" xr:uid="{9B124E5C-5F25-7944-8F6C-788B7ACC2B46}">
      <text>
        <r>
          <rPr>
            <sz val="10"/>
            <color rgb="FF000000"/>
            <rFont val="Tahoma"/>
            <family val="2"/>
          </rPr>
          <t>15%-35%</t>
        </r>
      </text>
    </comment>
    <comment ref="J89" authorId="0" shapeId="0" xr:uid="{7905F5E8-3684-4A4B-BF04-5739F48BF478}">
      <text>
        <r>
          <rPr>
            <sz val="10"/>
            <color rgb="FF000000"/>
            <rFont val="Tahoma"/>
            <family val="2"/>
          </rPr>
          <t>15%-35%</t>
        </r>
      </text>
    </comment>
    <comment ref="C90" authorId="0" shapeId="0" xr:uid="{E446CC2B-5F42-4348-8A25-FE0E29E06A7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90" authorId="0" shapeId="0" xr:uid="{7CF93446-5C3D-E848-AA4C-D1625F6961C1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10" authorId="0" shapeId="0" xr:uid="{41B9DAC7-AC52-CD42-9E64-13A030CAB0C5}">
      <text>
        <r>
          <rPr>
            <sz val="10"/>
            <color rgb="FF000000"/>
            <rFont val="Tahoma"/>
            <family val="2"/>
          </rPr>
          <t>4%-10%</t>
        </r>
      </text>
    </comment>
    <comment ref="J110" authorId="0" shapeId="0" xr:uid="{58FA5980-0989-E34D-8FAF-48D2242CA244}">
      <text>
        <r>
          <rPr>
            <sz val="10"/>
            <color rgb="FF000000"/>
            <rFont val="Tahoma"/>
            <family val="2"/>
          </rPr>
          <t>4%-10%</t>
        </r>
      </text>
    </comment>
    <comment ref="Q110" authorId="0" shapeId="0" xr:uid="{8EE436D6-AE65-F34D-9587-3639B64B5C49}">
      <text>
        <r>
          <rPr>
            <sz val="10"/>
            <color rgb="FF000000"/>
            <rFont val="Tahoma"/>
            <family val="2"/>
          </rPr>
          <t>4%-10%</t>
        </r>
      </text>
    </comment>
    <comment ref="E124" authorId="0" shapeId="0" xr:uid="{D791E98F-A168-D643-BE15-0480B5031782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124" authorId="0" shapeId="0" xr:uid="{635E4EED-2F60-0B46-9EBC-848060ADFFF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124" authorId="0" shapeId="0" xr:uid="{D4D56926-351A-1D46-A9F5-5D1FA52CDF6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125" authorId="0" shapeId="0" xr:uid="{9660B06D-15C1-3540-B893-97186B1EA16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125" authorId="0" shapeId="0" xr:uid="{E4F2B32A-87DB-E246-A0EB-8412709E9A3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125" authorId="0" shapeId="0" xr:uid="{8460A7EA-43BF-8448-B1DC-F856EA93D12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126" authorId="0" shapeId="0" xr:uid="{0461C60E-42C3-3544-A25C-E668CEFE1798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126" authorId="0" shapeId="0" xr:uid="{FA34025A-9200-FE41-AA99-B3279BBF616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126" authorId="0" shapeId="0" xr:uid="{7392C63E-9E65-1C4E-8422-F47A588E2720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137" authorId="0" shapeId="0" xr:uid="{68696B87-17AC-0041-9D95-B091902BE3D9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37" authorId="0" shapeId="0" xr:uid="{D339A45F-F2B0-B345-BE2C-9D554745368B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37" authorId="0" shapeId="0" xr:uid="{0B4764BB-905C-2741-B92F-0588182927F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38" authorId="0" shapeId="0" xr:uid="{F0A066EA-94F1-E242-89A6-8A9601BCEEC7}">
      <text>
        <r>
          <rPr>
            <sz val="10"/>
            <color rgb="FF000000"/>
            <rFont val="Tahoma"/>
            <family val="2"/>
          </rPr>
          <t>15%-35%</t>
        </r>
      </text>
    </comment>
    <comment ref="J138" authorId="0" shapeId="0" xr:uid="{772A79E2-9CC1-B74F-AC2F-BE1E678EC50F}">
      <text>
        <r>
          <rPr>
            <sz val="10"/>
            <color rgb="FF000000"/>
            <rFont val="Tahoma"/>
            <family val="2"/>
          </rPr>
          <t>15%-35%</t>
        </r>
      </text>
    </comment>
    <comment ref="Q138" authorId="0" shapeId="0" xr:uid="{3FAD8DB2-2FEB-A34E-ADEC-763AADB163B6}">
      <text>
        <r>
          <rPr>
            <sz val="10"/>
            <color rgb="FF000000"/>
            <rFont val="Tahoma"/>
            <family val="2"/>
          </rPr>
          <t>15%-35%</t>
        </r>
      </text>
    </comment>
    <comment ref="C139" authorId="0" shapeId="0" xr:uid="{B718847E-5CE9-9748-8DBC-8E550505FC6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39" authorId="0" shapeId="0" xr:uid="{090C90E4-60E5-2348-B1E9-8AE96B6BDFB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39" authorId="0" shapeId="0" xr:uid="{4BC613BB-9D38-704F-A673-9E250EF41BA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59" authorId="0" shapeId="0" xr:uid="{656239E5-01E5-894B-8124-D526C3C88925}">
      <text>
        <r>
          <rPr>
            <sz val="10"/>
            <color rgb="FF000000"/>
            <rFont val="Tahoma"/>
            <family val="2"/>
          </rPr>
          <t>4%-10%</t>
        </r>
      </text>
    </comment>
    <comment ref="J159" authorId="0" shapeId="0" xr:uid="{1D55774C-630C-1E4E-B727-B3668E7FD526}">
      <text>
        <r>
          <rPr>
            <sz val="10"/>
            <color rgb="FF000000"/>
            <rFont val="Tahoma"/>
            <family val="2"/>
          </rPr>
          <t>4%-10%</t>
        </r>
      </text>
    </comment>
    <comment ref="Q159" authorId="0" shapeId="0" xr:uid="{51C74F8F-9E87-2944-94E1-904CB4876BBE}">
      <text>
        <r>
          <rPr>
            <sz val="10"/>
            <color rgb="FF000000"/>
            <rFont val="Tahoma"/>
            <family val="2"/>
          </rPr>
          <t>4%-10%</t>
        </r>
      </text>
    </comment>
    <comment ref="E173" authorId="0" shapeId="0" xr:uid="{D7A89801-7771-1542-BCCF-AAD0965D2317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173" authorId="0" shapeId="0" xr:uid="{67587206-963E-BB49-912E-455677175EC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173" authorId="0" shapeId="0" xr:uid="{1A867E1D-C91D-7949-A826-9FDF945438E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174" authorId="0" shapeId="0" xr:uid="{881E7614-5603-8649-AAEC-DFFFC10AC65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174" authorId="0" shapeId="0" xr:uid="{B20F4CDB-FCF6-C040-936E-FBAEF2DFA87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174" authorId="0" shapeId="0" xr:uid="{C40431BD-80D2-AD41-AE22-670E6D13B5C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175" authorId="0" shapeId="0" xr:uid="{F396FF1E-18B6-AB4E-9580-9EF93D43226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175" authorId="0" shapeId="0" xr:uid="{63E35005-CF4F-9A43-9CE8-45F1D957DF9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175" authorId="0" shapeId="0" xr:uid="{0121577A-2263-FC4B-A968-3682EAC5806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186" authorId="0" shapeId="0" xr:uid="{5F1650C6-7094-5F42-BC7C-97F63892BA1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86" authorId="0" shapeId="0" xr:uid="{80022234-CAB6-9248-A1D1-DB77099935E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86" authorId="0" shapeId="0" xr:uid="{D89D555F-E8B7-E94A-9BA3-E3C3CF0F269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87" authorId="0" shapeId="0" xr:uid="{6A19A8B2-2127-5349-B099-BAB049AE353D}">
      <text>
        <r>
          <rPr>
            <sz val="10"/>
            <color rgb="FF000000"/>
            <rFont val="Tahoma"/>
            <family val="2"/>
          </rPr>
          <t>15%-35%</t>
        </r>
      </text>
    </comment>
    <comment ref="J187" authorId="0" shapeId="0" xr:uid="{74083085-55D1-6745-9049-13A8446162E7}">
      <text>
        <r>
          <rPr>
            <sz val="10"/>
            <color rgb="FF000000"/>
            <rFont val="Tahoma"/>
            <family val="2"/>
          </rPr>
          <t>15%-35%</t>
        </r>
      </text>
    </comment>
    <comment ref="Q187" authorId="0" shapeId="0" xr:uid="{3490A8A6-3761-A44B-84FB-D2A764E3B8CE}">
      <text>
        <r>
          <rPr>
            <sz val="10"/>
            <color rgb="FF000000"/>
            <rFont val="Tahoma"/>
            <family val="2"/>
          </rPr>
          <t>15%-35%</t>
        </r>
      </text>
    </comment>
    <comment ref="C188" authorId="0" shapeId="0" xr:uid="{EDD37126-06A8-B446-B874-0CC34FEE9011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88" authorId="0" shapeId="0" xr:uid="{00977AE5-8002-7046-B204-BE4E88E9F40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88" authorId="0" shapeId="0" xr:uid="{81040C0B-8A70-474F-A800-591F3A112CF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08" authorId="0" shapeId="0" xr:uid="{F5CB33AA-5FE8-DD48-9110-1144BD037098}">
      <text>
        <r>
          <rPr>
            <sz val="10"/>
            <color rgb="FF000000"/>
            <rFont val="Tahoma"/>
            <family val="2"/>
          </rPr>
          <t>4%-10%</t>
        </r>
      </text>
    </comment>
    <comment ref="J208" authorId="0" shapeId="0" xr:uid="{52D42D87-3581-F04D-976D-DE5854D927AE}">
      <text>
        <r>
          <rPr>
            <sz val="10"/>
            <color rgb="FF000000"/>
            <rFont val="Tahoma"/>
            <family val="2"/>
          </rPr>
          <t>4%-10%</t>
        </r>
      </text>
    </comment>
    <comment ref="Q208" authorId="0" shapeId="0" xr:uid="{05C861E2-0020-EB47-B19C-410441577206}">
      <text>
        <r>
          <rPr>
            <sz val="10"/>
            <color rgb="FF000000"/>
            <rFont val="Tahoma"/>
            <family val="2"/>
          </rPr>
          <t>4%-10%</t>
        </r>
      </text>
    </comment>
    <comment ref="E222" authorId="0" shapeId="0" xr:uid="{7AD0A1EF-0B19-014F-959E-C690ADD6D2F1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22" authorId="0" shapeId="0" xr:uid="{A7BF0C52-06DC-3D40-BFB5-8F55F59BC021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222" authorId="0" shapeId="0" xr:uid="{7A9ACCA9-0FC6-C344-BF04-720D4224E5F6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23" authorId="0" shapeId="0" xr:uid="{9EDFC29A-0515-214F-A98F-AE82DBDCC05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23" authorId="0" shapeId="0" xr:uid="{59E17587-C676-DE46-993B-FEE97022DEA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223" authorId="0" shapeId="0" xr:uid="{6C5637A6-AB80-3044-8042-A6762354936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24" authorId="0" shapeId="0" xr:uid="{0A79160C-E614-504A-ABD9-41AB00A444E8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24" authorId="0" shapeId="0" xr:uid="{0FB746F9-1B4E-944C-B6C8-AF5784E424C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224" authorId="0" shapeId="0" xr:uid="{A3AAFF6D-9C2F-FE43-AE48-5B3E4029258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235" authorId="0" shapeId="0" xr:uid="{F419AFB3-48C1-2E4D-AA20-2818BAA7D31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35" authorId="0" shapeId="0" xr:uid="{68E707F1-5B39-AA42-A16D-2A65F40C268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35" authorId="0" shapeId="0" xr:uid="{B615363F-AE6D-3F49-BEEE-E4632D9AE382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36" authorId="0" shapeId="0" xr:uid="{B31B163F-BFE8-4D4A-9DEF-1E88A2054B50}">
      <text>
        <r>
          <rPr>
            <sz val="10"/>
            <color rgb="FF000000"/>
            <rFont val="Tahoma"/>
            <family val="2"/>
          </rPr>
          <t>15%-35%</t>
        </r>
      </text>
    </comment>
    <comment ref="J236" authorId="0" shapeId="0" xr:uid="{7434114A-75E6-6343-9B51-B139F8832AD0}">
      <text>
        <r>
          <rPr>
            <sz val="10"/>
            <color rgb="FF000000"/>
            <rFont val="Tahoma"/>
            <family val="2"/>
          </rPr>
          <t>15%-35%</t>
        </r>
      </text>
    </comment>
    <comment ref="Q236" authorId="0" shapeId="0" xr:uid="{39A5421B-47D8-0C45-BBA8-F33738A12CCB}">
      <text>
        <r>
          <rPr>
            <sz val="10"/>
            <color rgb="FF000000"/>
            <rFont val="Tahoma"/>
            <family val="2"/>
          </rPr>
          <t>15%-35%</t>
        </r>
      </text>
    </comment>
    <comment ref="C237" authorId="0" shapeId="0" xr:uid="{6E4B75E1-78E3-E541-B0E5-89CDEB022FE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37" authorId="0" shapeId="0" xr:uid="{17060888-3C88-EA48-950C-9DCD005F871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37" authorId="0" shapeId="0" xr:uid="{9F431B68-A642-C74F-8E5C-8FCBB3D7E32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57" authorId="0" shapeId="0" xr:uid="{E93ACDBC-7DDF-1E45-B6DD-D831D96D92D8}">
      <text>
        <r>
          <rPr>
            <sz val="10"/>
            <color rgb="FF000000"/>
            <rFont val="Tahoma"/>
            <family val="2"/>
          </rPr>
          <t>4%-10%</t>
        </r>
      </text>
    </comment>
    <comment ref="J257" authorId="0" shapeId="0" xr:uid="{01B0F251-4CAA-4F42-ADF7-EFC499E934EC}">
      <text>
        <r>
          <rPr>
            <sz val="10"/>
            <color rgb="FF000000"/>
            <rFont val="Tahoma"/>
            <family val="2"/>
          </rPr>
          <t>4%-10%</t>
        </r>
      </text>
    </comment>
    <comment ref="Q257" authorId="0" shapeId="0" xr:uid="{7CB3C09C-4CD7-CD47-B12A-1FCDA1FE3173}">
      <text>
        <r>
          <rPr>
            <sz val="10"/>
            <color rgb="FF000000"/>
            <rFont val="Tahoma"/>
            <family val="2"/>
          </rPr>
          <t>4%-10%</t>
        </r>
      </text>
    </comment>
    <comment ref="E271" authorId="0" shapeId="0" xr:uid="{921990B7-DBA6-6549-9307-8B694257BC4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71" authorId="0" shapeId="0" xr:uid="{5D94F268-88B6-F744-B55E-E36347229628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271" authorId="0" shapeId="0" xr:uid="{CBBA6F9A-F8C9-E34B-90F1-0C86A60E06E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72" authorId="0" shapeId="0" xr:uid="{95DADE92-A38C-4041-A8FD-298845D0AB9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72" authorId="0" shapeId="0" xr:uid="{2447717B-CDA3-6D49-8984-5BB766962C9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272" authorId="0" shapeId="0" xr:uid="{C8DB0B21-69CD-9A45-A455-421212FF789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73" authorId="0" shapeId="0" xr:uid="{50CA7149-D177-7E4A-A871-B9112FD1E34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73" authorId="0" shapeId="0" xr:uid="{001DF014-F4B6-8449-8DBF-7403E2E33D41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273" authorId="0" shapeId="0" xr:uid="{0EF01E70-69DD-A145-8BF2-E1C844F7466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284" authorId="0" shapeId="0" xr:uid="{48A39356-A99B-BF47-BCE1-A8389B3A9CF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84" authorId="0" shapeId="0" xr:uid="{BECDBEC3-1674-314E-B89D-1308EBAF110F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84" authorId="0" shapeId="0" xr:uid="{D82B2F09-7817-9440-B657-499AFEF56F9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85" authorId="0" shapeId="0" xr:uid="{3F0B435A-B285-D346-AA4D-74FD10BE16B5}">
      <text>
        <r>
          <rPr>
            <sz val="10"/>
            <color rgb="FF000000"/>
            <rFont val="Tahoma"/>
            <family val="2"/>
          </rPr>
          <t>15%-35%</t>
        </r>
      </text>
    </comment>
    <comment ref="J285" authorId="0" shapeId="0" xr:uid="{516049A4-0D2F-F846-814A-A4B0DE5EB861}">
      <text>
        <r>
          <rPr>
            <sz val="10"/>
            <color rgb="FF000000"/>
            <rFont val="Tahoma"/>
            <family val="2"/>
          </rPr>
          <t>15%-35%</t>
        </r>
      </text>
    </comment>
    <comment ref="Q285" authorId="0" shapeId="0" xr:uid="{20775D86-98B3-294E-9A3B-EFB8EF788FDA}">
      <text>
        <r>
          <rPr>
            <sz val="10"/>
            <color rgb="FF000000"/>
            <rFont val="Tahoma"/>
            <family val="2"/>
          </rPr>
          <t>15%-35%</t>
        </r>
      </text>
    </comment>
    <comment ref="C286" authorId="0" shapeId="0" xr:uid="{7EBE010B-5AB7-CD42-8EBC-CF4E5CBEF51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86" authorId="0" shapeId="0" xr:uid="{D145DB36-7AA0-0B46-87D3-798F7D09AC70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86" authorId="0" shapeId="0" xr:uid="{34AB042E-6CDE-A14B-8CA0-4CB6DA0D4D1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06" authorId="0" shapeId="0" xr:uid="{3587CC9B-CA84-E244-8F7B-A9C791A53C94}">
      <text>
        <r>
          <rPr>
            <sz val="10"/>
            <color rgb="FF000000"/>
            <rFont val="Tahoma"/>
            <family val="2"/>
          </rPr>
          <t>4%-10%</t>
        </r>
      </text>
    </comment>
    <comment ref="J306" authorId="0" shapeId="0" xr:uid="{0920480C-395F-8A4E-AF77-ED4E325936E4}">
      <text>
        <r>
          <rPr>
            <sz val="10"/>
            <color rgb="FF000000"/>
            <rFont val="Tahoma"/>
            <family val="2"/>
          </rPr>
          <t>4%-10%</t>
        </r>
      </text>
    </comment>
    <comment ref="Q306" authorId="0" shapeId="0" xr:uid="{177B6992-116C-6943-BB5F-77DC0403F113}">
      <text>
        <r>
          <rPr>
            <sz val="10"/>
            <color rgb="FF000000"/>
            <rFont val="Tahoma"/>
            <family val="2"/>
          </rPr>
          <t>4%-10%</t>
        </r>
      </text>
    </comment>
    <comment ref="X306" authorId="0" shapeId="0" xr:uid="{AEB631DC-790F-F946-A551-2B8EAFFD4218}">
      <text>
        <r>
          <rPr>
            <sz val="10"/>
            <color rgb="FF000000"/>
            <rFont val="Tahoma"/>
            <family val="2"/>
          </rPr>
          <t>4%-10%</t>
        </r>
      </text>
    </comment>
    <comment ref="AE306" authorId="0" shapeId="0" xr:uid="{A156CE07-A3C3-F24C-8612-D10EC90AF00E}">
      <text>
        <r>
          <rPr>
            <sz val="10"/>
            <color rgb="FF000000"/>
            <rFont val="Tahoma"/>
            <family val="2"/>
          </rPr>
          <t>4%-10%</t>
        </r>
      </text>
    </comment>
    <comment ref="AL306" authorId="0" shapeId="0" xr:uid="{56380C18-A4D0-D644-B83D-6E5AB1757A9B}">
      <text>
        <r>
          <rPr>
            <sz val="10"/>
            <color rgb="FF000000"/>
            <rFont val="Tahoma"/>
            <family val="2"/>
          </rPr>
          <t>4%-10%</t>
        </r>
      </text>
    </comment>
    <comment ref="E320" authorId="0" shapeId="0" xr:uid="{70C4D3F4-FFE4-6D4B-9A73-EEEC5DEA2EE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320" authorId="0" shapeId="0" xr:uid="{CD8EBC1B-B6F0-0747-8BFC-A8C804A9646D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320" authorId="0" shapeId="0" xr:uid="{45125AB6-36AF-EF42-93E3-AA391A33E77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Z320" authorId="0" shapeId="0" xr:uid="{66FC6A83-4ED8-FE42-ACDF-DF13D9B662AD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G320" authorId="0" shapeId="0" xr:uid="{24C33B7C-9D1E-2B4B-849C-5BDED5E18B49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N320" authorId="0" shapeId="0" xr:uid="{9EE463A3-AC14-6044-A8A3-08441C2DE5E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21" authorId="0" shapeId="0" xr:uid="{A06D8B6C-2C6A-1B4C-81C1-16BC62E46128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321" authorId="0" shapeId="0" xr:uid="{FC9A8652-C00B-A04A-B857-45CFCC239CE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321" authorId="0" shapeId="0" xr:uid="{8B052288-4F08-1C41-88BC-9246D6CB0C8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Z321" authorId="0" shapeId="0" xr:uid="{5BA085E6-790F-874F-A8C4-8A3D56BBD27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AG321" authorId="0" shapeId="0" xr:uid="{1A361562-A10B-2645-AD63-3F3DC0602BD6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AN321" authorId="0" shapeId="0" xr:uid="{6F3F308D-5775-7547-9AFF-41989CD8F50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322" authorId="0" shapeId="0" xr:uid="{12393506-10EC-7344-9FB0-E73491125D6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322" authorId="0" shapeId="0" xr:uid="{BE028025-E142-CD4C-85D6-138080B2437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322" authorId="0" shapeId="0" xr:uid="{60E4AE22-C137-C040-875B-64B3BF35A742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Z322" authorId="0" shapeId="0" xr:uid="{61B198DD-9E55-4743-9A82-6930ED086B1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AG322" authorId="0" shapeId="0" xr:uid="{69AF6998-8B7E-F746-A14C-E10F8DA7B6C2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AN322" authorId="0" shapeId="0" xr:uid="{2FE282F0-1741-F945-B51F-FB28B47EE1D1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33" authorId="0" shapeId="0" xr:uid="{6CE60AD0-1393-CA4B-8463-DC663CEA0C3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33" authorId="0" shapeId="0" xr:uid="{7B5AEC73-4193-1148-9166-71463CF3DC43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333" authorId="0" shapeId="0" xr:uid="{FB5266E8-538A-0849-ADC1-EE85CEDCA27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333" authorId="0" shapeId="0" xr:uid="{CF6D5180-22C4-A140-BDEC-80B4E6C02F0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E333" authorId="0" shapeId="0" xr:uid="{0A64AF44-0F1C-3345-85DC-3E9074ED0CE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L333" authorId="0" shapeId="0" xr:uid="{F15427AF-90FB-384F-93AE-4E5CD0EDA74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34" authorId="0" shapeId="0" xr:uid="{F96E2123-2781-4D4B-884B-66A66FC5BB8E}">
      <text>
        <r>
          <rPr>
            <sz val="10"/>
            <color rgb="FF000000"/>
            <rFont val="Tahoma"/>
            <family val="2"/>
          </rPr>
          <t>15%-35%</t>
        </r>
      </text>
    </comment>
    <comment ref="J334" authorId="0" shapeId="0" xr:uid="{8A978388-3B23-5A4E-83DD-5ABE0F1AFAE5}">
      <text>
        <r>
          <rPr>
            <sz val="10"/>
            <color rgb="FF000000"/>
            <rFont val="Tahoma"/>
            <family val="2"/>
          </rPr>
          <t>15%-35%</t>
        </r>
      </text>
    </comment>
    <comment ref="Q334" authorId="0" shapeId="0" xr:uid="{CFF40754-F631-4F41-96E2-BA83A0451023}">
      <text>
        <r>
          <rPr>
            <sz val="10"/>
            <color rgb="FF000000"/>
            <rFont val="Tahoma"/>
            <family val="2"/>
          </rPr>
          <t>15%-35%</t>
        </r>
      </text>
    </comment>
    <comment ref="X334" authorId="0" shapeId="0" xr:uid="{96DED4D1-5098-F34C-9B94-58D8F2A15ABD}">
      <text>
        <r>
          <rPr>
            <sz val="10"/>
            <color rgb="FF000000"/>
            <rFont val="Tahoma"/>
            <family val="2"/>
          </rPr>
          <t>15%-35%</t>
        </r>
      </text>
    </comment>
    <comment ref="AE334" authorId="0" shapeId="0" xr:uid="{8342E394-0E1B-F346-92D2-FC4D13E12571}">
      <text>
        <r>
          <rPr>
            <sz val="10"/>
            <color rgb="FF000000"/>
            <rFont val="Tahoma"/>
            <family val="2"/>
          </rPr>
          <t>15%-35%</t>
        </r>
      </text>
    </comment>
    <comment ref="AL334" authorId="0" shapeId="0" xr:uid="{7F4E590E-1EC7-2F4C-90E7-CE7258B6A754}">
      <text>
        <r>
          <rPr>
            <sz val="10"/>
            <color rgb="FF000000"/>
            <rFont val="Tahoma"/>
            <family val="2"/>
          </rPr>
          <t>15%-35%</t>
        </r>
      </text>
    </comment>
    <comment ref="C335" authorId="0" shapeId="0" xr:uid="{29922124-B320-DB41-9DAE-7B68A1019A2B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35" authorId="0" shapeId="0" xr:uid="{4B9D08B2-66ED-3E4C-B85B-6C2B493D97A7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335" authorId="0" shapeId="0" xr:uid="{3958871F-59DB-DE4D-8B7C-95B1505D5EB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335" authorId="0" shapeId="0" xr:uid="{88C962F6-9A6F-B847-ADA2-D294A14ACE22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E335" authorId="0" shapeId="0" xr:uid="{89697445-97ED-0944-8BA3-5D750863441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L335" authorId="0" shapeId="0" xr:uid="{383567AE-4A0E-6C48-B0DD-7FA55CFC0C1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55" authorId="0" shapeId="0" xr:uid="{5B976E9B-B2C5-5C4D-98A5-1FC5CD191841}">
      <text>
        <r>
          <rPr>
            <sz val="10"/>
            <color rgb="FF000000"/>
            <rFont val="Tahoma"/>
            <family val="2"/>
          </rPr>
          <t>4%-10%</t>
        </r>
      </text>
    </comment>
    <comment ref="J355" authorId="0" shapeId="0" xr:uid="{3882E33F-8979-F94C-8CB0-04232421DF5A}">
      <text>
        <r>
          <rPr>
            <sz val="10"/>
            <color rgb="FF000000"/>
            <rFont val="Tahoma"/>
            <family val="2"/>
          </rPr>
          <t>4%-10%</t>
        </r>
      </text>
    </comment>
    <comment ref="E369" authorId="0" shapeId="0" xr:uid="{45AE13E9-03FF-2B49-8736-EDB7EE970398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369" authorId="0" shapeId="0" xr:uid="{C670383B-48BB-AE46-8CB8-C273B2D6B4C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70" authorId="0" shapeId="0" xr:uid="{BB8EBC36-9A34-9D4B-BEF6-80842E0721F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370" authorId="0" shapeId="0" xr:uid="{00946D6C-1128-EA46-89E8-46B0CB1CAA2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371" authorId="0" shapeId="0" xr:uid="{F508004F-14EE-444B-9534-ABDF2BE052E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371" authorId="0" shapeId="0" xr:uid="{D04C9FF6-993E-604B-B8F7-1993E2A7D7C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82" authorId="0" shapeId="0" xr:uid="{86576A51-4637-7347-A43D-5B5B1FD2804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82" authorId="0" shapeId="0" xr:uid="{87A0FB51-9592-4D41-8D51-7A001FD8A6CB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83" authorId="0" shapeId="0" xr:uid="{7405E183-2AC0-2E4D-B9A7-6560B6754016}">
      <text>
        <r>
          <rPr>
            <sz val="10"/>
            <color rgb="FF000000"/>
            <rFont val="Tahoma"/>
            <family val="2"/>
          </rPr>
          <t>15%-35%</t>
        </r>
      </text>
    </comment>
    <comment ref="J383" authorId="0" shapeId="0" xr:uid="{ACDAA7B8-FC17-BE47-9F6C-F5F083654AEA}">
      <text>
        <r>
          <rPr>
            <sz val="10"/>
            <color rgb="FF000000"/>
            <rFont val="Tahoma"/>
            <family val="2"/>
          </rPr>
          <t>15%-35%</t>
        </r>
      </text>
    </comment>
    <comment ref="C384" authorId="0" shapeId="0" xr:uid="{77A265C6-1AEF-A74B-B371-001FCCCD8D1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84" authorId="0" shapeId="0" xr:uid="{87E13601-E9D2-754B-B62B-3BFF1A12A92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04" authorId="0" shapeId="0" xr:uid="{580CA791-9441-8842-9B0F-0AF53E87F21E}">
      <text>
        <r>
          <rPr>
            <sz val="10"/>
            <color rgb="FF000000"/>
            <rFont val="Tahoma"/>
            <family val="2"/>
          </rPr>
          <t>4%-10%</t>
        </r>
      </text>
    </comment>
    <comment ref="J404" authorId="0" shapeId="0" xr:uid="{25485779-A089-9742-8A4A-FEC5B51C45E1}">
      <text>
        <r>
          <rPr>
            <sz val="10"/>
            <color rgb="FF000000"/>
            <rFont val="Tahoma"/>
            <family val="2"/>
          </rPr>
          <t>4%-10%</t>
        </r>
      </text>
    </comment>
    <comment ref="E418" authorId="0" shapeId="0" xr:uid="{BDBFAAF8-CDA2-E946-9462-C34316BDFD5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418" authorId="0" shapeId="0" xr:uid="{F9C77E9F-4A77-9445-AB91-32C97AD80B4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419" authorId="0" shapeId="0" xr:uid="{992A0B82-2471-1540-862F-F23D0673DEE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419" authorId="0" shapeId="0" xr:uid="{623E7782-C4B5-C24A-8A36-213200F1C23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420" authorId="0" shapeId="0" xr:uid="{F0627BE6-955F-0949-9783-BE0FBF04256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420" authorId="0" shapeId="0" xr:uid="{87113335-C0DE-664D-B791-9B64A44802EC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431" authorId="0" shapeId="0" xr:uid="{CA93C940-E092-964F-972B-E4709908C17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31" authorId="0" shapeId="0" xr:uid="{093EAEF6-0638-B947-B50E-A5D5B1ACEE0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32" authorId="0" shapeId="0" xr:uid="{48EFA062-8A41-2142-9A45-A1B5939D112F}">
      <text>
        <r>
          <rPr>
            <sz val="10"/>
            <color rgb="FF000000"/>
            <rFont val="Tahoma"/>
            <family val="2"/>
          </rPr>
          <t>15%-35%</t>
        </r>
      </text>
    </comment>
    <comment ref="J432" authorId="0" shapeId="0" xr:uid="{CEF6765A-25AE-6F46-8123-A82470A26980}">
      <text>
        <r>
          <rPr>
            <sz val="10"/>
            <color rgb="FF000000"/>
            <rFont val="Tahoma"/>
            <family val="2"/>
          </rPr>
          <t>15%-35%</t>
        </r>
      </text>
    </comment>
    <comment ref="C433" authorId="0" shapeId="0" xr:uid="{E10C587F-7061-6248-A26F-FB59728D830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33" authorId="0" shapeId="0" xr:uid="{BBF66FC4-76BE-BC49-ACC9-964B9DBC9879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53" authorId="0" shapeId="0" xr:uid="{3B995FEE-3566-6D45-AA83-4545E230DDBC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J453" authorId="0" shapeId="0" xr:uid="{4DBB208C-C895-2344-ACCD-B820099C850A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E467" authorId="0" shapeId="0" xr:uid="{58BBD45C-5A26-7448-9BA5-4BCC5C0E2619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467" authorId="0" shapeId="0" xr:uid="{7D8A0655-22D8-E04C-80CD-613CDE5A47C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468" authorId="0" shapeId="0" xr:uid="{8213E92F-9C79-8C4F-B3DC-CA34DD49A01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468" authorId="0" shapeId="0" xr:uid="{0B1EC3BC-2DBF-9045-B3B9-F1F4E003F33C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469" authorId="0" shapeId="0" xr:uid="{C9F45470-C58D-D446-8915-AAFBF6B0B64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469" authorId="0" shapeId="0" xr:uid="{2497C84B-4DB4-244D-BFAB-D0F269CE6A04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480" authorId="0" shapeId="0" xr:uid="{8496682B-C6E4-4E4D-9422-CF5C739EF288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80" authorId="0" shapeId="0" xr:uid="{40AD9AF5-8239-8A4E-8E6C-244B5DE1A828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81" authorId="0" shapeId="0" xr:uid="{F3D675DA-0706-4E4C-BDB5-B6FC42A08785}">
      <text>
        <r>
          <rPr>
            <sz val="10"/>
            <color rgb="FF000000"/>
            <rFont val="Tahoma"/>
            <family val="2"/>
          </rPr>
          <t>15%-35%</t>
        </r>
      </text>
    </comment>
    <comment ref="J481" authorId="0" shapeId="0" xr:uid="{D0957426-8059-6D4F-881E-A106A49A4A64}">
      <text>
        <r>
          <rPr>
            <sz val="10"/>
            <color rgb="FF000000"/>
            <rFont val="Tahoma"/>
            <family val="2"/>
          </rPr>
          <t>15%-35%</t>
        </r>
      </text>
    </comment>
    <comment ref="C482" authorId="0" shapeId="0" xr:uid="{5CE2027C-7D15-A74B-A48B-DA337495626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82" authorId="0" shapeId="0" xr:uid="{4339CD05-E4B0-B14C-82F8-2DEA04EE319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02" authorId="0" shapeId="0" xr:uid="{550A1FD8-746B-2746-89E9-CBA5CBDF1794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J502" authorId="0" shapeId="0" xr:uid="{B759F652-C49D-3246-979D-76B1DD35A134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E516" authorId="0" shapeId="0" xr:uid="{4892C390-5C5E-4F47-BD2A-1421B60A7F13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516" authorId="0" shapeId="0" xr:uid="{1A4C4A01-2064-E749-89BC-5AAABBEE4FF6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517" authorId="0" shapeId="0" xr:uid="{9A6F2E7B-7261-5E48-B779-4992F9833C7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517" authorId="0" shapeId="0" xr:uid="{BCF317D1-64EA-4A47-B0C4-107DB325FEB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518" authorId="0" shapeId="0" xr:uid="{154DBBDD-3960-D048-8C97-55EDCC8B4B3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518" authorId="0" shapeId="0" xr:uid="{73102CFD-203A-4941-A218-78B41ECDE1D0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529" authorId="0" shapeId="0" xr:uid="{B3C622A4-A0AB-A943-A097-890B6AC9F48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29" authorId="0" shapeId="0" xr:uid="{715E6980-7CE6-CB4B-A1BB-5CDBF37C069D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30" authorId="0" shapeId="0" xr:uid="{F2D1B2ED-2DB6-F04A-8527-00A4D6D2CEF9}">
      <text>
        <r>
          <rPr>
            <sz val="10"/>
            <color rgb="FF000000"/>
            <rFont val="Tahoma"/>
            <family val="2"/>
          </rPr>
          <t>15%-35%</t>
        </r>
      </text>
    </comment>
    <comment ref="J530" authorId="0" shapeId="0" xr:uid="{BCB4C446-C9B3-314A-9560-79F7F3485488}">
      <text>
        <r>
          <rPr>
            <sz val="10"/>
            <color rgb="FF000000"/>
            <rFont val="Tahoma"/>
            <family val="2"/>
          </rPr>
          <t>15%-35%</t>
        </r>
      </text>
    </comment>
    <comment ref="C531" authorId="0" shapeId="0" xr:uid="{F1DF2790-E01E-194B-B743-970FA66A496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31" authorId="0" shapeId="0" xr:uid="{A3133BB1-13AB-D446-9C9A-D3B06E34D32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52" authorId="0" shapeId="0" xr:uid="{B4FEFF6D-CFE5-C441-83D2-28662622D650}">
      <text>
        <r>
          <rPr>
            <sz val="10"/>
            <color rgb="FF000000"/>
            <rFont val="Tahoma"/>
            <family val="2"/>
          </rPr>
          <t>4%-10%</t>
        </r>
      </text>
    </comment>
    <comment ref="J552" authorId="0" shapeId="0" xr:uid="{4D953C95-B646-2D44-AEC5-AB4AC79B23F6}">
      <text>
        <r>
          <rPr>
            <sz val="10"/>
            <color rgb="FF000000"/>
            <rFont val="Tahoma"/>
            <family val="2"/>
          </rPr>
          <t>4%-10%</t>
        </r>
      </text>
    </comment>
    <comment ref="Q552" authorId="0" shapeId="0" xr:uid="{74271BBA-BFE8-6341-B146-0E3EB4B1FC17}">
      <text>
        <r>
          <rPr>
            <sz val="10"/>
            <color rgb="FF000000"/>
            <rFont val="Tahoma"/>
            <family val="2"/>
          </rPr>
          <t>4%-10%</t>
        </r>
      </text>
    </comment>
    <comment ref="X552" authorId="0" shapeId="0" xr:uid="{2379209F-98F9-FA40-B070-8A8538A91043}">
      <text>
        <r>
          <rPr>
            <sz val="10"/>
            <color rgb="FF000000"/>
            <rFont val="Tahoma"/>
            <family val="2"/>
          </rPr>
          <t>4%-10%</t>
        </r>
      </text>
    </comment>
    <comment ref="E566" authorId="0" shapeId="0" xr:uid="{ED67A11D-D146-9B40-9E9B-63760450B45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566" authorId="0" shapeId="0" xr:uid="{112BC3B3-2499-5645-8961-958F22F8918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566" authorId="0" shapeId="0" xr:uid="{1C23B967-0ECF-4D4F-AE71-6DC02E53A8B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Z566" authorId="0" shapeId="0" xr:uid="{C243EFF6-CD0F-8F44-A5E1-69F44FDDCC5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567" authorId="0" shapeId="0" xr:uid="{5E804BFC-6CBA-5C43-88C1-0664EA2E4E4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567" authorId="0" shapeId="0" xr:uid="{A8B7878D-2837-1F4E-A871-377DD54BAE51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567" authorId="0" shapeId="0" xr:uid="{7F70804F-398D-8246-B73D-98F65E4AEAEA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Z567" authorId="0" shapeId="0" xr:uid="{20497291-9C25-5B49-BD8B-6DE4F989698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568" authorId="0" shapeId="0" xr:uid="{0878BF2E-7D06-1A43-B264-5C502A1270F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568" authorId="0" shapeId="0" xr:uid="{3145A9A8-7F84-F449-879C-1A56ABF12E1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568" authorId="0" shapeId="0" xr:uid="{D121B925-D993-1E40-988E-0B04B4F6D7C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Z568" authorId="0" shapeId="0" xr:uid="{505B94BA-7ED2-1A44-871F-12C24EF8E68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579" authorId="0" shapeId="0" xr:uid="{B01013BC-3098-704E-BF67-E220AD1BC59F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79" authorId="0" shapeId="0" xr:uid="{6A5D055F-3351-2E4B-BC91-B3F919976A05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579" authorId="0" shapeId="0" xr:uid="{D1EB8479-C161-8A4B-B37F-5AE57060549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579" authorId="0" shapeId="0" xr:uid="{AD0DE068-6104-0342-B721-EC500F699492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80" authorId="0" shapeId="0" xr:uid="{FF2F474E-4624-1A45-BE17-5F1D3DE0FCD9}">
      <text>
        <r>
          <rPr>
            <sz val="10"/>
            <color rgb="FF000000"/>
            <rFont val="Tahoma"/>
            <family val="2"/>
          </rPr>
          <t>15%-35%</t>
        </r>
      </text>
    </comment>
    <comment ref="J580" authorId="0" shapeId="0" xr:uid="{889F19F4-A09E-AE4A-9C95-58194738945A}">
      <text>
        <r>
          <rPr>
            <sz val="10"/>
            <color rgb="FF000000"/>
            <rFont val="Tahoma"/>
            <family val="2"/>
          </rPr>
          <t>15%-35%</t>
        </r>
      </text>
    </comment>
    <comment ref="Q580" authorId="0" shapeId="0" xr:uid="{993EF1AB-047E-6340-B615-6600DA26D74B}">
      <text>
        <r>
          <rPr>
            <sz val="10"/>
            <color rgb="FF000000"/>
            <rFont val="Tahoma"/>
            <family val="2"/>
          </rPr>
          <t>15%-35%</t>
        </r>
      </text>
    </comment>
    <comment ref="X580" authorId="0" shapeId="0" xr:uid="{3078EC30-81DE-5643-A3CB-AD8FB855676A}">
      <text>
        <r>
          <rPr>
            <sz val="10"/>
            <color rgb="FF000000"/>
            <rFont val="Tahoma"/>
            <family val="2"/>
          </rPr>
          <t>15%-35%</t>
        </r>
      </text>
    </comment>
    <comment ref="C581" authorId="0" shapeId="0" xr:uid="{42332479-4AE4-2B43-8B4F-7A098CA0BBF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81" authorId="0" shapeId="0" xr:uid="{C9964D8D-530B-0B4E-83E8-66B033EA2A7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581" authorId="0" shapeId="0" xr:uid="{A383CADC-743F-5740-9597-45442C8828C7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581" authorId="0" shapeId="0" xr:uid="{AB3A1B21-3F03-6740-A2C4-3200AD92F73E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02" authorId="0" shapeId="0" xr:uid="{0B11C4FF-D8CD-5845-8F38-8F4487CC1801}">
      <text>
        <r>
          <rPr>
            <sz val="10"/>
            <color rgb="FF000000"/>
            <rFont val="Tahoma"/>
            <family val="2"/>
          </rPr>
          <t>4%-10%</t>
        </r>
      </text>
    </comment>
    <comment ref="J602" authorId="0" shapeId="0" xr:uid="{7C151E7A-0CE3-B048-A1AE-B3FF4055596E}">
      <text>
        <r>
          <rPr>
            <sz val="10"/>
            <color rgb="FF000000"/>
            <rFont val="Tahoma"/>
            <family val="2"/>
          </rPr>
          <t>4%-10%</t>
        </r>
      </text>
    </comment>
    <comment ref="E616" authorId="0" shapeId="0" xr:uid="{B9BC07CE-3238-7D4D-929F-B7BA9727353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616" authorId="0" shapeId="0" xr:uid="{529F2575-96B3-574D-9A99-90212CEF9A6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617" authorId="0" shapeId="0" xr:uid="{C79C752C-5F0A-1B4A-BCA3-A149A0D4376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617" authorId="0" shapeId="0" xr:uid="{75763833-2D0B-464D-AF6B-5604DCB33FD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618" authorId="0" shapeId="0" xr:uid="{A805D203-0266-2F41-BF9F-14169B65491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618" authorId="0" shapeId="0" xr:uid="{752D686B-3C11-E742-B7CA-F58B874A3D1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629" authorId="0" shapeId="0" xr:uid="{B69919F7-A576-0F41-8DF0-436A604ED65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629" authorId="0" shapeId="0" xr:uid="{C3082850-D03B-8140-B319-1C0BF7CAD2C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30" authorId="0" shapeId="0" xr:uid="{92E422E7-C02E-B345-8DAB-4BC300C4CB9C}">
      <text>
        <r>
          <rPr>
            <sz val="10"/>
            <color rgb="FF000000"/>
            <rFont val="Tahoma"/>
            <family val="2"/>
          </rPr>
          <t>15%-35%</t>
        </r>
      </text>
    </comment>
    <comment ref="J630" authorId="0" shapeId="0" xr:uid="{19533054-6873-1044-9521-3A90D7A1CFED}">
      <text>
        <r>
          <rPr>
            <sz val="10"/>
            <color rgb="FF000000"/>
            <rFont val="Tahoma"/>
            <family val="2"/>
          </rPr>
          <t>15%-35%</t>
        </r>
      </text>
    </comment>
    <comment ref="C631" authorId="0" shapeId="0" xr:uid="{3E767BA0-46FC-8F41-8CC5-6D3112DB1E9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631" authorId="0" shapeId="0" xr:uid="{9352DBD6-7ED8-CF40-B450-12F9203C2EB9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8" authorId="0" shapeId="0" xr:uid="{2EDC2BC2-54F5-B448-B92F-86A4D7ECE0CA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1" authorId="0" shapeId="0" xr:uid="{172F1D3C-64A0-5242-840F-9E8B5E637E4F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50DF5DD7-A6CB-CD4B-9E48-6944513B0711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EFA2B4B8-8DAE-8B4F-A0C9-593DBB98564E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A77323DF-DB9C-BA46-AFC9-D3D83FCC219B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F8785842-CF7C-A24F-A757-8BADE502FF38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8DDF30D1-8216-8A46-9BE3-EA8A73CC6057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1BEAB532-77B3-BF48-8046-33F73A5D103B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28D9EF47-241C-EB4B-8390-64A2BF254F29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8B47C49D-DF07-F74C-B9F4-0ED56736DC2F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<sst xmlns="http://schemas.openxmlformats.org/spreadsheetml/2006/main" count="8543" uniqueCount="1258">
  <si>
    <t>Kansas Remodel Tax</t>
  </si>
  <si>
    <t>Cost</t>
  </si>
  <si>
    <t>Total</t>
  </si>
  <si>
    <t>Material Total</t>
  </si>
  <si>
    <t>Labor Total</t>
  </si>
  <si>
    <t xml:space="preserve"> </t>
  </si>
  <si>
    <t>TOTAL</t>
  </si>
  <si>
    <t>%</t>
  </si>
  <si>
    <t>MARKUP</t>
  </si>
  <si>
    <t>SUB-TOTAL COSTS</t>
  </si>
  <si>
    <t>Material Sub Total</t>
  </si>
  <si>
    <t>Quantity</t>
  </si>
  <si>
    <t>MATERIAL - Floor</t>
  </si>
  <si>
    <t>MATERIAL - Cove</t>
  </si>
  <si>
    <t>MATERIAL - Patch</t>
  </si>
  <si>
    <t>Sales Tax</t>
  </si>
  <si>
    <t>Shipping</t>
  </si>
  <si>
    <t>Moisture Test</t>
  </si>
  <si>
    <t>Less Sales Tax</t>
  </si>
  <si>
    <t>Room</t>
  </si>
  <si>
    <t>Bond</t>
  </si>
  <si>
    <t>Section</t>
  </si>
  <si>
    <t>Ram Board</t>
  </si>
  <si>
    <t>Densifier</t>
  </si>
  <si>
    <t>Sealer</t>
  </si>
  <si>
    <t>Standard  Add's</t>
  </si>
  <si>
    <t xml:space="preserve">Total </t>
  </si>
  <si>
    <t>SF</t>
  </si>
  <si>
    <t>Plastic</t>
  </si>
  <si>
    <t>Drawings</t>
  </si>
  <si>
    <t>Specifications</t>
  </si>
  <si>
    <t>Notes</t>
  </si>
  <si>
    <t>Drawing</t>
  </si>
  <si>
    <t xml:space="preserve"> Description</t>
  </si>
  <si>
    <t>Description</t>
  </si>
  <si>
    <t>Page #</t>
  </si>
  <si>
    <t>Addenda</t>
  </si>
  <si>
    <t>#</t>
  </si>
  <si>
    <t>Impact to Scope</t>
  </si>
  <si>
    <t>Joint Filler</t>
  </si>
  <si>
    <t>Dye</t>
  </si>
  <si>
    <t>Dye?</t>
  </si>
  <si>
    <t>Days</t>
  </si>
  <si>
    <t>Rate</t>
  </si>
  <si>
    <t>Hours</t>
  </si>
  <si>
    <t>Square Footage:</t>
  </si>
  <si>
    <t>Linear Footage:</t>
  </si>
  <si>
    <r>
      <t xml:space="preserve">Rate </t>
    </r>
    <r>
      <rPr>
        <b/>
        <sz val="12"/>
        <color theme="1"/>
        <rFont val="Calibri"/>
        <family val="2"/>
      </rPr>
      <t>(PW?)</t>
    </r>
  </si>
  <si>
    <t>LF</t>
  </si>
  <si>
    <t>Material Discount? *update cells*</t>
  </si>
  <si>
    <t>*make sure all cells are included in SUM</t>
  </si>
  <si>
    <t>Totals</t>
  </si>
  <si>
    <r>
      <t>Labor:</t>
    </r>
    <r>
      <rPr>
        <sz val="12"/>
        <color theme="1"/>
        <rFont val="Calibri"/>
        <family val="2"/>
      </rPr>
      <t xml:space="preserve">              Guys</t>
    </r>
  </si>
  <si>
    <r>
      <t>Travel:</t>
    </r>
    <r>
      <rPr>
        <sz val="12"/>
        <color theme="1"/>
        <rFont val="Calibri"/>
        <family val="2"/>
      </rPr>
      <t xml:space="preserve">             Guys</t>
    </r>
  </si>
  <si>
    <r>
      <t>Mock-Up:</t>
    </r>
    <r>
      <rPr>
        <sz val="12"/>
        <color theme="1"/>
        <rFont val="Calibri"/>
        <family val="2"/>
      </rPr>
      <t xml:space="preserve">         Guys</t>
    </r>
  </si>
  <si>
    <r>
      <t>Travel:</t>
    </r>
    <r>
      <rPr>
        <sz val="12"/>
        <color rgb="FF000000"/>
        <rFont val="Calibri"/>
        <family val="2"/>
        <scheme val="minor"/>
      </rPr>
      <t xml:space="preserve">             Guys</t>
    </r>
  </si>
  <si>
    <t>Plastic (per LF)</t>
  </si>
  <si>
    <t>Slurry Hardener</t>
  </si>
  <si>
    <t>(at min. 1 bag per 5,000sf)</t>
  </si>
  <si>
    <t>8hour days</t>
  </si>
  <si>
    <t>Total Base Bid:</t>
  </si>
  <si>
    <t>$ / SF:</t>
  </si>
  <si>
    <t>New Year's Day</t>
  </si>
  <si>
    <t>Memorial Day</t>
  </si>
  <si>
    <t>July 4th</t>
  </si>
  <si>
    <t>Labor Day</t>
  </si>
  <si>
    <t>Thanksgiving</t>
  </si>
  <si>
    <t>Christmas</t>
  </si>
  <si>
    <t>Travel - Lodging</t>
  </si>
  <si>
    <t>Travel - Food</t>
  </si>
  <si>
    <t>Mark Up + Conting.</t>
  </si>
  <si>
    <t>No</t>
  </si>
  <si>
    <t>MATERIAL - Dye</t>
  </si>
  <si>
    <t>Dye?  'Yes' or 'No'</t>
  </si>
  <si>
    <t>Insurance</t>
  </si>
  <si>
    <t>Tooling &amp; Consumables</t>
  </si>
  <si>
    <t>Local?</t>
  </si>
  <si>
    <t>Local Drop Down Menu</t>
  </si>
  <si>
    <t>Yes</t>
  </si>
  <si>
    <t>Taxable?</t>
  </si>
  <si>
    <t>Material $/SF</t>
  </si>
  <si>
    <t>: Ratio of Cove-Floor</t>
  </si>
  <si>
    <t>15%-25% = Normal</t>
  </si>
  <si>
    <t>Polish</t>
  </si>
  <si>
    <t>Floor Type</t>
  </si>
  <si>
    <t>SF/MH Benchmark</t>
  </si>
  <si>
    <t>Estimated SF/MH</t>
  </si>
  <si>
    <t>Labor $/SF</t>
  </si>
  <si>
    <t>New</t>
  </si>
  <si>
    <t>Polish New/Reno</t>
  </si>
  <si>
    <t>Reno</t>
  </si>
  <si>
    <t>10%-20% = Normal</t>
  </si>
  <si>
    <r>
      <t xml:space="preserve">Quartz TM: </t>
    </r>
    <r>
      <rPr>
        <b/>
        <sz val="12"/>
        <color theme="1"/>
        <rFont val="Calibri"/>
        <family val="2"/>
        <scheme val="minor"/>
      </rPr>
      <t>4.5 - 6</t>
    </r>
  </si>
  <si>
    <t>SF/MH Benchmark (1K sf - 3K sf)</t>
  </si>
  <si>
    <t>S&amp;P</t>
  </si>
  <si>
    <t>Level 2</t>
  </si>
  <si>
    <t>Level 3</t>
  </si>
  <si>
    <t>Level 4</t>
  </si>
  <si>
    <t>Traditional</t>
  </si>
  <si>
    <t>Full Aggregate</t>
  </si>
  <si>
    <t>Hybrid</t>
  </si>
  <si>
    <t>Polish System</t>
  </si>
  <si>
    <t>Level</t>
  </si>
  <si>
    <t>Grout</t>
  </si>
  <si>
    <t>Cream</t>
  </si>
  <si>
    <t>Full</t>
  </si>
  <si>
    <t>Demo Glue</t>
  </si>
  <si>
    <t>No Dye</t>
  </si>
  <si>
    <t>Yes Dye</t>
  </si>
  <si>
    <t>No Grout</t>
  </si>
  <si>
    <t>Yes Grout</t>
  </si>
  <si>
    <t>No Demo Glue</t>
  </si>
  <si>
    <t>Yes Demo Glue</t>
  </si>
  <si>
    <t>Calculator for Polish Days - DO NOT DELETE</t>
  </si>
  <si>
    <t>Tooling</t>
  </si>
  <si>
    <t>Select:</t>
  </si>
  <si>
    <t>Sliding Scales:</t>
  </si>
  <si>
    <t># of 40 hour weeks</t>
  </si>
  <si>
    <t># of weeks rounded up</t>
  </si>
  <si>
    <t>Remodel Tax?</t>
  </si>
  <si>
    <t>4" Rubber Cove</t>
  </si>
  <si>
    <t>6" Rubber Cove</t>
  </si>
  <si>
    <t>4" Line Striping</t>
  </si>
  <si>
    <t>6" Line Striping</t>
  </si>
  <si>
    <t>Height of Cant Cove</t>
  </si>
  <si>
    <t>Total Resin + Hardner</t>
  </si>
  <si>
    <t>Total Aggregate</t>
  </si>
  <si>
    <r>
      <t>h</t>
    </r>
    <r>
      <rPr>
        <vertAlign val="superscript"/>
        <sz val="12"/>
        <color theme="1"/>
        <rFont val="Calibri"/>
        <family val="2"/>
      </rPr>
      <t>2</t>
    </r>
    <r>
      <rPr>
        <sz val="12"/>
        <color theme="1"/>
        <rFont val="Calibri"/>
        <family val="2"/>
      </rPr>
      <t xml:space="preserve">/1.5 = Ratio to </t>
    </r>
    <r>
      <rPr>
        <b/>
        <i/>
        <sz val="12"/>
        <color theme="1"/>
        <rFont val="Calibri"/>
        <family val="2"/>
      </rPr>
      <t>6" cove w/ cap</t>
    </r>
    <r>
      <rPr>
        <sz val="12"/>
        <color theme="1"/>
        <rFont val="Calibri"/>
        <family val="2"/>
      </rPr>
      <t xml:space="preserve"> (1/8" thick)</t>
    </r>
  </si>
  <si>
    <r>
      <t>Cant Cove Calculator (</t>
    </r>
    <r>
      <rPr>
        <b/>
        <i/>
        <u/>
        <sz val="12"/>
        <color theme="1"/>
        <rFont val="Calibri"/>
        <family val="2"/>
      </rPr>
      <t xml:space="preserve">must be a </t>
    </r>
    <r>
      <rPr>
        <b/>
        <u/>
        <sz val="12"/>
        <color theme="1"/>
        <rFont val="Calibri"/>
        <family val="2"/>
      </rPr>
      <t>45° Angle)</t>
    </r>
    <r>
      <rPr>
        <b/>
        <sz val="12"/>
        <color theme="1"/>
        <rFont val="Calibri"/>
        <family val="2"/>
      </rPr>
      <t>:</t>
    </r>
  </si>
  <si>
    <t>WR</t>
  </si>
  <si>
    <t>TOOLING &amp; CONSUMABLES</t>
  </si>
  <si>
    <t>TRAVEL</t>
  </si>
  <si>
    <t>Tooling and Consumables Total</t>
  </si>
  <si>
    <t>Travel Costs Total</t>
  </si>
  <si>
    <t>Shop Time</t>
  </si>
  <si>
    <t>Soft Costs</t>
  </si>
  <si>
    <t>Note: These are based on % of Revenue - Jan - July 2018 from QuickBooks</t>
  </si>
  <si>
    <t>Depreciation</t>
  </si>
  <si>
    <t>Repairs</t>
  </si>
  <si>
    <t>Warranty</t>
  </si>
  <si>
    <t>Fuel</t>
  </si>
  <si>
    <t>Shop Supplies</t>
  </si>
  <si>
    <t>SOFT COSTS</t>
  </si>
  <si>
    <t>Everything but WC (GL, Auto)</t>
  </si>
  <si>
    <t xml:space="preserve">Install Labor </t>
  </si>
  <si>
    <t>Labor Burden</t>
  </si>
  <si>
    <t>(less ks remodel tax)</t>
  </si>
  <si>
    <t>(less ks remodel tax, no joints)</t>
  </si>
  <si>
    <t>Hard Bid Discount</t>
  </si>
  <si>
    <t>Hard Bid?</t>
  </si>
  <si>
    <t>Dye or Reno 5k sf+?</t>
  </si>
  <si>
    <t>Grout Compound?</t>
  </si>
  <si>
    <t>TAXES &amp; FEES</t>
  </si>
  <si>
    <t># 2500 sf multiplier</t>
  </si>
  <si>
    <t>Traditoinal Tooling</t>
  </si>
  <si>
    <t>Aggregate?</t>
  </si>
  <si>
    <t>Polish System?</t>
  </si>
  <si>
    <t>Grout?</t>
  </si>
  <si>
    <t>Demo Glue?</t>
  </si>
  <si>
    <t>(Grout for Full Agg Only)</t>
  </si>
  <si>
    <t>5 - 7</t>
  </si>
  <si>
    <t>6 - 8</t>
  </si>
  <si>
    <t>8 - 11</t>
  </si>
  <si>
    <t>10 - 20</t>
  </si>
  <si>
    <t>x - x</t>
  </si>
  <si>
    <t>4.5 - 6 (no new data)</t>
  </si>
  <si>
    <t>Polish (current year data)</t>
  </si>
  <si>
    <t>Epoxy (current year data)</t>
  </si>
  <si>
    <r>
      <t xml:space="preserve">Cream: </t>
    </r>
    <r>
      <rPr>
        <b/>
        <sz val="12"/>
        <color theme="1"/>
        <rFont val="Calibri"/>
        <family val="2"/>
        <scheme val="minor"/>
      </rPr>
      <t>22-30</t>
    </r>
  </si>
  <si>
    <r>
      <t xml:space="preserve">S&amp;P: </t>
    </r>
    <r>
      <rPr>
        <b/>
        <sz val="12"/>
        <color theme="1"/>
        <rFont val="Calibri"/>
        <family val="2"/>
        <scheme val="minor"/>
      </rPr>
      <t>18-25</t>
    </r>
  </si>
  <si>
    <r>
      <t xml:space="preserve">Traditional: </t>
    </r>
    <r>
      <rPr>
        <b/>
        <sz val="12"/>
        <color theme="1"/>
        <rFont val="Calibri"/>
        <family val="2"/>
        <scheme val="minor"/>
      </rPr>
      <t>7-12</t>
    </r>
  </si>
  <si>
    <r>
      <t xml:space="preserve">Demo QT: </t>
    </r>
    <r>
      <rPr>
        <b/>
        <sz val="12"/>
        <color theme="1"/>
        <rFont val="Calibri"/>
        <family val="2"/>
        <scheme val="minor"/>
      </rPr>
      <t>10 - 17</t>
    </r>
  </si>
  <si>
    <r>
      <t xml:space="preserve">Demo Glue: </t>
    </r>
    <r>
      <rPr>
        <b/>
        <sz val="12"/>
        <color theme="1"/>
        <rFont val="Calibri"/>
        <family val="2"/>
        <scheme val="minor"/>
      </rPr>
      <t>60 - 104</t>
    </r>
  </si>
  <si>
    <t>If glue demo also + Citra-Kut above</t>
  </si>
  <si>
    <r>
      <t xml:space="preserve">Demo Tooling </t>
    </r>
    <r>
      <rPr>
        <i/>
        <sz val="12"/>
        <color theme="1"/>
        <rFont val="Calibri"/>
        <family val="2"/>
      </rPr>
      <t>(/sf)</t>
    </r>
  </si>
  <si>
    <r>
      <t>Potential Add Options</t>
    </r>
    <r>
      <rPr>
        <i/>
        <u/>
        <sz val="12"/>
        <color theme="1"/>
        <rFont val="Calibri"/>
        <family val="2"/>
        <scheme val="minor"/>
      </rPr>
      <t xml:space="preserve"> (over &amp; above Low Sheen - Cream Hybrid)</t>
    </r>
  </si>
  <si>
    <t>(could be more)</t>
  </si>
  <si>
    <t>(no joints)</t>
  </si>
  <si>
    <t>$/SF</t>
  </si>
  <si>
    <t>Total Add</t>
  </si>
  <si>
    <r>
      <rPr>
        <b/>
        <u/>
        <sz val="12"/>
        <color theme="1"/>
        <rFont val="Calibri"/>
        <family val="2"/>
        <scheme val="minor"/>
      </rPr>
      <t>Typical Range</t>
    </r>
  </si>
  <si>
    <t>Total w/ Opt.</t>
  </si>
  <si>
    <t>Total $/SF</t>
  </si>
  <si>
    <t>Salt &amp; Pepper</t>
  </si>
  <si>
    <t>Standard Sheen</t>
  </si>
  <si>
    <t>($0.65 - $1.25)</t>
  </si>
  <si>
    <t>($0.80 - $1.25)</t>
  </si>
  <si>
    <t>($0.75 - $1.90)</t>
  </si>
  <si>
    <t>&lt; 500 sf</t>
  </si>
  <si>
    <t>500 - 1500 sf</t>
  </si>
  <si>
    <r>
      <t xml:space="preserve">1/4" SL Urethane: </t>
    </r>
    <r>
      <rPr>
        <b/>
        <sz val="12"/>
        <color theme="1"/>
        <rFont val="Calibri"/>
        <family val="2"/>
        <scheme val="minor"/>
      </rPr>
      <t>8.5 - 11.5</t>
    </r>
  </si>
  <si>
    <r>
      <t xml:space="preserve">3/16" SL Urethane: </t>
    </r>
    <r>
      <rPr>
        <b/>
        <sz val="12"/>
        <color theme="1"/>
        <rFont val="Calibri"/>
        <family val="2"/>
        <scheme val="minor"/>
      </rPr>
      <t>9 - 12</t>
    </r>
  </si>
  <si>
    <r>
      <t xml:space="preserve">Flake: </t>
    </r>
    <r>
      <rPr>
        <b/>
        <sz val="12"/>
        <color theme="1"/>
        <rFont val="Calibri"/>
        <family val="2"/>
        <scheme val="minor"/>
      </rPr>
      <t>9 - 12</t>
    </r>
  </si>
  <si>
    <r>
      <t xml:space="preserve">HF Trowel: </t>
    </r>
    <r>
      <rPr>
        <b/>
        <sz val="12"/>
        <color theme="1"/>
        <rFont val="Calibri"/>
        <family val="2"/>
        <scheme val="minor"/>
      </rPr>
      <t>5.5 - 7</t>
    </r>
  </si>
  <si>
    <r>
      <t xml:space="preserve">Hybrid: </t>
    </r>
    <r>
      <rPr>
        <b/>
        <sz val="12"/>
        <color theme="1"/>
        <rFont val="Calibri"/>
        <family val="2"/>
        <scheme val="minor"/>
      </rPr>
      <t>8 - 11</t>
    </r>
  </si>
  <si>
    <r>
      <t xml:space="preserve">Quartz BC: </t>
    </r>
    <r>
      <rPr>
        <b/>
        <sz val="12"/>
        <color theme="1"/>
        <rFont val="Calibri"/>
        <family val="2"/>
        <scheme val="minor"/>
      </rPr>
      <t>8 - 11</t>
    </r>
  </si>
  <si>
    <r>
      <t xml:space="preserve">Thin Mil: </t>
    </r>
    <r>
      <rPr>
        <b/>
        <sz val="12"/>
        <color theme="1"/>
        <rFont val="Calibri"/>
        <family val="2"/>
        <scheme val="minor"/>
      </rPr>
      <t>11 - 17</t>
    </r>
  </si>
  <si>
    <r>
      <t xml:space="preserve">Demo VCT/Carpet/Ceramic: </t>
    </r>
    <r>
      <rPr>
        <b/>
        <sz val="12"/>
        <color theme="1"/>
        <rFont val="Calibri"/>
        <family val="2"/>
        <scheme val="minor"/>
      </rPr>
      <t>40 - 60</t>
    </r>
  </si>
  <si>
    <t>Increase epoxy SF/MH by 2 across the board Except Troweled systems - GI 02/18/20</t>
  </si>
  <si>
    <t>Increased Demo of VCT Carpet.. By 10 SF/MH - GI 02/18/20</t>
  </si>
  <si>
    <t>updated 02/18/20 - GI</t>
  </si>
  <si>
    <t>Material Budget</t>
  </si>
  <si>
    <t>&lt; 70 miles?</t>
  </si>
  <si>
    <t>New / Reno:</t>
  </si>
  <si>
    <t>SF for MH Calc</t>
  </si>
  <si>
    <t>MATERIAL - Extras</t>
  </si>
  <si>
    <t>MATERIAL - Epoxy Liquids</t>
  </si>
  <si>
    <t>Address</t>
  </si>
  <si>
    <t>*Double for removal of existing soft joints</t>
  </si>
  <si>
    <t>$ / LF</t>
  </si>
  <si>
    <t>Contingency</t>
  </si>
  <si>
    <t>For PM's Reference</t>
  </si>
  <si>
    <t>Material + Tooling %</t>
  </si>
  <si>
    <t>Labor %</t>
  </si>
  <si>
    <t>Travel %</t>
  </si>
  <si>
    <t>GP (before lines below)</t>
  </si>
  <si>
    <t>MATERIAL - Joint Filler</t>
  </si>
  <si>
    <r>
      <t>Joint Filler:</t>
    </r>
    <r>
      <rPr>
        <sz val="12"/>
        <color theme="1"/>
        <rFont val="Calibri"/>
        <family val="2"/>
      </rPr>
      <t xml:space="preserve">         Guys</t>
    </r>
  </si>
  <si>
    <t>Removal of Existing?</t>
  </si>
  <si>
    <t>Discount / Overage</t>
  </si>
  <si>
    <t>Bid Date</t>
  </si>
  <si>
    <t>Project</t>
  </si>
  <si>
    <t>Approx Start Date</t>
  </si>
  <si>
    <t>Architect</t>
  </si>
  <si>
    <t>Drawings Dated</t>
  </si>
  <si>
    <t>Joint Filler? 'Yes' or 'No'</t>
  </si>
  <si>
    <t>sf</t>
  </si>
  <si>
    <t>lf</t>
  </si>
  <si>
    <r>
      <t>Grind &amp; Seal Conc (1 pass)</t>
    </r>
    <r>
      <rPr>
        <sz val="12"/>
        <color theme="1"/>
        <rFont val="Calibri"/>
        <family val="2"/>
      </rPr>
      <t xml:space="preserve"> (per ops meeting 4/26/19)</t>
    </r>
  </si>
  <si>
    <t>1000 sf</t>
  </si>
  <si>
    <t>/sf</t>
  </si>
  <si>
    <t>1-5k sf</t>
  </si>
  <si>
    <t>5000 sf ^</t>
  </si>
  <si>
    <t>10000 sf</t>
  </si>
  <si>
    <r>
      <t>Clean &amp; Seal Conc</t>
    </r>
    <r>
      <rPr>
        <sz val="12"/>
        <color theme="1"/>
        <rFont val="Calibri"/>
        <family val="2"/>
      </rPr>
      <t xml:space="preserve"> (per ops meeting 4/26/19)</t>
    </r>
  </si>
  <si>
    <t>1000 &amp; below</t>
  </si>
  <si>
    <t>1k-5k sf</t>
  </si>
  <si>
    <t>5k &amp;^sf</t>
  </si>
  <si>
    <t>Dumpster</t>
  </si>
  <si>
    <t>10 Yard (small jobs)</t>
  </si>
  <si>
    <t>20 Yard (~1,500 sf)</t>
  </si>
  <si>
    <t>30 Yard (~2,000+)</t>
  </si>
  <si>
    <t>other notes ----&gt;</t>
  </si>
  <si>
    <t>Citra Kut II (5gal bucket)</t>
  </si>
  <si>
    <t>per 5 gal</t>
  </si>
  <si>
    <t>~300 sf/gal [or ~1,500 sf/5gal]</t>
  </si>
  <si>
    <t>Speed Cove (wall/ceiling to wall/ceiling)</t>
  </si>
  <si>
    <t>per lf  (from SpeedCove Solid Rock Enterprices)</t>
  </si>
  <si>
    <t>Altenate  - Ram Board 5,000 sf</t>
  </si>
  <si>
    <t>$/sf</t>
  </si>
  <si>
    <t>Altenate  - Ram Board 1,000 sf</t>
  </si>
  <si>
    <t>Discount</t>
  </si>
  <si>
    <t>OTHER COSTS</t>
  </si>
  <si>
    <t>Foreman - Fuel</t>
  </si>
  <si>
    <t>Generator Fuel</t>
  </si>
  <si>
    <t>Other Costs Total</t>
  </si>
  <si>
    <t>Material Contingency</t>
  </si>
  <si>
    <t>Labor Contingency</t>
  </si>
  <si>
    <t>Mark Up</t>
  </si>
  <si>
    <t>(polish remodel tax cell)</t>
  </si>
  <si>
    <r>
      <t>or</t>
    </r>
    <r>
      <rPr>
        <i/>
        <sz val="12"/>
        <color theme="1"/>
        <rFont val="Calibri"/>
        <family val="2"/>
      </rPr>
      <t>:</t>
    </r>
  </si>
  <si>
    <t>Warranty Work</t>
  </si>
  <si>
    <t>SF:</t>
  </si>
  <si>
    <t xml:space="preserve">less ks remodel, if applicable </t>
  </si>
  <si>
    <t>Altenate  - Joint Filler 5,000 sf</t>
  </si>
  <si>
    <t>Altenate  - Joint Filler 1,000 sf</t>
  </si>
  <si>
    <t>$/LF</t>
  </si>
  <si>
    <t>*14.5% of SF</t>
  </si>
  <si>
    <t>*20% of SF</t>
  </si>
  <si>
    <t>LF:</t>
  </si>
  <si>
    <t>Per LF:</t>
  </si>
  <si>
    <t>Resinous  - MOB (In Town)</t>
  </si>
  <si>
    <t>Resinous  - MOB (2:00 Hours One Way)</t>
  </si>
  <si>
    <t>Resinous  - MOB (3:00 Hours One Way)</t>
  </si>
  <si>
    <t>Drive &amp; Setup Time</t>
  </si>
  <si>
    <r>
      <t>Epoxy</t>
    </r>
    <r>
      <rPr>
        <b/>
        <sz val="12"/>
        <color theme="1"/>
        <rFont val="Calibri"/>
        <family val="2"/>
      </rPr>
      <t>:</t>
    </r>
  </si>
  <si>
    <t>orig labor</t>
  </si>
  <si>
    <t>divided by # of weeks</t>
  </si>
  <si>
    <t>divided by 2</t>
  </si>
  <si>
    <t>Mileage</t>
  </si>
  <si>
    <t>Polish  - MOB (In Town)</t>
  </si>
  <si>
    <t>Polish  - MOB (2:00 Hours One Way)</t>
  </si>
  <si>
    <t>Polish  - MOB (3:00 Hours One Way)</t>
  </si>
  <si>
    <r>
      <t>Polish</t>
    </r>
    <r>
      <rPr>
        <b/>
        <sz val="12"/>
        <color theme="1"/>
        <rFont val="Calibri"/>
        <family val="2"/>
      </rPr>
      <t>:</t>
    </r>
  </si>
  <si>
    <t>divided by 4</t>
  </si>
  <si>
    <t>Mock-Up Material</t>
  </si>
  <si>
    <t>4" Rubber Cove Base - 500 lf</t>
  </si>
  <si>
    <t>$/lf</t>
  </si>
  <si>
    <t>4" Rubber Cove Base - 100 lf</t>
  </si>
  <si>
    <t>Material $/LF</t>
  </si>
  <si>
    <t>Estimated LF/MH</t>
  </si>
  <si>
    <t>Labor $/LF</t>
  </si>
  <si>
    <t>6" Rubber Cove Base - 500 lf</t>
  </si>
  <si>
    <t>6" Rubber Cove Base - 100 lf</t>
  </si>
  <si>
    <t>4" Line Striping - 500 lf</t>
  </si>
  <si>
    <t>4" Line Striping - 100 lf</t>
  </si>
  <si>
    <t>Material  - 4" Line Striping - 100 lf</t>
  </si>
  <si>
    <t>100 divided by 3</t>
  </si>
  <si>
    <t>WB</t>
  </si>
  <si>
    <t>Accelera EXT BrghtYw (Small)</t>
  </si>
  <si>
    <t>4" Line</t>
  </si>
  <si>
    <t>SF  (=500/3)</t>
  </si>
  <si>
    <t>SF  (=100/3)</t>
  </si>
  <si>
    <t>6" Line</t>
  </si>
  <si>
    <t>SF  (=500/2)</t>
  </si>
  <si>
    <t>SF  (=100/2)</t>
  </si>
  <si>
    <t>Material Figured ----&gt;</t>
  </si>
  <si>
    <t>Material  - 4" Line Striping - 500 lf</t>
  </si>
  <si>
    <t>500 divided by 3</t>
  </si>
  <si>
    <t>Material  - 6" Line Striping - 100 lf</t>
  </si>
  <si>
    <t>100 divided by 2</t>
  </si>
  <si>
    <t>Material  - 6" Line Striping - 500 lf</t>
  </si>
  <si>
    <t>500 divided by 2</t>
  </si>
  <si>
    <t>6" Line Striping - 500 lf</t>
  </si>
  <si>
    <t>6" Line Striping - 100 lf</t>
  </si>
  <si>
    <t>Dumpster (&lt;= 1,000 sf)</t>
  </si>
  <si>
    <t>Dumpster (~1,500 sf)</t>
  </si>
  <si>
    <t>Dumpster (~2,000 sf)    **may need multiple**</t>
  </si>
  <si>
    <t>Dumpster (~2,500 sf)    **may need multiple**</t>
  </si>
  <si>
    <t>Dumpster (10 Yard)</t>
  </si>
  <si>
    <t>Dumpster (20 Yard)</t>
  </si>
  <si>
    <t>Dumpster (30 Yard)</t>
  </si>
  <si>
    <t>Dumpster (40 Yard)</t>
  </si>
  <si>
    <t>Generator / Day</t>
  </si>
  <si>
    <t>Generator / Week</t>
  </si>
  <si>
    <t>Generator Usage</t>
  </si>
  <si>
    <t>***Original Standard Alternates Below (OUTDATED)***</t>
  </si>
  <si>
    <t xml:space="preserve">MATERIAL - </t>
  </si>
  <si>
    <t>Material Overage</t>
  </si>
  <si>
    <t>LABOR</t>
  </si>
  <si>
    <t>Ram Board SF</t>
  </si>
  <si>
    <t>Guys</t>
  </si>
  <si>
    <t>TW Insurance</t>
  </si>
  <si>
    <t>Fee</t>
  </si>
  <si>
    <t>per sf</t>
  </si>
  <si>
    <t>**14.5% of SF</t>
  </si>
  <si>
    <t>**20% of SF</t>
  </si>
  <si>
    <t>Joint Filler LF</t>
  </si>
  <si>
    <t>per lf</t>
  </si>
  <si>
    <t>Mobilization In Town</t>
  </si>
  <si>
    <t>Mobilization - 120 miles</t>
  </si>
  <si>
    <t>Mobilization - 200 miles</t>
  </si>
  <si>
    <t>JM Mileage</t>
  </si>
  <si>
    <t>Hotel</t>
  </si>
  <si>
    <t>Crew Time - 0.75 day</t>
  </si>
  <si>
    <t>Crew Time - 1 day</t>
  </si>
  <si>
    <t>Crew Time - 2 days</t>
  </si>
  <si>
    <t>Install Time</t>
  </si>
  <si>
    <t>Any additional for phasing?</t>
  </si>
  <si>
    <t>Mock Up In Town</t>
  </si>
  <si>
    <t>Mock Up  - 120 miles</t>
  </si>
  <si>
    <t>Mock Up  - 200 miles</t>
  </si>
  <si>
    <t>Material</t>
  </si>
  <si>
    <t>Altenate  - Polish 5,000 sf 800 grit</t>
  </si>
  <si>
    <t>Altenate  - Polish Edges 1,000 sf</t>
  </si>
  <si>
    <t>Altenate  - Polish 5,000 with Edges</t>
  </si>
  <si>
    <t xml:space="preserve">Altenate  - Grind+Seal 5,000 sf </t>
  </si>
  <si>
    <t xml:space="preserve">Altenate  - Stain+Seal 5,000 sf </t>
  </si>
  <si>
    <t>Stain</t>
  </si>
  <si>
    <t>JM Polish (no edge)</t>
  </si>
  <si>
    <t>JM Polish Edge</t>
  </si>
  <si>
    <t>JM Stain</t>
  </si>
  <si>
    <t>JM Insurance</t>
  </si>
  <si>
    <t>TW General Liability</t>
  </si>
  <si>
    <t>TW WC</t>
  </si>
  <si>
    <t>high (at 30 % of sf)</t>
  </si>
  <si>
    <t>low (at 15% of sf)</t>
  </si>
  <si>
    <t>Altenate  - Polish 1,000 sf 800 grit</t>
  </si>
  <si>
    <t>Altenate  - Polish Edges 200, sf</t>
  </si>
  <si>
    <t>Altenate  - Polish 1,000 with Edges</t>
  </si>
  <si>
    <t>Altenate  - MVP @ 16 mil</t>
  </si>
  <si>
    <t>Altenate  - MVP @ 12 mil</t>
  </si>
  <si>
    <t>Altenate  - Polycrete SL</t>
  </si>
  <si>
    <t>MVP</t>
  </si>
  <si>
    <t>SL</t>
  </si>
  <si>
    <t>JM Generator</t>
  </si>
  <si>
    <t>JM Fuel</t>
  </si>
  <si>
    <t>Sub-Total $/SF</t>
  </si>
  <si>
    <t>GP / MH</t>
  </si>
  <si>
    <t>/10 gal kit</t>
  </si>
  <si>
    <t>Wage Rate?</t>
  </si>
  <si>
    <t>Travel Wage Rate?</t>
  </si>
  <si>
    <t>*per Ted's Trash Website:</t>
  </si>
  <si>
    <t>tedstrash.com/rolloff</t>
  </si>
  <si>
    <t xml:space="preserve">40 Yard </t>
  </si>
  <si>
    <t># of 10,000</t>
  </si>
  <si>
    <t>4 days per 10k</t>
  </si>
  <si>
    <t>Add Dye: (1 day/10k)</t>
  </si>
  <si>
    <t>Trowel Labor:</t>
  </si>
  <si>
    <r>
      <rPr>
        <u/>
        <sz val="12"/>
        <color theme="1"/>
        <rFont val="Calibri (Body)"/>
      </rPr>
      <t>S&amp;P</t>
    </r>
    <r>
      <rPr>
        <sz val="12"/>
        <color theme="1"/>
        <rFont val="Calibri"/>
        <family val="2"/>
        <scheme val="minor"/>
      </rPr>
      <t>: (5 passes) 60/80 metal, 50 resin, 100 resin, 200 resin, 400 resin</t>
    </r>
  </si>
  <si>
    <r>
      <rPr>
        <u/>
        <sz val="12"/>
        <color theme="1"/>
        <rFont val="Calibri (Body)"/>
      </rPr>
      <t>Cream</t>
    </r>
    <r>
      <rPr>
        <sz val="12"/>
        <color theme="1"/>
        <rFont val="Calibri"/>
        <family val="2"/>
        <scheme val="minor"/>
      </rPr>
      <t>: (3 passes) 100 resin, 200 resin, 400 resin</t>
    </r>
  </si>
  <si>
    <r>
      <rPr>
        <i/>
        <u/>
        <sz val="12"/>
        <color theme="1"/>
        <rFont val="Calibri"/>
        <family val="2"/>
      </rPr>
      <t xml:space="preserve">(5 passes)  </t>
    </r>
    <r>
      <rPr>
        <b/>
        <u/>
        <sz val="12"/>
        <color theme="1"/>
        <rFont val="Calibri"/>
        <family val="2"/>
      </rPr>
      <t>S&amp;P</t>
    </r>
  </si>
  <si>
    <r>
      <rPr>
        <i/>
        <u/>
        <sz val="12"/>
        <color theme="1"/>
        <rFont val="Calibri"/>
        <family val="2"/>
      </rPr>
      <t xml:space="preserve">(3 passes)  </t>
    </r>
    <r>
      <rPr>
        <b/>
        <u/>
        <sz val="12"/>
        <color theme="1"/>
        <rFont val="Calibri"/>
        <family val="2"/>
      </rPr>
      <t>Cream</t>
    </r>
  </si>
  <si>
    <t>*Add Dumpster*</t>
  </si>
  <si>
    <t>Laborer (Full)</t>
  </si>
  <si>
    <t>Average</t>
  </si>
  <si>
    <t>Prevailing Wage Calc:</t>
  </si>
  <si>
    <t>enter rate here</t>
  </si>
  <si>
    <t>Warranty &amp; Extra Soft Cost</t>
  </si>
  <si>
    <t>tax on ALL "Sub-Total Costs"</t>
  </si>
  <si>
    <t>Lodging Rate?</t>
  </si>
  <si>
    <t>Food Rate?</t>
  </si>
  <si>
    <t>Fuel cost ?</t>
  </si>
  <si>
    <t>Adhesive</t>
  </si>
  <si>
    <r>
      <rPr>
        <i/>
        <sz val="12"/>
        <color theme="1"/>
        <rFont val="Calibri"/>
        <family val="2"/>
      </rPr>
      <t>(</t>
    </r>
    <r>
      <rPr>
        <i/>
        <u/>
        <sz val="12"/>
        <color theme="1"/>
        <rFont val="Calibri"/>
        <family val="2"/>
      </rPr>
      <t xml:space="preserve"> 4-1/2" $ </t>
    </r>
    <r>
      <rPr>
        <i/>
        <sz val="12"/>
        <color theme="1"/>
        <rFont val="Calibri"/>
        <family val="2"/>
      </rPr>
      <t>)</t>
    </r>
  </si>
  <si>
    <t>4" = $109.00 per box</t>
  </si>
  <si>
    <r>
      <t>Rubber Cove</t>
    </r>
    <r>
      <rPr>
        <b/>
        <u/>
        <sz val="12"/>
        <color theme="1"/>
        <rFont val="Calibri"/>
        <family val="2"/>
      </rPr>
      <t xml:space="preserve"> 6"</t>
    </r>
  </si>
  <si>
    <r>
      <t>Rubber Cove</t>
    </r>
    <r>
      <rPr>
        <b/>
        <u/>
        <sz val="12"/>
        <color theme="1"/>
        <rFont val="Calibri"/>
        <family val="2"/>
      </rPr>
      <t xml:space="preserve"> 4</t>
    </r>
    <r>
      <rPr>
        <u/>
        <sz val="12"/>
        <color theme="1"/>
        <rFont val="Calibri"/>
        <family val="2"/>
      </rPr>
      <t>-1/2</t>
    </r>
    <r>
      <rPr>
        <b/>
        <u/>
        <sz val="12"/>
        <color theme="1"/>
        <rFont val="Calibri"/>
        <family val="2"/>
      </rPr>
      <t>"</t>
    </r>
  </si>
  <si>
    <r>
      <t>Roppe 700 Series (</t>
    </r>
    <r>
      <rPr>
        <i/>
        <sz val="10"/>
        <color theme="1"/>
        <rFont val="Calibri"/>
        <family val="2"/>
      </rPr>
      <t>from CCS, 06/07/22</t>
    </r>
    <r>
      <rPr>
        <i/>
        <sz val="12"/>
        <color theme="1"/>
        <rFont val="Calibri"/>
        <family val="2"/>
      </rPr>
      <t>)</t>
    </r>
  </si>
  <si>
    <t>Bond ?</t>
  </si>
  <si>
    <r>
      <t xml:space="preserve">Roppe 700 Series </t>
    </r>
    <r>
      <rPr>
        <u/>
        <sz val="12"/>
        <color theme="1"/>
        <rFont val="Calibri"/>
        <family val="2"/>
        <scheme val="minor"/>
      </rPr>
      <t>(from CCS)</t>
    </r>
  </si>
  <si>
    <t>Scales updated 6/7/22 --&gt;</t>
  </si>
  <si>
    <t>Add for Topeka, St. Joe (~2 hrs)</t>
  </si>
  <si>
    <t>Cream Polish</t>
  </si>
  <si>
    <t>Salt and Pepper</t>
  </si>
  <si>
    <t>Aggregate Exposure</t>
  </si>
  <si>
    <t>Cost/SF</t>
  </si>
  <si>
    <t>Adjusted Cost/SF (75%)</t>
  </si>
  <si>
    <t>0-4,000 SF Average</t>
  </si>
  <si>
    <t>4,000-7,000 SF Average</t>
  </si>
  <si>
    <t>7,000 SF+ Average</t>
  </si>
  <si>
    <t>Pads (Cream)</t>
  </si>
  <si>
    <t>data on "validation" tab</t>
  </si>
  <si>
    <t>From Kyle &amp; RJ's polish tooling spreadsheet from 12/02/21</t>
  </si>
  <si>
    <t>extra cell</t>
  </si>
  <si>
    <t>Trowel Labor Based on 3 guys</t>
  </si>
  <si>
    <t>5 - 7 days per 10k</t>
  </si>
  <si>
    <t>Shipping + Mat. Esc.</t>
  </si>
  <si>
    <r>
      <t>Total "Estimated Costs"</t>
    </r>
    <r>
      <rPr>
        <i/>
        <sz val="11"/>
        <color theme="1"/>
        <rFont val="Calibri"/>
        <family val="2"/>
      </rPr>
      <t xml:space="preserve"> w/taxes + fees + bond</t>
    </r>
  </si>
  <si>
    <t>8 hour days</t>
  </si>
  <si>
    <t>System Step &amp; Day Count</t>
  </si>
  <si>
    <t>SLB &amp; MDB</t>
  </si>
  <si>
    <t>Trowel Hybrid</t>
  </si>
  <si>
    <t>Standard Hybrid</t>
  </si>
  <si>
    <t>Quartz BC</t>
  </si>
  <si>
    <t>Flake Double</t>
  </si>
  <si>
    <t>Flake Single</t>
  </si>
  <si>
    <t>Gard</t>
  </si>
  <si>
    <t>Prep</t>
  </si>
  <si>
    <t>SL/MD + Broadcast</t>
  </si>
  <si>
    <t>SL + Broadcast</t>
  </si>
  <si>
    <t>Prime</t>
  </si>
  <si>
    <t>Topcoat</t>
  </si>
  <si>
    <t>Broadcast</t>
  </si>
  <si>
    <t>Base Coat</t>
  </si>
  <si>
    <t>Cove?</t>
  </si>
  <si>
    <t>Extra Patch?</t>
  </si>
  <si>
    <t>Extra Grout</t>
  </si>
  <si>
    <r>
      <rPr>
        <u/>
        <sz val="12"/>
        <color theme="1"/>
        <rFont val="Calibri (Body)"/>
      </rPr>
      <t>Full/Large</t>
    </r>
    <r>
      <rPr>
        <sz val="12"/>
        <color theme="1"/>
        <rFont val="Calibri"/>
        <family val="2"/>
        <scheme val="minor"/>
      </rPr>
      <t>: (9[+] passes) BushHammers, 16 metal, 30 metal, (</t>
    </r>
    <r>
      <rPr>
        <sz val="11"/>
        <color theme="1"/>
        <rFont val="Calibri (Body)"/>
      </rPr>
      <t>grout</t>
    </r>
    <r>
      <rPr>
        <sz val="12"/>
        <color theme="1"/>
        <rFont val="Calibri"/>
        <family val="2"/>
        <scheme val="minor"/>
      </rPr>
      <t>) 60/80 metal,</t>
    </r>
  </si>
  <si>
    <r>
      <t>50 resin, (</t>
    </r>
    <r>
      <rPr>
        <sz val="11"/>
        <color theme="1"/>
        <rFont val="Calibri (Body)"/>
      </rPr>
      <t>grout</t>
    </r>
    <r>
      <rPr>
        <sz val="12"/>
        <color theme="1"/>
        <rFont val="Calibri"/>
        <family val="2"/>
        <scheme val="minor"/>
      </rPr>
      <t xml:space="preserve">) 100 resin, 200 resin, 400 resin, 800 resin, </t>
    </r>
    <r>
      <rPr>
        <i/>
        <u/>
        <sz val="12"/>
        <color theme="1"/>
        <rFont val="Calibri (Body)"/>
      </rPr>
      <t>etc</t>
    </r>
    <r>
      <rPr>
        <i/>
        <sz val="12"/>
        <color theme="1"/>
        <rFont val="Calibri"/>
        <family val="2"/>
        <scheme val="minor"/>
      </rPr>
      <t>..?</t>
    </r>
  </si>
  <si>
    <r>
      <t xml:space="preserve">WB </t>
    </r>
    <r>
      <rPr>
        <i/>
        <sz val="12"/>
        <color theme="1"/>
        <rFont val="Calibri"/>
        <family val="2"/>
      </rPr>
      <t>(deduct)</t>
    </r>
  </si>
  <si>
    <r>
      <t xml:space="preserve">MVP </t>
    </r>
    <r>
      <rPr>
        <i/>
        <sz val="12"/>
        <color theme="1"/>
        <rFont val="Calibri"/>
        <family val="2"/>
      </rPr>
      <t>(add)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</si>
  <si>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16 mils</t>
    </r>
    <r>
      <rPr>
        <b/>
        <sz val="12"/>
        <color theme="1"/>
        <rFont val="Calibri"/>
        <family val="2"/>
      </rPr>
      <t xml:space="preserve"> MVP @ 1,000 sf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</si>
  <si>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12 mils</t>
    </r>
    <r>
      <rPr>
        <b/>
        <sz val="12"/>
        <color theme="1"/>
        <rFont val="Calibri"/>
        <family val="2"/>
      </rPr>
      <t xml:space="preserve"> MVP @ 5,000 sf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</si>
  <si>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12 mils</t>
    </r>
    <r>
      <rPr>
        <b/>
        <sz val="12"/>
        <color theme="1"/>
        <rFont val="Calibri"/>
        <family val="2"/>
      </rPr>
      <t xml:space="preserve"> MVP @ 1,000 sf</t>
    </r>
  </si>
  <si>
    <t>@ 12 mils</t>
  </si>
  <si>
    <t>@ 16 mils</t>
  </si>
  <si>
    <r>
      <t xml:space="preserve">Altenate  - </t>
    </r>
    <r>
      <rPr>
        <b/>
        <i/>
        <u/>
        <sz val="12"/>
        <color theme="1"/>
        <rFont val="Calibri"/>
        <family val="2"/>
      </rPr>
      <t>16 mils</t>
    </r>
    <r>
      <rPr>
        <b/>
        <sz val="12"/>
        <color theme="1"/>
        <rFont val="Calibri"/>
        <family val="2"/>
      </rPr>
      <t xml:space="preserve"> MVP @ 5,000 sf</t>
    </r>
  </si>
  <si>
    <t>-----&gt;</t>
  </si>
  <si>
    <r>
      <t xml:space="preserve">Altenate  - </t>
    </r>
    <r>
      <rPr>
        <b/>
        <i/>
        <u/>
        <sz val="12"/>
        <color theme="1"/>
        <rFont val="Calibri"/>
        <family val="2"/>
      </rPr>
      <t>SL</t>
    </r>
    <r>
      <rPr>
        <b/>
        <sz val="12"/>
        <color theme="1"/>
        <rFont val="Calibri"/>
        <family val="2"/>
      </rPr>
      <t xml:space="preserve"> @ 1,000 sf</t>
    </r>
  </si>
  <si>
    <r>
      <rPr>
        <b/>
        <sz val="12"/>
        <color theme="1"/>
        <rFont val="Calibri"/>
        <family val="2"/>
      </rPr>
      <t>SL</t>
    </r>
    <r>
      <rPr>
        <sz val="12"/>
        <color theme="1"/>
        <rFont val="Calibri"/>
        <family val="2"/>
      </rPr>
      <t xml:space="preserve"> </t>
    </r>
    <r>
      <rPr>
        <i/>
        <sz val="12"/>
        <color theme="1"/>
        <rFont val="Calibri"/>
        <family val="2"/>
      </rPr>
      <t>(add)</t>
    </r>
  </si>
  <si>
    <t>@ 55 sf/kit</t>
  </si>
  <si>
    <r>
      <t xml:space="preserve">Altenate  - </t>
    </r>
    <r>
      <rPr>
        <b/>
        <i/>
        <u/>
        <sz val="12"/>
        <color theme="1"/>
        <rFont val="Calibri"/>
        <family val="2"/>
      </rPr>
      <t>SL</t>
    </r>
    <r>
      <rPr>
        <b/>
        <sz val="12"/>
        <color theme="1"/>
        <rFont val="Calibri"/>
        <family val="2"/>
      </rPr>
      <t xml:space="preserve"> @ 5,000 sf</t>
    </r>
  </si>
  <si>
    <t>Poly-Crete</t>
  </si>
  <si>
    <r>
      <t xml:space="preserve">Standard Primer </t>
    </r>
    <r>
      <rPr>
        <b/>
        <i/>
        <u/>
        <sz val="12"/>
        <color theme="1"/>
        <rFont val="Calibri"/>
        <family val="2"/>
      </rPr>
      <t>deduct</t>
    </r>
  </si>
  <si>
    <r>
      <t xml:space="preserve">Receiving Coat </t>
    </r>
    <r>
      <rPr>
        <b/>
        <i/>
        <u/>
        <sz val="12"/>
        <color theme="1"/>
        <rFont val="Calibri"/>
        <family val="2"/>
      </rPr>
      <t>deduct</t>
    </r>
  </si>
  <si>
    <r>
      <t>Receiving Coat (</t>
    </r>
    <r>
      <rPr>
        <i/>
        <sz val="11"/>
        <color theme="1"/>
        <rFont val="Calibri"/>
        <family val="2"/>
      </rPr>
      <t>deduct)</t>
    </r>
  </si>
  <si>
    <r>
      <t xml:space="preserve">8 mils - Standard Primer </t>
    </r>
    <r>
      <rPr>
        <b/>
        <i/>
        <u/>
        <sz val="12"/>
        <color theme="1"/>
        <rFont val="Calibri"/>
        <family val="2"/>
      </rPr>
      <t>deduct</t>
    </r>
  </si>
  <si>
    <r>
      <rPr>
        <b/>
        <u/>
        <sz val="12"/>
        <color rgb="FF000000"/>
        <rFont val="Calibri"/>
        <family val="2"/>
      </rPr>
      <t>Cove</t>
    </r>
    <r>
      <rPr>
        <b/>
        <sz val="12"/>
        <color indexed="8"/>
        <rFont val="Calibri"/>
        <family val="2"/>
      </rPr>
      <t>:</t>
    </r>
  </si>
  <si>
    <t>2 Man Crew:</t>
  </si>
  <si>
    <t>3+ Man Crew:</t>
  </si>
  <si>
    <r>
      <t>Bidding Contacts</t>
    </r>
    <r>
      <rPr>
        <sz val="10"/>
        <color theme="1"/>
        <rFont val="Calibri (Body)"/>
      </rPr>
      <t>:</t>
    </r>
  </si>
  <si>
    <t>EPOXY - Mock-Up (In Town)</t>
  </si>
  <si>
    <t>EPOXY - Mock-Up (2:00 Hours One Way)</t>
  </si>
  <si>
    <t>EPOXY - Mock-Up (3:00 Hours One Way)</t>
  </si>
  <si>
    <t>POLISH - Mock-Up (3:00 Hours One Way)</t>
  </si>
  <si>
    <t>POLISH - Mock-Up (2:00 Hours One Way)</t>
  </si>
  <si>
    <t>POLISH - Mock-Up (In Town)</t>
  </si>
  <si>
    <t>Daily x5:</t>
  </si>
  <si>
    <t>Mock-Up MATERIAL - Floor</t>
  </si>
  <si>
    <t>Polish Materials</t>
  </si>
  <si>
    <t>CF Lrg @ 16</t>
  </si>
  <si>
    <t>Silica</t>
  </si>
  <si>
    <t>MD</t>
  </si>
  <si>
    <t>Glaze 4</t>
  </si>
  <si>
    <t>Q28 / 40-S</t>
  </si>
  <si>
    <r>
      <t>Cove Rez</t>
    </r>
    <r>
      <rPr>
        <i/>
        <sz val="12"/>
        <color theme="1"/>
        <rFont val="Calibri"/>
        <family val="2"/>
      </rPr>
      <t xml:space="preserve"> (extra grout)</t>
    </r>
  </si>
  <si>
    <t>OPF</t>
  </si>
  <si>
    <r>
      <t xml:space="preserve">Glaze 4 </t>
    </r>
    <r>
      <rPr>
        <i/>
        <sz val="12"/>
        <color theme="1"/>
        <rFont val="Calibri"/>
        <family val="2"/>
      </rPr>
      <t>(double BC)</t>
    </r>
  </si>
  <si>
    <r>
      <t xml:space="preserve">Material - Flake </t>
    </r>
    <r>
      <rPr>
        <b/>
        <i/>
        <sz val="12"/>
        <color theme="1"/>
        <rFont val="Calibri"/>
        <family val="2"/>
      </rPr>
      <t>(double BC micro)</t>
    </r>
    <r>
      <rPr>
        <b/>
        <sz val="12"/>
        <color theme="1"/>
        <rFont val="Calibri"/>
        <family val="2"/>
      </rPr>
      <t xml:space="preserve"> - 100 sf</t>
    </r>
  </si>
  <si>
    <t>Material - Quartz BC - 100 sf</t>
  </si>
  <si>
    <t>Material - Hybrid Quartz (trowel) - 100 sf</t>
  </si>
  <si>
    <t>Material - SLB - 100 sf</t>
  </si>
  <si>
    <t>Material - MDB - 100 sf</t>
  </si>
  <si>
    <t>double BC</t>
  </si>
  <si>
    <r>
      <t xml:space="preserve">micro </t>
    </r>
    <r>
      <rPr>
        <i/>
        <sz val="12"/>
        <color theme="1"/>
        <rFont val="Calibri"/>
        <family val="2"/>
      </rPr>
      <t>(double BC)</t>
    </r>
  </si>
  <si>
    <r>
      <t xml:space="preserve">Q28 / 40-S </t>
    </r>
    <r>
      <rPr>
        <i/>
        <sz val="12"/>
        <color theme="1"/>
        <rFont val="Calibri"/>
        <family val="2"/>
      </rPr>
      <t>(double BC)</t>
    </r>
  </si>
  <si>
    <t>extra grout coat</t>
  </si>
  <si>
    <t>**** MOST EXPENSIVE ------------&gt;</t>
  </si>
  <si>
    <t>** See Material Calculations ------&gt;</t>
  </si>
  <si>
    <r>
      <t xml:space="preserve">** USED </t>
    </r>
    <r>
      <rPr>
        <i/>
        <sz val="12"/>
        <color theme="1"/>
        <rFont val="Calibri"/>
        <family val="2"/>
        <scheme val="minor"/>
      </rPr>
      <t>(covers most options)</t>
    </r>
    <r>
      <rPr>
        <b/>
        <i/>
        <sz val="12"/>
        <color theme="1"/>
        <rFont val="Calibri"/>
        <family val="2"/>
        <scheme val="minor"/>
      </rPr>
      <t xml:space="preserve"> ---&gt;</t>
    </r>
  </si>
  <si>
    <t>SEE Below</t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</si>
  <si>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Epoxy</t>
    </r>
    <r>
      <rPr>
        <b/>
        <sz val="12"/>
        <color indexed="8"/>
        <rFont val="Calibri"/>
        <family val="2"/>
      </rPr>
      <t>:</t>
    </r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</si>
  <si>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Polish</t>
    </r>
    <r>
      <rPr>
        <b/>
        <sz val="12"/>
        <color indexed="8"/>
        <rFont val="Calibri"/>
        <family val="2"/>
      </rPr>
      <t>:</t>
    </r>
  </si>
  <si>
    <t>Sum of Above SF:</t>
  </si>
  <si>
    <t>Man Hour Budget (Raken)</t>
  </si>
  <si>
    <t>Cove Ratio %</t>
  </si>
  <si>
    <t xml:space="preserve">Layout </t>
  </si>
  <si>
    <t xml:space="preserve">SF-Soft Surfaces </t>
  </si>
  <si>
    <t xml:space="preserve">SF-Hard Surfaces </t>
  </si>
  <si>
    <t>SF-Corridors</t>
  </si>
  <si>
    <t>Mobilizations</t>
  </si>
  <si>
    <t xml:space="preserve">Miles Away </t>
  </si>
  <si>
    <t>Total SF:</t>
  </si>
  <si>
    <t>Unit</t>
  </si>
  <si>
    <t>Corridor</t>
  </si>
  <si>
    <t xml:space="preserve">SF - Soft Surfaces: </t>
  </si>
  <si>
    <t>SF - Hard Surfaces:</t>
  </si>
  <si>
    <t>SF - Corridors:</t>
  </si>
  <si>
    <t xml:space="preserve">Ave Thickness: </t>
  </si>
  <si>
    <t>Ave Thickness:</t>
  </si>
  <si>
    <t xml:space="preserve">Mix Design: </t>
  </si>
  <si>
    <t>Yield Per Bag (1/8")</t>
  </si>
  <si>
    <t>Hallow Plank Subfloor:</t>
  </si>
  <si>
    <t xml:space="preserve">Bag Type: </t>
  </si>
  <si>
    <t>FR25</t>
  </si>
  <si>
    <t>ISO Strip at All Areas:</t>
  </si>
  <si>
    <t xml:space="preserve">Yield at 3/4" </t>
  </si>
  <si>
    <t>Metal Lath Reinfrcmnt:</t>
  </si>
  <si>
    <t xml:space="preserve">Yield per 1/8" </t>
  </si>
  <si>
    <r>
      <rPr>
        <sz val="12"/>
        <color rgb="FF000000"/>
        <rFont val="Calibri"/>
        <family val="2"/>
      </rPr>
      <t xml:space="preserve">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Gyp</t>
    </r>
    <r>
      <rPr>
        <b/>
        <sz val="12"/>
        <color indexed="8"/>
        <rFont val="Calibri"/>
        <family val="2"/>
      </rPr>
      <t>:</t>
    </r>
  </si>
  <si>
    <t>Eights req at Thickness</t>
  </si>
  <si>
    <t xml:space="preserve">*change this depending on depth, 1"=8… 3/4"=6* </t>
  </si>
  <si>
    <t xml:space="preserve">Yield/FT </t>
  </si>
  <si>
    <t xml:space="preserve">Gyp Waste </t>
  </si>
  <si>
    <t>Units</t>
  </si>
  <si>
    <t>Cost/Unit</t>
  </si>
  <si>
    <t xml:space="preserve">Subtotal </t>
  </si>
  <si>
    <t xml:space="preserve">Sand Waste </t>
  </si>
  <si>
    <t>Sound Mat Waste</t>
  </si>
  <si>
    <t>MATERIAL - Gypsum Underlayments</t>
  </si>
  <si>
    <t>SF Total</t>
  </si>
  <si>
    <t>Ave Gyp Thickness</t>
  </si>
  <si>
    <r>
      <t>Treadstone FR25 (</t>
    </r>
    <r>
      <rPr>
        <u/>
        <sz val="12"/>
        <color theme="1"/>
        <rFont val="Calibri"/>
        <family val="2"/>
      </rPr>
      <t>S</t>
    </r>
    <r>
      <rPr>
        <sz val="12"/>
        <color theme="1"/>
        <rFont val="Calibri"/>
        <family val="2"/>
      </rPr>
      <t>SA)</t>
    </r>
  </si>
  <si>
    <t>bags w/ waste</t>
  </si>
  <si>
    <t>SF - Soft Surfaces</t>
  </si>
  <si>
    <r>
      <t>Treadstone FR25 (</t>
    </r>
    <r>
      <rPr>
        <u/>
        <sz val="12"/>
        <color theme="1"/>
        <rFont val="Calibri"/>
        <family val="2"/>
      </rPr>
      <t>H</t>
    </r>
    <r>
      <rPr>
        <sz val="12"/>
        <color theme="1"/>
        <rFont val="Calibri"/>
        <family val="2"/>
      </rPr>
      <t>SA)</t>
    </r>
  </si>
  <si>
    <t>SF - Hard Surfaces</t>
  </si>
  <si>
    <r>
      <t>Treadstone FR25 (</t>
    </r>
    <r>
      <rPr>
        <u/>
        <sz val="12"/>
        <color theme="1"/>
        <rFont val="Calibri"/>
        <family val="2"/>
      </rPr>
      <t>Corr</t>
    </r>
    <r>
      <rPr>
        <sz val="12"/>
        <color theme="1"/>
        <rFont val="Calibri"/>
        <family val="2"/>
      </rPr>
      <t>)</t>
    </r>
  </si>
  <si>
    <t>SF - Corridors</t>
  </si>
  <si>
    <t>Treadstone Primer TP1</t>
  </si>
  <si>
    <t>gallons</t>
  </si>
  <si>
    <t>Iso Strip (rolls)</t>
  </si>
  <si>
    <t>rolls</t>
  </si>
  <si>
    <t>Joint Tape (rolls)</t>
  </si>
  <si>
    <r>
      <t xml:space="preserve">Sand </t>
    </r>
    <r>
      <rPr>
        <i/>
        <sz val="12"/>
        <color theme="1"/>
        <rFont val="Calibri"/>
        <family val="2"/>
      </rPr>
      <t>(per Ton)</t>
    </r>
  </si>
  <si>
    <t>tons w/ waste</t>
  </si>
  <si>
    <t>(Total Bags x Mix Design)/2000</t>
  </si>
  <si>
    <t>Total Bags</t>
  </si>
  <si>
    <t xml:space="preserve">Price </t>
  </si>
  <si>
    <t xml:space="preserve">Sqft per Roll </t>
  </si>
  <si>
    <t xml:space="preserve">$ per Sqft </t>
  </si>
  <si>
    <t>1/8"</t>
  </si>
  <si>
    <t>1/4"</t>
  </si>
  <si>
    <t>3/8"</t>
  </si>
  <si>
    <t xml:space="preserve">Labor </t>
  </si>
  <si>
    <t xml:space="preserve">Travel Hours ((miles/60) x # Mobz)  </t>
  </si>
  <si>
    <t xml:space="preserve">Total Man Hours </t>
  </si>
  <si>
    <t xml:space="preserve">Total Days </t>
  </si>
  <si>
    <t>Floor ONLY SF:</t>
  </si>
  <si>
    <r>
      <t xml:space="preserve">Patch: </t>
    </r>
    <r>
      <rPr>
        <sz val="11"/>
        <color theme="1"/>
        <rFont val="Calibri"/>
        <family val="2"/>
        <scheme val="minor"/>
      </rPr>
      <t xml:space="preserve">Gallons </t>
    </r>
    <r>
      <rPr>
        <sz val="11"/>
        <color theme="1"/>
        <rFont val="Calibri (Body)"/>
      </rPr>
      <t>CoveRez</t>
    </r>
  </si>
  <si>
    <r>
      <t># of Gallons (</t>
    </r>
    <r>
      <rPr>
        <i/>
        <sz val="10"/>
        <color theme="1"/>
        <rFont val="Calibri"/>
        <family val="2"/>
      </rPr>
      <t>if CoveRez</t>
    </r>
    <r>
      <rPr>
        <i/>
        <sz val="12"/>
        <color theme="1"/>
        <rFont val="Calibri"/>
        <family val="2"/>
      </rPr>
      <t>)</t>
    </r>
  </si>
  <si>
    <r>
      <t xml:space="preserve">Patch: Kits of </t>
    </r>
    <r>
      <rPr>
        <sz val="11"/>
        <color theme="1"/>
        <rFont val="Calibri (Body)"/>
      </rPr>
      <t>WR</t>
    </r>
  </si>
  <si>
    <r>
      <t># of Kits (</t>
    </r>
    <r>
      <rPr>
        <i/>
        <sz val="10"/>
        <color theme="1"/>
        <rFont val="Calibri"/>
        <family val="2"/>
      </rPr>
      <t>if WR</t>
    </r>
    <r>
      <rPr>
        <i/>
        <sz val="12"/>
        <color theme="1"/>
        <rFont val="Calibri"/>
        <family val="2"/>
      </rPr>
      <t>)</t>
    </r>
  </si>
  <si>
    <t>1/8's Req at Thickness</t>
  </si>
  <si>
    <t>Bags</t>
  </si>
  <si>
    <t xml:space="preserve">Alt Mobs. </t>
  </si>
  <si>
    <t>Travel</t>
  </si>
  <si>
    <t>Treadstone FR25</t>
  </si>
  <si>
    <t>Super Sacks</t>
  </si>
  <si>
    <t>10 hour days</t>
  </si>
  <si>
    <t>MATERIAL - Powders</t>
  </si>
  <si>
    <t>MATERIAL - Sand/Aggregate</t>
  </si>
  <si>
    <r>
      <rPr>
        <sz val="12"/>
        <color rgb="FF000000"/>
        <rFont val="Calibri"/>
        <family val="2"/>
      </rPr>
      <t>Floor System-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Leveling</t>
    </r>
    <r>
      <rPr>
        <b/>
        <sz val="12"/>
        <color indexed="8"/>
        <rFont val="Calibri"/>
        <family val="2"/>
      </rPr>
      <t>:</t>
    </r>
  </si>
  <si>
    <t>Hours per Day dropdown</t>
  </si>
  <si>
    <t>S&amp;P: 18-25</t>
  </si>
  <si>
    <t>Cream: 22-30</t>
  </si>
  <si>
    <t xml:space="preserve">Pour Hours (total bags/pump rate) </t>
  </si>
  <si>
    <t xml:space="preserve">Prep/Prime/Seal Hours (hrs per mob) </t>
  </si>
  <si>
    <t>Labor Production Rates (Hard Enter)</t>
  </si>
  <si>
    <t>INCLUDES HARD SURFACE AREAS ONLY</t>
  </si>
  <si>
    <t>Mat Time Hours (total HSA mat area/rate)</t>
  </si>
  <si>
    <t>Mob Fee*</t>
  </si>
  <si>
    <t>Mock-Up*</t>
  </si>
  <si>
    <t>*see "Stnd Alts" tab</t>
  </si>
  <si>
    <t>Epoxy:</t>
  </si>
  <si>
    <t>Polish:</t>
  </si>
  <si>
    <t>Flake or lesser</t>
  </si>
  <si>
    <t>Qrtz/SLB or +</t>
  </si>
  <si>
    <t>1,500 sf - 2,500</t>
  </si>
  <si>
    <r>
      <rPr>
        <b/>
        <sz val="12"/>
        <color theme="1"/>
        <rFont val="Calibri (Body)"/>
      </rPr>
      <t xml:space="preserve">             </t>
    </r>
    <r>
      <rPr>
        <b/>
        <u/>
        <sz val="12"/>
        <color theme="1"/>
        <rFont val="Calibri"/>
        <family val="2"/>
        <scheme val="minor"/>
      </rPr>
      <t># of Guys (epoxy)</t>
    </r>
  </si>
  <si>
    <t>**In Town**</t>
  </si>
  <si>
    <t>2,500 to 3,000</t>
  </si>
  <si>
    <t>3,000 +</t>
  </si>
  <si>
    <t>Holidays - Double Time</t>
  </si>
  <si>
    <r>
      <rPr>
        <i/>
        <sz val="12"/>
        <color theme="1"/>
        <rFont val="Calibri"/>
        <family val="2"/>
      </rPr>
      <t xml:space="preserve">   </t>
    </r>
    <r>
      <rPr>
        <b/>
        <i/>
        <u/>
        <sz val="12"/>
        <color theme="1"/>
        <rFont val="Calibri"/>
        <family val="2"/>
      </rPr>
      <t>Polish Man Power</t>
    </r>
    <r>
      <rPr>
        <i/>
        <sz val="12"/>
        <color theme="1"/>
        <rFont val="Calibri"/>
        <family val="2"/>
      </rPr>
      <t>: If &lt; 1k sf, 2 guys (except Full Agg.)</t>
    </r>
  </si>
  <si>
    <t>System 1</t>
  </si>
  <si>
    <t>Cove Rez</t>
  </si>
  <si>
    <t>Q11 / 25-A</t>
  </si>
  <si>
    <t>Shop Floor</t>
  </si>
  <si>
    <t>for large bids</t>
  </si>
  <si>
    <t>*Adjust these if needed</t>
  </si>
  <si>
    <t>$ /sf deduct</t>
  </si>
  <si>
    <r>
      <rPr>
        <i/>
        <u/>
        <sz val="12"/>
        <color theme="1"/>
        <rFont val="Calibri (Body)"/>
      </rPr>
      <t>Deduct VE</t>
    </r>
    <r>
      <rPr>
        <i/>
        <sz val="12"/>
        <color theme="1"/>
        <rFont val="Calibri"/>
        <family val="2"/>
        <scheme val="minor"/>
      </rPr>
      <t xml:space="preserve"> for Grind &amp; Seal</t>
    </r>
    <r>
      <rPr>
        <b/>
        <i/>
        <u/>
        <sz val="12"/>
        <color theme="1"/>
        <rFont val="Calibri (Body)"/>
      </rPr>
      <t>in lieu of S&amp;P ONLY</t>
    </r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</si>
  <si>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Sealer</t>
    </r>
    <r>
      <rPr>
        <b/>
        <sz val="12"/>
        <color indexed="8"/>
        <rFont val="Calibri"/>
        <family val="2"/>
      </rPr>
      <t>:</t>
    </r>
  </si>
  <si>
    <t>N/A</t>
  </si>
  <si>
    <t>Clean + Seal = 1 Coat</t>
  </si>
  <si>
    <t>Grind + Seal = 2 Coats</t>
  </si>
  <si>
    <t>No Slurry Hardener</t>
  </si>
  <si>
    <t>Clean + Seal</t>
  </si>
  <si>
    <t>Grind + Seal</t>
  </si>
  <si>
    <t>1,000 sf</t>
  </si>
  <si>
    <t>10,000 sf</t>
  </si>
  <si>
    <t>5,000 sf</t>
  </si>
  <si>
    <t>2 guys x 1 day</t>
  </si>
  <si>
    <t>2 guys x 3 days</t>
  </si>
  <si>
    <t>2 guys x 2.5 days</t>
  </si>
  <si>
    <t>3 guys x 5 days</t>
  </si>
  <si>
    <t>4 guys x 7 days</t>
  </si>
  <si>
    <r>
      <rPr>
        <u/>
        <sz val="12"/>
        <color theme="1"/>
        <rFont val="Calibri (Body)"/>
      </rPr>
      <t>Grind + Seal</t>
    </r>
    <r>
      <rPr>
        <sz val="12"/>
        <color theme="1"/>
        <rFont val="Calibri"/>
        <family val="2"/>
        <scheme val="minor"/>
      </rPr>
      <t>: (2 passes) 50, 100</t>
    </r>
  </si>
  <si>
    <t>Always Consider Labor in Terms of How Cut-Up the Job is.</t>
  </si>
  <si>
    <t>Patching or Not? Exclude Patching ?</t>
  </si>
  <si>
    <t>LF System 1</t>
  </si>
  <si>
    <t>LF System 2</t>
  </si>
  <si>
    <t>1/2'd for walls</t>
  </si>
  <si>
    <t>3 guys x 3 - 4 days</t>
  </si>
  <si>
    <t>Gard (reg)</t>
  </si>
  <si>
    <t>Gard (OPF)</t>
  </si>
  <si>
    <t>Ultra Clear</t>
  </si>
  <si>
    <t>Color Fast (Lrg)</t>
  </si>
  <si>
    <t>TF+ (reg size)</t>
  </si>
  <si>
    <t>TF+ (jumbo)</t>
  </si>
  <si>
    <t>MACRO Flake</t>
  </si>
  <si>
    <t>micro Flake</t>
  </si>
  <si>
    <t>Elast-O-Coat Clear</t>
  </si>
  <si>
    <t>Elast-O-Coat Pigment</t>
  </si>
  <si>
    <t>Iso</t>
  </si>
  <si>
    <t>... Ship Other:</t>
  </si>
  <si>
    <t>Shipping On... Gyp Bags:</t>
  </si>
  <si>
    <t>MATERIAL - Sound Mats</t>
  </si>
  <si>
    <r>
      <t>Shipping: 20% on gyp bags, 10% on primer, iso, tape, mat (</t>
    </r>
    <r>
      <rPr>
        <i/>
        <u/>
        <sz val="12"/>
        <color rgb="FF000000"/>
        <rFont val="Calibri (Body)"/>
      </rPr>
      <t>none on sand</t>
    </r>
    <r>
      <rPr>
        <i/>
        <sz val="12"/>
        <color rgb="FF000000"/>
        <rFont val="Calibri"/>
        <family val="2"/>
        <scheme val="minor"/>
      </rPr>
      <t>)</t>
    </r>
  </si>
  <si>
    <t>MATERIAL - Sand</t>
  </si>
  <si>
    <t>Special Transitions ?</t>
  </si>
  <si>
    <t>"Nat. Guard" 8' @ ~$130 ea. ($16.25 /lf.)</t>
  </si>
  <si>
    <r>
      <rPr>
        <b/>
        <u/>
        <sz val="12"/>
        <color theme="1"/>
        <rFont val="Calibri (Body)"/>
      </rPr>
      <t>Transition Strip</t>
    </r>
    <r>
      <rPr>
        <sz val="12"/>
        <color theme="1"/>
        <rFont val="Calibri"/>
        <family val="2"/>
        <scheme val="minor"/>
      </rPr>
      <t>:</t>
    </r>
  </si>
  <si>
    <t>"Nat. Guard" = 8' @ ~$130 ea. ($16.25 /lf.)</t>
  </si>
  <si>
    <t>Mat Totals</t>
  </si>
  <si>
    <t>Bag Totals</t>
  </si>
  <si>
    <t>Standard</t>
  </si>
  <si>
    <r>
      <rPr>
        <b/>
        <u/>
        <sz val="12"/>
        <color theme="1"/>
        <rFont val="Calibri"/>
        <family val="2"/>
        <scheme val="minor"/>
      </rPr>
      <t>MVP  $ / SF Ranges</t>
    </r>
    <r>
      <rPr>
        <sz val="12"/>
        <color theme="1"/>
        <rFont val="Calibri (Body)"/>
      </rPr>
      <t xml:space="preserve">: </t>
    </r>
    <r>
      <rPr>
        <i/>
        <sz val="12"/>
        <color theme="1"/>
        <rFont val="Calibri (Body)"/>
      </rPr>
      <t>(08/2023)</t>
    </r>
  </si>
  <si>
    <t xml:space="preserve">discretion </t>
  </si>
  <si>
    <t>&lt; 1,500 sf *</t>
  </si>
  <si>
    <t>&gt; 10,000 sf *</t>
  </si>
  <si>
    <t xml:space="preserve">  * use your </t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</si>
  <si>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In Town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</si>
  <si>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In Town</t>
    </r>
    <r>
      <rPr>
        <sz val="12"/>
        <color theme="1"/>
        <rFont val="Calibri"/>
        <family val="2"/>
      </rPr>
      <t>)</t>
    </r>
  </si>
  <si>
    <t>Epoxy</t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</si>
  <si>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2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</si>
  <si>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3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</si>
  <si>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2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</si>
  <si>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3 hours</t>
    </r>
    <r>
      <rPr>
        <sz val="12"/>
        <color theme="1"/>
        <rFont val="Calibri"/>
        <family val="2"/>
      </rPr>
      <t>)</t>
    </r>
  </si>
  <si>
    <t>Bag Price (FR25)</t>
  </si>
  <si>
    <t>divided SF</t>
  </si>
  <si>
    <t># divided by</t>
  </si>
  <si>
    <t>Material+Tooling</t>
  </si>
  <si>
    <t>% Breakdown</t>
  </si>
  <si>
    <t>Labor + Travel</t>
  </si>
  <si>
    <t>Mark-Up + Taxes</t>
  </si>
  <si>
    <t>Mark-Up+Tax</t>
  </si>
  <si>
    <t>Pre-Pours Hours</t>
  </si>
  <si>
    <t>PSI</t>
  </si>
  <si>
    <t>2500 psi = 1.8</t>
  </si>
  <si>
    <t>3000+ psi = 1.4</t>
  </si>
  <si>
    <r>
      <t xml:space="preserve">SC 190  </t>
    </r>
    <r>
      <rPr>
        <sz val="11"/>
        <color theme="1"/>
        <rFont val="Calibri"/>
        <family val="2"/>
        <scheme val="minor"/>
      </rPr>
      <t xml:space="preserve"> (1/8")</t>
    </r>
  </si>
  <si>
    <r>
      <t xml:space="preserve">SC 250   </t>
    </r>
    <r>
      <rPr>
        <sz val="11"/>
        <color theme="1"/>
        <rFont val="Calibri"/>
        <family val="2"/>
        <scheme val="minor"/>
      </rPr>
      <t>(1/4")</t>
    </r>
  </si>
  <si>
    <r>
      <t xml:space="preserve">SC 50 HP    </t>
    </r>
    <r>
      <rPr>
        <sz val="11"/>
        <color theme="1"/>
        <rFont val="Calibri"/>
        <family val="2"/>
        <scheme val="minor"/>
      </rPr>
      <t>(3/8")</t>
    </r>
  </si>
  <si>
    <r>
      <t xml:space="preserve">Treadstone R1   </t>
    </r>
    <r>
      <rPr>
        <sz val="11"/>
        <color theme="1"/>
        <rFont val="Calibri"/>
        <family val="2"/>
        <scheme val="minor"/>
      </rPr>
      <t>(1/8")</t>
    </r>
  </si>
  <si>
    <r>
      <t xml:space="preserve">Elite Duo   </t>
    </r>
    <r>
      <rPr>
        <sz val="11"/>
        <color theme="1"/>
        <rFont val="Calibri"/>
        <family val="2"/>
        <scheme val="minor"/>
      </rPr>
      <t>(3/8")</t>
    </r>
  </si>
  <si>
    <r>
      <t xml:space="preserve">Elite </t>
    </r>
    <r>
      <rPr>
        <sz val="11"/>
        <color theme="1"/>
        <rFont val="Calibri"/>
        <family val="2"/>
        <scheme val="minor"/>
      </rPr>
      <t xml:space="preserve">  (1/4")</t>
    </r>
  </si>
  <si>
    <t>42 more realistic</t>
  </si>
  <si>
    <r>
      <t>Mix Design:</t>
    </r>
    <r>
      <rPr>
        <i/>
        <sz val="12"/>
        <color theme="1"/>
        <rFont val="Calibri"/>
        <family val="2"/>
      </rPr>
      <t xml:space="preserve"> (</t>
    </r>
    <r>
      <rPr>
        <i/>
        <u/>
        <sz val="12"/>
        <color theme="1"/>
        <rFont val="Calibri"/>
        <family val="2"/>
      </rPr>
      <t>default</t>
    </r>
    <r>
      <rPr>
        <i/>
        <sz val="12"/>
        <color theme="1"/>
        <rFont val="Calibri"/>
        <family val="2"/>
      </rPr>
      <t>= 2500psi @</t>
    </r>
    <r>
      <rPr>
        <b/>
        <i/>
        <u/>
        <sz val="12"/>
        <color theme="1"/>
        <rFont val="Calibri"/>
        <family val="2"/>
      </rPr>
      <t>1.8</t>
    </r>
    <r>
      <rPr>
        <i/>
        <sz val="12"/>
        <color theme="1"/>
        <rFont val="Calibri"/>
        <family val="2"/>
      </rPr>
      <t>)</t>
    </r>
  </si>
  <si>
    <t>Gyp Yield Soft+Corr</t>
  </si>
  <si>
    <t>Gyp Yield Hard</t>
  </si>
  <si>
    <t>Gyp Yield Calculator</t>
  </si>
  <si>
    <t>Sand Mix</t>
  </si>
  <si>
    <t>diff</t>
  </si>
  <si>
    <t>40 sf @ 3/4"</t>
  </si>
  <si>
    <t>Factor = 13.00</t>
  </si>
  <si>
    <t>tax</t>
  </si>
  <si>
    <t>lbs</t>
  </si>
  <si>
    <t>(Sturgis - 11/26/2023)</t>
  </si>
  <si>
    <r>
      <t>(Hi-Tech; via CDS Contractor Direct Solutions (</t>
    </r>
    <r>
      <rPr>
        <i/>
        <sz val="10"/>
        <color theme="1"/>
        <rFont val="Calibri (Body)"/>
      </rPr>
      <t>Jamie Krueger</t>
    </r>
    <r>
      <rPr>
        <i/>
        <sz val="12"/>
        <color theme="1"/>
        <rFont val="Calibri"/>
        <family val="2"/>
        <scheme val="minor"/>
      </rPr>
      <t>))</t>
    </r>
  </si>
  <si>
    <t>Total +pigment</t>
  </si>
  <si>
    <t>(1 kit per 3,500 sf)</t>
  </si>
  <si>
    <t>pigment pack +</t>
  </si>
  <si>
    <r>
      <t xml:space="preserve">Joint Filler   </t>
    </r>
    <r>
      <rPr>
        <i/>
        <sz val="12"/>
        <color theme="1"/>
        <rFont val="Calibri"/>
        <family val="2"/>
      </rPr>
      <t>(10 gal kit)</t>
    </r>
  </si>
  <si>
    <t>yes</t>
  </si>
  <si>
    <t>Cove</t>
  </si>
  <si>
    <t>factor</t>
  </si>
  <si>
    <t>UNIT</t>
  </si>
  <si>
    <t>(? double BC ?)</t>
  </si>
  <si>
    <t>(? double Grout ?)</t>
  </si>
  <si>
    <t>Labor Value</t>
  </si>
  <si>
    <t>Wage Rate</t>
  </si>
  <si>
    <r>
      <rPr>
        <i/>
        <sz val="12"/>
        <color theme="1"/>
        <rFont val="Calibri"/>
        <family val="2"/>
        <scheme val="minor"/>
      </rPr>
      <t>(Avg.)</t>
    </r>
    <r>
      <rPr>
        <sz val="12"/>
        <color theme="1"/>
        <rFont val="Calibri"/>
        <family val="2"/>
        <scheme val="minor"/>
      </rPr>
      <t xml:space="preserve">     </t>
    </r>
    <r>
      <rPr>
        <b/>
        <sz val="12"/>
        <color theme="1"/>
        <rFont val="Calibri"/>
        <family val="2"/>
        <scheme val="minor"/>
      </rPr>
      <t>Days</t>
    </r>
  </si>
  <si>
    <r>
      <rPr>
        <i/>
        <sz val="12"/>
        <color theme="1"/>
        <rFont val="Calibri"/>
        <family val="2"/>
        <scheme val="minor"/>
      </rPr>
      <t>(Avg.)</t>
    </r>
    <r>
      <rPr>
        <sz val="12"/>
        <color theme="1"/>
        <rFont val="Calibri"/>
        <family val="2"/>
        <scheme val="minor"/>
      </rPr>
      <t xml:space="preserve">   </t>
    </r>
    <r>
      <rPr>
        <b/>
        <sz val="12"/>
        <color theme="1"/>
        <rFont val="Calibri"/>
        <family val="2"/>
        <scheme val="minor"/>
      </rPr>
      <t>Guys</t>
    </r>
  </si>
  <si>
    <t>mat $ difference</t>
  </si>
  <si>
    <t>2000 psi</t>
  </si>
  <si>
    <r>
      <t>PSI</t>
    </r>
    <r>
      <rPr>
        <i/>
        <sz val="12"/>
        <color theme="1"/>
        <rFont val="Calibri (Body)"/>
      </rPr>
      <t xml:space="preserve"> option… pending add</t>
    </r>
  </si>
  <si>
    <t>NO Mat = 42</t>
  </si>
  <si>
    <t>NO Mat = 36</t>
  </si>
  <si>
    <r>
      <rPr>
        <b/>
        <i/>
        <u/>
        <sz val="12"/>
        <color theme="1"/>
        <rFont val="Calibri"/>
        <family val="2"/>
        <scheme val="minor"/>
      </rPr>
      <t>1.4</t>
    </r>
    <r>
      <rPr>
        <i/>
        <u/>
        <sz val="12"/>
        <color theme="1"/>
        <rFont val="Calibri"/>
        <family val="2"/>
        <scheme val="minor"/>
      </rPr>
      <t xml:space="preserve"> = 3000 psi</t>
    </r>
  </si>
  <si>
    <r>
      <rPr>
        <b/>
        <i/>
        <u/>
        <sz val="12"/>
        <color theme="1"/>
        <rFont val="Calibri"/>
        <family val="2"/>
        <scheme val="minor"/>
      </rPr>
      <t>1.8</t>
    </r>
    <r>
      <rPr>
        <i/>
        <u/>
        <sz val="12"/>
        <color theme="1"/>
        <rFont val="Calibri"/>
        <family val="2"/>
        <scheme val="minor"/>
      </rPr>
      <t xml:space="preserve"> = 2500 psi</t>
    </r>
  </si>
  <si>
    <t>Treadstone R1   (1/8")</t>
  </si>
  <si>
    <t>Superintendent &amp; PTO</t>
  </si>
  <si>
    <t>Gyp Yield Soft</t>
  </si>
  <si>
    <t>Gyp Yield Corr</t>
  </si>
  <si>
    <t>s</t>
  </si>
  <si>
    <t>Add for Sealer</t>
  </si>
  <si>
    <t>=(sf / 300) / 10% = Sealer *Material ONLY*</t>
  </si>
  <si>
    <t>*Sealer @ Soft Surfc &amp; Corridors ONLY</t>
  </si>
  <si>
    <r>
      <rPr>
        <b/>
        <u/>
        <sz val="12"/>
        <color theme="1"/>
        <rFont val="Calibri (Body)"/>
      </rPr>
      <t>1</t>
    </r>
    <r>
      <rPr>
        <b/>
        <sz val="12"/>
        <color theme="1"/>
        <rFont val="Calibri"/>
        <family val="2"/>
        <scheme val="minor"/>
      </rPr>
      <t xml:space="preserve"> Building</t>
    </r>
  </si>
  <si>
    <r>
      <rPr>
        <b/>
        <u/>
        <sz val="12"/>
        <color theme="1"/>
        <rFont val="Calibri (Body)"/>
      </rPr>
      <t>2</t>
    </r>
    <r>
      <rPr>
        <b/>
        <sz val="12"/>
        <color theme="1"/>
        <rFont val="Calibri"/>
        <family val="2"/>
        <scheme val="minor"/>
      </rPr>
      <t xml:space="preserve"> Building</t>
    </r>
  </si>
  <si>
    <t>Corr.</t>
  </si>
  <si>
    <t>Hard Surface</t>
  </si>
  <si>
    <t>Unit Type</t>
  </si>
  <si>
    <t>2nd Floor</t>
  </si>
  <si>
    <t>DAF Material Prices $</t>
  </si>
  <si>
    <t>AT Clear Satin w/Grit</t>
  </si>
  <si>
    <t>AT Clear Gloss w/Grit</t>
  </si>
  <si>
    <t>Accelera Clear EXT</t>
  </si>
  <si>
    <t>large kit</t>
  </si>
  <si>
    <t>Accelera Pgmnt EXT</t>
  </si>
  <si>
    <t>Accelera Clear EXT [SATIN]</t>
  </si>
  <si>
    <t>Primer Options</t>
  </si>
  <si>
    <t>For Standard Flake, Quartz, Accelera Flake Systems</t>
  </si>
  <si>
    <t>Product</t>
  </si>
  <si>
    <t>Coverage</t>
  </si>
  <si>
    <t>Unit of Measure</t>
  </si>
  <si>
    <t>Quantity Calcs</t>
  </si>
  <si>
    <t>$ Material Cost $</t>
  </si>
  <si>
    <t>Note</t>
  </si>
  <si>
    <t>Primers</t>
  </si>
  <si>
    <t>SF/Gal</t>
  </si>
  <si>
    <t>Accelera EXT (Clear)</t>
  </si>
  <si>
    <t>SF/Large Kit</t>
  </si>
  <si>
    <t>Decorative Flake Systems</t>
  </si>
  <si>
    <t>Grout Coat</t>
  </si>
  <si>
    <t>Glaze #4</t>
  </si>
  <si>
    <t>Armor Top Satin W/ Grit</t>
  </si>
  <si>
    <t>SF/Kit</t>
  </si>
  <si>
    <t>Top Coat</t>
  </si>
  <si>
    <t>1st BC (Liquids)</t>
  </si>
  <si>
    <t>1st Broadcast (Liquids)</t>
  </si>
  <si>
    <t>2nd Broadcast (Liquids)</t>
  </si>
  <si>
    <t>TF+ (Reg. Size)</t>
  </si>
  <si>
    <t>ONLY over Tile wSL/MD</t>
  </si>
  <si>
    <t>Poly-Crete SL</t>
  </si>
  <si>
    <t>Base Coat 1st BC (Liquids)</t>
  </si>
  <si>
    <t>Total Liquids Above</t>
  </si>
  <si>
    <t>@ 12 mils (= ~134 sf)</t>
  </si>
  <si>
    <t>MVP (@ 12 mils)</t>
  </si>
  <si>
    <t>Hybrid  MACRO Flake</t>
  </si>
  <si>
    <t>Hybrid  micro Flake</t>
  </si>
  <si>
    <t>micro Flake Double Broadcast</t>
  </si>
  <si>
    <t>MACRO Flake Single Broadcast</t>
  </si>
  <si>
    <t>Broadcast (Liquids)</t>
  </si>
  <si>
    <t>Accelera EXT (Pgmnt)</t>
  </si>
  <si>
    <t>Gloss ONLY</t>
  </si>
  <si>
    <t>Fast Cure *MACRO Flake Single Broadcast* Fast Cure</t>
  </si>
  <si>
    <t>Decorative Quartz Systems</t>
  </si>
  <si>
    <t>40-S (Q28) Quartz Double Broadcast</t>
  </si>
  <si>
    <t>Hybrid Quartz Double Broadcast (Standard Texture)</t>
  </si>
  <si>
    <t>Trowel - Hybrid Quartz Double Broadcast (Orange Peel Texture/Trowel Texture)</t>
  </si>
  <si>
    <t>Grout Coat 2</t>
  </si>
  <si>
    <t>Grout Coat 1</t>
  </si>
  <si>
    <t>~ 6.5 mils</t>
  </si>
  <si>
    <t>Solid Color Quartz Systems</t>
  </si>
  <si>
    <t>Shop Floor Double Broadcast</t>
  </si>
  <si>
    <t>Pigmented AT Satin W/ Grit</t>
  </si>
  <si>
    <t>Shop Floor Single Broadcast</t>
  </si>
  <si>
    <t>Solid Color Thin Mil</t>
  </si>
  <si>
    <t>Dur-A-Gard</t>
  </si>
  <si>
    <t xml:space="preserve">  @ 16 mils</t>
  </si>
  <si>
    <t>Novolac - Solid Color Thin Mil</t>
  </si>
  <si>
    <t>Body/Topcoat</t>
  </si>
  <si>
    <t>Novolac (Dur-A-Gard)</t>
  </si>
  <si>
    <t xml:space="preserve">  = 16 mils over primer</t>
  </si>
  <si>
    <t>Urethane Cement Systems</t>
  </si>
  <si>
    <t>Poly-Crete Color Fast</t>
  </si>
  <si>
    <t>3/16" Urethne Cement With Shop Floor and Armor Top</t>
  </si>
  <si>
    <r>
      <t xml:space="preserve">Poly-Crete </t>
    </r>
    <r>
      <rPr>
        <b/>
        <u/>
        <sz val="12"/>
        <color theme="1"/>
        <rFont val="Calibri (Body)"/>
      </rPr>
      <t>MD</t>
    </r>
  </si>
  <si>
    <t>MD for 1/4"</t>
  </si>
  <si>
    <t>1/4" Urethne Cement With Color Fast (MDB)</t>
  </si>
  <si>
    <t>3/16" Urethne Cement With Color Fast (SLB)</t>
  </si>
  <si>
    <t>Broadcast Media</t>
  </si>
  <si>
    <r>
      <t xml:space="preserve">Silica     </t>
    </r>
    <r>
      <rPr>
        <i/>
        <sz val="12"/>
        <color theme="1"/>
        <rFont val="Calibri"/>
        <family val="2"/>
        <scheme val="minor"/>
      </rPr>
      <t>(@ 50#s)</t>
    </r>
  </si>
  <si>
    <t>Lb/SF</t>
  </si>
  <si>
    <t>3/16" Cement Urethane</t>
  </si>
  <si>
    <t>1/4" Cement Urethane</t>
  </si>
  <si>
    <r>
      <t xml:space="preserve">Flake     </t>
    </r>
    <r>
      <rPr>
        <i/>
        <sz val="12"/>
        <color theme="1"/>
        <rFont val="Calibri"/>
        <family val="2"/>
        <scheme val="minor"/>
      </rPr>
      <t>(@ 40#s)</t>
    </r>
  </si>
  <si>
    <r>
      <t xml:space="preserve">Quartz    </t>
    </r>
    <r>
      <rPr>
        <i/>
        <sz val="12"/>
        <color theme="1"/>
        <rFont val="Calibri"/>
        <family val="2"/>
        <scheme val="minor"/>
      </rPr>
      <t>(@ 50#s)</t>
    </r>
  </si>
  <si>
    <t>40-S (Q28)</t>
  </si>
  <si>
    <t>Grip</t>
  </si>
  <si>
    <t>??</t>
  </si>
  <si>
    <t>"ceiling" @ 10 lbs? 50 lbs?</t>
  </si>
  <si>
    <t xml:space="preserve">40-S (Q28) Quartz Double Broadcast	</t>
  </si>
  <si>
    <t>Shop Floor SINGLE Broadcast</t>
  </si>
  <si>
    <t>Dur-A-Gard Novolac</t>
  </si>
  <si>
    <t>Total Media</t>
  </si>
  <si>
    <r>
      <t xml:space="preserve">fast cure </t>
    </r>
    <r>
      <rPr>
        <i/>
        <sz val="10"/>
        <color theme="1"/>
        <rFont val="Calibri (Body)"/>
      </rPr>
      <t>system ONLY</t>
    </r>
  </si>
  <si>
    <t>Soft /Carpet</t>
  </si>
  <si>
    <t>## Buildings ---&gt;</t>
  </si>
  <si>
    <r>
      <rPr>
        <b/>
        <u/>
        <sz val="12"/>
        <color theme="1"/>
        <rFont val="Calibri (Body)"/>
      </rPr>
      <t>3</t>
    </r>
    <r>
      <rPr>
        <b/>
        <sz val="12"/>
        <color theme="1"/>
        <rFont val="Calibri"/>
        <family val="2"/>
        <scheme val="minor"/>
      </rPr>
      <t xml:space="preserve"> Building</t>
    </r>
  </si>
  <si>
    <t>Wall Systems</t>
  </si>
  <si>
    <t>Wall HP</t>
  </si>
  <si>
    <t>System 1 Options</t>
  </si>
  <si>
    <t>Walls</t>
  </si>
  <si>
    <t>more tbd…</t>
  </si>
  <si>
    <r>
      <t>LF</t>
    </r>
    <r>
      <rPr>
        <b/>
        <i/>
        <sz val="12"/>
        <color theme="1"/>
        <rFont val="Calibri (Body)"/>
      </rPr>
      <t xml:space="preserve">   </t>
    </r>
    <r>
      <rPr>
        <b/>
        <i/>
        <sz val="12"/>
        <color theme="1"/>
        <rFont val="Calibri"/>
        <family val="2"/>
        <scheme val="minor"/>
      </rPr>
      <t xml:space="preserve">   </t>
    </r>
  </si>
  <si>
    <r>
      <t>SF</t>
    </r>
    <r>
      <rPr>
        <b/>
        <i/>
        <sz val="12"/>
        <color theme="1"/>
        <rFont val="Calibri (Body)"/>
      </rPr>
      <t xml:space="preserve">   </t>
    </r>
    <r>
      <rPr>
        <b/>
        <i/>
        <sz val="12"/>
        <color theme="1"/>
        <rFont val="Calibri"/>
        <family val="2"/>
        <scheme val="minor"/>
      </rPr>
      <t xml:space="preserve">   </t>
    </r>
  </si>
  <si>
    <t>Aggregate</t>
  </si>
  <si>
    <t>Cove (Liquids)</t>
  </si>
  <si>
    <t>Lbs/LF</t>
  </si>
  <si>
    <t>LF/Gal</t>
  </si>
  <si>
    <t>Cap</t>
  </si>
  <si>
    <t>$0.75 /LF zinc cap</t>
  </si>
  <si>
    <t>/LF</t>
  </si>
  <si>
    <t>4" Cove (Standard: Flake, ShopFloor, Gard)</t>
  </si>
  <si>
    <t>6" Cove (Standard: Flake, ShopFloor, Gard)</t>
  </si>
  <si>
    <r>
      <t xml:space="preserve">6"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</si>
  <si>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r>
      <t xml:space="preserve">4"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</si>
  <si>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r>
      <t xml:space="preserve">Zinc      </t>
    </r>
    <r>
      <rPr>
        <i/>
        <sz val="12"/>
        <color theme="1"/>
        <rFont val="Calibri"/>
        <family val="2"/>
        <scheme val="minor"/>
      </rPr>
      <t xml:space="preserve"> (@ 8'-0")</t>
    </r>
  </si>
  <si>
    <t>LF/Kit</t>
  </si>
  <si>
    <t>4" Cove (Urethane Cement = WR)</t>
  </si>
  <si>
    <t>6" Cove (Urethane Cement = WR)</t>
  </si>
  <si>
    <r>
      <t xml:space="preserve">4"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</si>
  <si>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r>
      <t xml:space="preserve">6"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</si>
  <si>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t>System 1 Cove</t>
  </si>
  <si>
    <t>System 1 Floor</t>
  </si>
  <si>
    <t>System 2 Floor</t>
  </si>
  <si>
    <t>8" Cove (Urethane Cement = WR)</t>
  </si>
  <si>
    <r>
      <t xml:space="preserve">8"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</si>
  <si>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t>8" Cove (Standard: Flake, ShopFloor, Gard)</t>
  </si>
  <si>
    <r>
      <t xml:space="preserve">8"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</si>
  <si>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t>35 - 40 LF/kit</t>
  </si>
  <si>
    <t>25 - 30 LF/kit</t>
  </si>
  <si>
    <t>formula: Q28 or Silica</t>
  </si>
  <si>
    <t>Zinc Cove Cap</t>
  </si>
  <si>
    <t>Cove 1 Options</t>
  </si>
  <si>
    <t>Epoxy 4"</t>
  </si>
  <si>
    <t>Epoxy 6"</t>
  </si>
  <si>
    <r>
      <t xml:space="preserve">Epoxy 4" + </t>
    </r>
    <r>
      <rPr>
        <b/>
        <u/>
        <sz val="12"/>
        <color theme="1"/>
        <rFont val="Calibri (Body)"/>
      </rPr>
      <t>Cap</t>
    </r>
  </si>
  <si>
    <r>
      <t xml:space="preserve">Epoxy 6" + </t>
    </r>
    <r>
      <rPr>
        <b/>
        <u/>
        <sz val="12"/>
        <color theme="1"/>
        <rFont val="Calibri (Body)"/>
      </rPr>
      <t>Cap</t>
    </r>
  </si>
  <si>
    <t>Epoxy 8"</t>
  </si>
  <si>
    <r>
      <t xml:space="preserve">Epoxy 8" + </t>
    </r>
    <r>
      <rPr>
        <b/>
        <u/>
        <sz val="12"/>
        <color theme="1"/>
        <rFont val="Calibri (Body)"/>
      </rPr>
      <t>Cap</t>
    </r>
  </si>
  <si>
    <t>WR 4"</t>
  </si>
  <si>
    <t>WR 6"</t>
  </si>
  <si>
    <r>
      <t xml:space="preserve">WR 4" + </t>
    </r>
    <r>
      <rPr>
        <b/>
        <u/>
        <sz val="12"/>
        <color theme="1"/>
        <rFont val="Calibri (Body)"/>
      </rPr>
      <t>Cap</t>
    </r>
  </si>
  <si>
    <r>
      <t xml:space="preserve">WR 6" + </t>
    </r>
    <r>
      <rPr>
        <b/>
        <u/>
        <sz val="12"/>
        <color theme="1"/>
        <rFont val="Calibri (Body)"/>
      </rPr>
      <t>Cap</t>
    </r>
  </si>
  <si>
    <t>WR 8"</t>
  </si>
  <si>
    <r>
      <t xml:space="preserve">WR 8" + </t>
    </r>
    <r>
      <rPr>
        <b/>
        <u/>
        <sz val="12"/>
        <color theme="1"/>
        <rFont val="Calibri (Body)"/>
      </rPr>
      <t>Cap</t>
    </r>
  </si>
  <si>
    <t>System 2 Cove</t>
  </si>
  <si>
    <t>Cove 2 Options</t>
  </si>
  <si>
    <t>Liquids</t>
  </si>
  <si>
    <t xml:space="preserve"> Liquids </t>
  </si>
  <si>
    <t>Sand &amp;/or Cap</t>
  </si>
  <si>
    <t>Sand + Cap</t>
  </si>
  <si>
    <t>other</t>
  </si>
  <si>
    <r>
      <t>SF</t>
    </r>
    <r>
      <rPr>
        <sz val="12"/>
        <color theme="1"/>
        <rFont val="Calibri"/>
        <family val="2"/>
      </rPr>
      <t xml:space="preserve"> --</t>
    </r>
    <r>
      <rPr>
        <b/>
        <sz val="12"/>
        <color theme="1"/>
        <rFont val="Calibri"/>
        <family val="2"/>
      </rPr>
      <t xml:space="preserve"> System 2</t>
    </r>
  </si>
  <si>
    <r>
      <t>SF</t>
    </r>
    <r>
      <rPr>
        <sz val="12"/>
        <color theme="1"/>
        <rFont val="Calibri"/>
        <family val="2"/>
      </rPr>
      <t xml:space="preserve"> --</t>
    </r>
    <r>
      <rPr>
        <b/>
        <sz val="12"/>
        <color theme="1"/>
        <rFont val="Calibri"/>
        <family val="2"/>
      </rPr>
      <t xml:space="preserve"> System 1</t>
    </r>
  </si>
  <si>
    <r>
      <t xml:space="preserve">LF </t>
    </r>
    <r>
      <rPr>
        <i/>
        <sz val="12"/>
        <color theme="1"/>
        <rFont val="Calibri"/>
        <family val="2"/>
        <scheme val="minor"/>
      </rPr>
      <t>--</t>
    </r>
    <r>
      <rPr>
        <b/>
        <i/>
        <sz val="12"/>
        <color theme="1"/>
        <rFont val="Calibri"/>
        <family val="2"/>
        <scheme val="minor"/>
      </rPr>
      <t xml:space="preserve"> System 2</t>
    </r>
  </si>
  <si>
    <r>
      <t xml:space="preserve">LF </t>
    </r>
    <r>
      <rPr>
        <i/>
        <sz val="12"/>
        <color theme="1"/>
        <rFont val="Calibri"/>
        <family val="2"/>
        <scheme val="minor"/>
      </rPr>
      <t>--</t>
    </r>
    <r>
      <rPr>
        <b/>
        <i/>
        <sz val="12"/>
        <color theme="1"/>
        <rFont val="Calibri"/>
        <family val="2"/>
        <scheme val="minor"/>
      </rPr>
      <t xml:space="preserve"> System 1</t>
    </r>
  </si>
  <si>
    <t>system 1</t>
  </si>
  <si>
    <t>system 2</t>
  </si>
  <si>
    <t>Cove Base (WR)</t>
  </si>
  <si>
    <t>Cove Base (CoveRez)</t>
  </si>
  <si>
    <t>Hidden Cells Below</t>
  </si>
  <si>
    <t>Soft Surf + Corrs.</t>
  </si>
  <si>
    <t>% Hard Surf / Mat</t>
  </si>
  <si>
    <t>Days per Area</t>
  </si>
  <si>
    <t>% Soft Surf</t>
  </si>
  <si>
    <t>% Corridors</t>
  </si>
  <si>
    <t>% Soft Surf + Corridors</t>
  </si>
  <si>
    <t>System 2</t>
  </si>
  <si>
    <r>
      <rPr>
        <i/>
        <sz val="12"/>
        <color theme="1"/>
        <rFont val="Calibri"/>
        <family val="2"/>
        <scheme val="minor"/>
      </rPr>
      <t>(Wall Opts)</t>
    </r>
    <r>
      <rPr>
        <sz val="12"/>
        <color theme="1"/>
        <rFont val="Calibri"/>
        <family val="2"/>
        <scheme val="minor"/>
      </rPr>
      <t xml:space="preserve"> System 2</t>
    </r>
  </si>
  <si>
    <t>4+ Man Crew:</t>
  </si>
  <si>
    <t>NOT used</t>
  </si>
  <si>
    <r>
      <t>Discounts / Overages</t>
    </r>
    <r>
      <rPr>
        <b/>
        <sz val="12"/>
        <color theme="1"/>
        <rFont val="Calibri (Body)"/>
      </rPr>
      <t>:</t>
    </r>
  </si>
  <si>
    <t>NO discnt</t>
  </si>
  <si>
    <t>Epoxy Discount</t>
  </si>
  <si>
    <t>Poly-Crete Discount</t>
  </si>
  <si>
    <r>
      <rPr>
        <b/>
        <u/>
        <sz val="12"/>
        <color theme="1"/>
        <rFont val="Calibri (Body)"/>
      </rPr>
      <t>WITH</t>
    </r>
    <r>
      <rPr>
        <sz val="12"/>
        <color theme="1"/>
        <rFont val="Calibri"/>
        <family val="2"/>
        <scheme val="minor"/>
      </rPr>
      <t xml:space="preserve"> discounts</t>
    </r>
  </si>
  <si>
    <t>w/above ^</t>
  </si>
  <si>
    <t>(STANDARD)</t>
  </si>
  <si>
    <r>
      <t xml:space="preserve">SF </t>
    </r>
    <r>
      <rPr>
        <i/>
        <u/>
        <sz val="12"/>
        <color theme="1"/>
        <rFont val="Calibri"/>
        <family val="2"/>
      </rPr>
      <t>-or-</t>
    </r>
    <r>
      <rPr>
        <b/>
        <u/>
        <sz val="12"/>
        <color theme="1"/>
        <rFont val="Calibri"/>
        <family val="2"/>
      </rPr>
      <t xml:space="preserve"> LF</t>
    </r>
  </si>
  <si>
    <t>Cost / Unit</t>
  </si>
  <si>
    <r>
      <t xml:space="preserve">SF </t>
    </r>
    <r>
      <rPr>
        <i/>
        <u/>
        <sz val="12"/>
        <color rgb="FF000000"/>
        <rFont val="Calibri"/>
        <family val="2"/>
        <scheme val="minor"/>
      </rPr>
      <t>-or-</t>
    </r>
    <r>
      <rPr>
        <b/>
        <u/>
        <sz val="12"/>
        <color rgb="FF000000"/>
        <rFont val="Calibri"/>
        <family val="2"/>
        <scheme val="minor"/>
      </rPr>
      <t xml:space="preserve"> LF</t>
    </r>
  </si>
  <si>
    <r>
      <t xml:space="preserve">4" Rubber Cove    </t>
    </r>
    <r>
      <rPr>
        <i/>
        <sz val="12"/>
        <color theme="1"/>
        <rFont val="Calibri"/>
        <family val="2"/>
      </rPr>
      <t>(/LF)</t>
    </r>
  </si>
  <si>
    <r>
      <t xml:space="preserve">6" Rubber Cove    </t>
    </r>
    <r>
      <rPr>
        <i/>
        <sz val="12"/>
        <color theme="1"/>
        <rFont val="Calibri"/>
        <family val="2"/>
      </rPr>
      <t>(/LF)</t>
    </r>
  </si>
  <si>
    <r>
      <t xml:space="preserve">4" Line Striping    </t>
    </r>
    <r>
      <rPr>
        <i/>
        <sz val="12"/>
        <color theme="1"/>
        <rFont val="Calibri"/>
        <family val="2"/>
      </rPr>
      <t>(/LF)</t>
    </r>
  </si>
  <si>
    <r>
      <t xml:space="preserve">6" Line Striping    </t>
    </r>
    <r>
      <rPr>
        <i/>
        <sz val="12"/>
        <color theme="1"/>
        <rFont val="Calibri"/>
        <family val="2"/>
      </rPr>
      <t>(/LF)</t>
    </r>
  </si>
  <si>
    <t>Total Days w/Travel</t>
  </si>
  <si>
    <r>
      <t xml:space="preserve">Total mobs </t>
    </r>
    <r>
      <rPr>
        <i/>
        <u/>
        <sz val="11"/>
        <color theme="1"/>
        <rFont val="Calibri"/>
        <family val="2"/>
      </rPr>
      <t>INCLUDED</t>
    </r>
  </si>
  <si>
    <t>Total SF per Floor</t>
  </si>
  <si>
    <t xml:space="preserve">Floor # </t>
  </si>
  <si>
    <t>Avg days per mob</t>
  </si>
  <si>
    <t>Hours WITH travel</t>
  </si>
  <si>
    <t xml:space="preserve">     Look-Up on Google Earth</t>
  </si>
  <si>
    <t>escalation for gyp, extras + mat</t>
  </si>
  <si>
    <t>Material Escalation</t>
  </si>
  <si>
    <r>
      <t>Bid Review Schedule</t>
    </r>
    <r>
      <rPr>
        <b/>
        <sz val="12"/>
        <color theme="1"/>
        <rFont val="Calibri (Body)"/>
      </rPr>
      <t>:</t>
    </r>
  </si>
  <si>
    <r>
      <t>RJ</t>
    </r>
    <r>
      <rPr>
        <sz val="12"/>
        <color rgb="FF000000"/>
        <rFont val="Calibri"/>
        <family val="2"/>
        <scheme val="minor"/>
      </rPr>
      <t xml:space="preserve"> + </t>
    </r>
    <r>
      <rPr>
        <b/>
        <u/>
        <sz val="12"/>
        <color rgb="FF000000"/>
        <rFont val="Calibri"/>
        <family val="2"/>
        <scheme val="minor"/>
      </rPr>
      <t>Isaac</t>
    </r>
    <r>
      <rPr>
        <sz val="12"/>
        <color rgb="FF000000"/>
        <rFont val="Calibri"/>
        <family val="2"/>
        <scheme val="minor"/>
      </rPr>
      <t xml:space="preserve"> ALL up to $300k (</t>
    </r>
    <r>
      <rPr>
        <u/>
        <sz val="12"/>
        <color rgb="FF000000"/>
        <rFont val="Calibri (Body)"/>
      </rPr>
      <t>for 90 days</t>
    </r>
    <r>
      <rPr>
        <sz val="12"/>
        <color rgb="FF000000"/>
        <rFont val="Calibri"/>
        <family val="2"/>
        <scheme val="minor"/>
      </rPr>
      <t>)</t>
    </r>
  </si>
  <si>
    <r>
      <t>OVER $</t>
    </r>
    <r>
      <rPr>
        <b/>
        <u/>
        <sz val="12"/>
        <color rgb="FF000000"/>
        <rFont val="Calibri"/>
        <family val="2"/>
        <scheme val="minor"/>
      </rPr>
      <t>300</t>
    </r>
    <r>
      <rPr>
        <u/>
        <sz val="12"/>
        <color rgb="FF000000"/>
        <rFont val="Calibri"/>
        <family val="2"/>
        <scheme val="minor"/>
      </rPr>
      <t>k</t>
    </r>
    <r>
      <rPr>
        <sz val="12"/>
        <color rgb="FF000000"/>
        <rFont val="Calibri"/>
        <family val="2"/>
        <scheme val="minor"/>
      </rPr>
      <t xml:space="preserve"> get Kyle + RJ + Isaac for review</t>
    </r>
  </si>
  <si>
    <r>
      <rPr>
        <u/>
        <sz val="12"/>
        <color rgb="FF000000"/>
        <rFont val="Calibri (Body)"/>
      </rPr>
      <t>after 90d</t>
    </r>
    <r>
      <rPr>
        <sz val="12"/>
        <color rgb="FF000000"/>
        <rFont val="Calibri"/>
        <family val="2"/>
        <scheme val="minor"/>
      </rPr>
      <t xml:space="preserve"> = </t>
    </r>
    <r>
      <rPr>
        <b/>
        <u/>
        <sz val="12"/>
        <color rgb="FF000000"/>
        <rFont val="Calibri (Body)"/>
      </rPr>
      <t>Isaac</t>
    </r>
    <r>
      <rPr>
        <sz val="12"/>
        <color rgb="FF000000"/>
        <rFont val="Calibri"/>
        <family val="2"/>
        <scheme val="minor"/>
      </rPr>
      <t>… Add RJ OVER $</t>
    </r>
    <r>
      <rPr>
        <b/>
        <u/>
        <sz val="12"/>
        <color rgb="FF000000"/>
        <rFont val="Calibri"/>
        <family val="2"/>
        <scheme val="minor"/>
      </rPr>
      <t>200</t>
    </r>
    <r>
      <rPr>
        <u/>
        <sz val="12"/>
        <color rgb="FF000000"/>
        <rFont val="Calibri"/>
        <family val="2"/>
        <scheme val="minor"/>
      </rPr>
      <t>k</t>
    </r>
    <r>
      <rPr>
        <sz val="12"/>
        <color rgb="FF000000"/>
        <rFont val="Calibri"/>
        <family val="2"/>
        <scheme val="minor"/>
      </rPr>
      <t xml:space="preserve"> for review</t>
    </r>
  </si>
  <si>
    <t>(as of 05/08/24) --&gt;</t>
  </si>
  <si>
    <t>Avg days per mob (WITH travel)</t>
  </si>
  <si>
    <t>(staples, sprayer, tarp, etc.)</t>
  </si>
  <si>
    <r>
      <t xml:space="preserve">Semi Delivery </t>
    </r>
    <r>
      <rPr>
        <b/>
        <u/>
        <sz val="11"/>
        <color theme="1"/>
        <rFont val="Calibri"/>
        <family val="2"/>
      </rPr>
      <t>Unload</t>
    </r>
    <r>
      <rPr>
        <sz val="11"/>
        <color theme="1"/>
        <rFont val="Calibri"/>
        <family val="2"/>
      </rPr>
      <t xml:space="preserve"> Hours (Mobz X hr)</t>
    </r>
  </si>
  <si>
    <r>
      <t xml:space="preserve">Laborer (1/2) </t>
    </r>
    <r>
      <rPr>
        <b/>
        <i/>
        <sz val="12"/>
        <color theme="1"/>
        <rFont val="Calibri"/>
        <family val="2"/>
        <scheme val="minor"/>
      </rPr>
      <t>*min. $22</t>
    </r>
  </si>
  <si>
    <t>* If Kansas (or Fed.) use FULL Laborer ----&gt;</t>
  </si>
  <si>
    <r>
      <t xml:space="preserve">^based on </t>
    </r>
    <r>
      <rPr>
        <b/>
        <i/>
        <u/>
        <sz val="11"/>
        <color theme="1"/>
        <rFont val="Calibri"/>
        <family val="2"/>
      </rPr>
      <t>X</t>
    </r>
    <r>
      <rPr>
        <i/>
        <sz val="11"/>
        <color theme="1"/>
        <rFont val="Calibri"/>
        <family val="2"/>
      </rPr>
      <t xml:space="preserve"> crew size:</t>
    </r>
  </si>
  <si>
    <t>crew size</t>
  </si>
  <si>
    <t>=(MROUND(IF(E29="no",0,IF(E18&lt;1000,0.75,IF(E18&lt;2500,1,IF(E18&lt;10000,2,IF(E18&lt;15000,3,E18/3750))))),0.5))</t>
  </si>
  <si>
    <t xml:space="preserve">Will's orig Joint Filler Labor Formula: </t>
  </si>
  <si>
    <r>
      <t>NOTE: **</t>
    </r>
    <r>
      <rPr>
        <i/>
        <u/>
        <sz val="12"/>
        <color theme="1"/>
        <rFont val="Calibri (Body)"/>
      </rPr>
      <t>3750</t>
    </r>
    <r>
      <rPr>
        <i/>
        <sz val="12"/>
        <color theme="1"/>
        <rFont val="Calibri"/>
        <family val="2"/>
        <scheme val="minor"/>
      </rPr>
      <t>** above end of formula</t>
    </r>
  </si>
  <si>
    <r>
      <t xml:space="preserve">Minimum ^ = </t>
    </r>
    <r>
      <rPr>
        <b/>
        <i/>
        <u/>
        <sz val="12"/>
        <color theme="1"/>
        <rFont val="Calibri"/>
        <family val="2"/>
      </rPr>
      <t>$2,500</t>
    </r>
  </si>
  <si>
    <t>( = 1.5 guys  x 1 day)</t>
  </si>
  <si>
    <t>TOTAL SF</t>
  </si>
  <si>
    <t>SF for System</t>
  </si>
  <si>
    <t>cove ratio</t>
  </si>
  <si>
    <t>LF Cove</t>
  </si>
  <si>
    <t>&lt;---broken cell, can't change "Defined Name"</t>
  </si>
  <si>
    <t>Takoff Tab</t>
  </si>
  <si>
    <t>Takeoff Tab</t>
  </si>
  <si>
    <t>AT satin clr + Grit =</t>
  </si>
  <si>
    <t>? Yes / No ?</t>
  </si>
  <si>
    <t>SLB / MDB</t>
  </si>
  <si>
    <t>Hybrid Double BC</t>
  </si>
  <si>
    <t>SL/MD +Broadcast</t>
  </si>
  <si>
    <t xml:space="preserve">Prime  </t>
  </si>
  <si>
    <t>Prep / Patch</t>
  </si>
  <si>
    <t>Walls: MACRO Flake Double Broadcast</t>
  </si>
  <si>
    <t>Walls: micro Flake Double Broadcast</t>
  </si>
  <si>
    <t>Walls: Dur-A-Wall HP</t>
  </si>
  <si>
    <t>Walls:</t>
  </si>
  <si>
    <t>Fiberglass Mat</t>
  </si>
  <si>
    <t>HP Gripper Primer</t>
  </si>
  <si>
    <t>HP Satin Topcoat</t>
  </si>
  <si>
    <t>HP Eggshell Topcoat</t>
  </si>
  <si>
    <t>5 gal kit ONLY</t>
  </si>
  <si>
    <t>range 400 - 200 sf/g</t>
  </si>
  <si>
    <t>Wall</t>
  </si>
  <si>
    <t>HP Topcoat Satin-or-Eggshell</t>
  </si>
  <si>
    <t>satin = 340 /kit</t>
  </si>
  <si>
    <t>egg shell = 400 /kit</t>
  </si>
  <si>
    <t>median:</t>
  </si>
  <si>
    <t>Walls: Dur-A-Wall HP PLUS (+)</t>
  </si>
  <si>
    <t>Dur-A-Gard No-Sag</t>
  </si>
  <si>
    <t>Body Coat</t>
  </si>
  <si>
    <t>Gard (No-Sag)</t>
  </si>
  <si>
    <t>Walls: Dur-A-Wall HPF (Fiber)</t>
  </si>
  <si>
    <t>Saturant / Grout</t>
  </si>
  <si>
    <t>Media / Inlay</t>
  </si>
  <si>
    <t>SF/SF</t>
  </si>
  <si>
    <t>none</t>
  </si>
  <si>
    <t>n/a</t>
  </si>
  <si>
    <t>Top Coat 1</t>
  </si>
  <si>
    <t>Top Coat 2</t>
  </si>
  <si>
    <t>25-A (Q11)</t>
  </si>
  <si>
    <t xml:space="preserve">         ^ 1/2'd for walls</t>
  </si>
  <si>
    <t>Trowel (Liquids)</t>
  </si>
  <si>
    <t>** 1/2'd for walls</t>
  </si>
  <si>
    <t>Glaze #4 /or/ Cove Rez</t>
  </si>
  <si>
    <t>Walls: Troweled Quartz</t>
  </si>
  <si>
    <t>Broadcast/Agg. Media</t>
  </si>
  <si>
    <t>BELOW</t>
  </si>
  <si>
    <r>
      <t xml:space="preserve">MACRO </t>
    </r>
    <r>
      <rPr>
        <b/>
        <i/>
        <sz val="12"/>
        <color theme="1"/>
        <rFont val="Calibri"/>
        <family val="2"/>
        <scheme val="minor"/>
      </rPr>
      <t>Single</t>
    </r>
    <r>
      <rPr>
        <b/>
        <sz val="12"/>
        <color theme="1"/>
        <rFont val="Calibri"/>
        <family val="2"/>
        <scheme val="minor"/>
      </rPr>
      <t xml:space="preserve"> Flake</t>
    </r>
  </si>
  <si>
    <t>Material Sliding Scale</t>
  </si>
  <si>
    <t>Labor Sliding Scale</t>
  </si>
  <si>
    <r>
      <rPr>
        <sz val="12"/>
        <color theme="1"/>
        <rFont val="Calibri"/>
        <family val="2"/>
        <scheme val="minor"/>
      </rPr>
      <t xml:space="preserve">&lt;--- </t>
    </r>
    <r>
      <rPr>
        <b/>
        <sz val="12"/>
        <color theme="1"/>
        <rFont val="Calibri"/>
        <family val="2"/>
        <scheme val="minor"/>
      </rPr>
      <t>FOR</t>
    </r>
    <r>
      <rPr>
        <sz val="12"/>
        <color theme="1"/>
        <rFont val="Calibri"/>
        <family val="2"/>
        <scheme val="minor"/>
      </rPr>
      <t xml:space="preserve"> ---&gt;</t>
    </r>
  </si>
  <si>
    <t>159k vs 159,300 Hard Surfaces</t>
  </si>
  <si>
    <t>combined=</t>
  </si>
  <si>
    <t>shipping on mat,primr,iso,tape = 10%</t>
  </si>
  <si>
    <t>shipping on gyp = 20%</t>
  </si>
  <si>
    <t>(**none on sand**)</t>
  </si>
  <si>
    <t>AT (?)</t>
  </si>
  <si>
    <t>SL (?)</t>
  </si>
  <si>
    <t>(@ 775 sf / kit)</t>
  </si>
  <si>
    <t>(@ 55 sf / kit)</t>
  </si>
  <si>
    <r>
      <rPr>
        <i/>
        <u/>
        <sz val="12"/>
        <color theme="1"/>
        <rFont val="Calibri (Body)"/>
      </rPr>
      <t>5 gal kit ONLY</t>
    </r>
    <r>
      <rPr>
        <i/>
        <sz val="12"/>
        <color theme="1"/>
        <rFont val="Calibri"/>
        <family val="2"/>
        <scheme val="minor"/>
      </rPr>
      <t xml:space="preserve"> [range 150 - 200 sf/g]</t>
    </r>
  </si>
  <si>
    <r>
      <t xml:space="preserve">HP Block Filler Primer </t>
    </r>
    <r>
      <rPr>
        <i/>
        <sz val="12"/>
        <color theme="1"/>
        <rFont val="Calibri"/>
        <family val="2"/>
        <scheme val="minor"/>
      </rPr>
      <t>(5gal kit)</t>
    </r>
  </si>
  <si>
    <r>
      <t xml:space="preserve">Foreman (Full)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 $30</t>
    </r>
    <r>
      <rPr>
        <i/>
        <sz val="12"/>
        <color theme="1"/>
        <rFont val="Calibri"/>
        <family val="2"/>
        <scheme val="minor"/>
      </rPr>
      <t xml:space="preserve"> Cement Mason, Mason</t>
    </r>
  </si>
  <si>
    <t>Wall Systems -----&gt; See System 2 -------&gt;</t>
  </si>
  <si>
    <r>
      <t xml:space="preserve">System 2 Options / Walls </t>
    </r>
    <r>
      <rPr>
        <u/>
        <sz val="12"/>
        <color theme="1"/>
        <rFont val="Calibri"/>
        <family val="2"/>
        <scheme val="minor"/>
      </rPr>
      <t>(scroll down)</t>
    </r>
  </si>
  <si>
    <t>System 2 Options / Walls (scroll down)</t>
  </si>
  <si>
    <t>difference (good/not?)</t>
  </si>
  <si>
    <t>USG Levelrock</t>
  </si>
  <si>
    <r>
      <t>Levelrock 2500 (</t>
    </r>
    <r>
      <rPr>
        <u/>
        <sz val="12"/>
        <color theme="1"/>
        <rFont val="Calibri"/>
        <family val="2"/>
      </rPr>
      <t>S</t>
    </r>
    <r>
      <rPr>
        <sz val="12"/>
        <color theme="1"/>
        <rFont val="Calibri"/>
        <family val="2"/>
      </rPr>
      <t>SA)</t>
    </r>
  </si>
  <si>
    <r>
      <t>Levelrock 2500 (</t>
    </r>
    <r>
      <rPr>
        <u/>
        <sz val="12"/>
        <color theme="1"/>
        <rFont val="Calibri"/>
        <family val="2"/>
      </rPr>
      <t>H</t>
    </r>
    <r>
      <rPr>
        <sz val="12"/>
        <color theme="1"/>
        <rFont val="Calibri"/>
        <family val="2"/>
      </rPr>
      <t>SA)</t>
    </r>
  </si>
  <si>
    <r>
      <t>Levelrock 2500 (</t>
    </r>
    <r>
      <rPr>
        <u/>
        <sz val="12"/>
        <color theme="1"/>
        <rFont val="Calibri"/>
        <family val="2"/>
      </rPr>
      <t>Corr</t>
    </r>
    <r>
      <rPr>
        <sz val="12"/>
        <color theme="1"/>
        <rFont val="Calibri"/>
        <family val="2"/>
      </rPr>
      <t>)</t>
    </r>
  </si>
  <si>
    <r>
      <t xml:space="preserve">SAM-N12  </t>
    </r>
    <r>
      <rPr>
        <sz val="11"/>
        <color theme="1"/>
        <rFont val="Calibri"/>
        <family val="2"/>
        <scheme val="minor"/>
      </rPr>
      <t xml:space="preserve"> (1/8")</t>
    </r>
  </si>
  <si>
    <r>
      <t xml:space="preserve">SAM-N25   </t>
    </r>
    <r>
      <rPr>
        <sz val="11"/>
        <color theme="1"/>
        <rFont val="Calibri"/>
        <family val="2"/>
        <scheme val="minor"/>
      </rPr>
      <t>(1/4")</t>
    </r>
  </si>
  <si>
    <r>
      <t xml:space="preserve">SAM-N40    </t>
    </r>
    <r>
      <rPr>
        <sz val="11"/>
        <color theme="1"/>
        <rFont val="Calibri"/>
        <family val="2"/>
        <scheme val="minor"/>
      </rPr>
      <t>(3/8")</t>
    </r>
  </si>
  <si>
    <t>Bag Price (2500)</t>
  </si>
  <si>
    <t>($ per 10-2024)</t>
  </si>
  <si>
    <t>ISO ??? Which one ??</t>
  </si>
  <si>
    <t>Wood Primer</t>
  </si>
  <si>
    <t xml:space="preserve">($108 /5 gal) -or- ($891 /Drum </t>
  </si>
  <si>
    <t>x gallons ???)</t>
  </si>
  <si>
    <t>-or- (3500)</t>
  </si>
  <si>
    <t>SAM-N12   (1/8")</t>
  </si>
  <si>
    <t>USG</t>
  </si>
  <si>
    <t>MATERIAL - Sound Mat</t>
  </si>
  <si>
    <r>
      <t>USG Primer</t>
    </r>
    <r>
      <rPr>
        <sz val="11"/>
        <color theme="1"/>
        <rFont val="Calibri"/>
        <family val="2"/>
      </rPr>
      <t xml:space="preserve"> (53gal Drum)</t>
    </r>
  </si>
  <si>
    <r>
      <t>($</t>
    </r>
    <r>
      <rPr>
        <i/>
        <u/>
        <sz val="12"/>
        <color theme="1"/>
        <rFont val="Calibri"/>
        <family val="2"/>
      </rPr>
      <t>21.60</t>
    </r>
    <r>
      <rPr>
        <i/>
        <sz val="12"/>
        <color theme="1"/>
        <rFont val="Calibri"/>
        <family val="2"/>
      </rPr>
      <t xml:space="preserve"> = $108 /5 gal </t>
    </r>
    <r>
      <rPr>
        <sz val="12"/>
        <color theme="1"/>
        <rFont val="Calibri"/>
        <family val="2"/>
      </rPr>
      <t>-</t>
    </r>
    <r>
      <rPr>
        <b/>
        <u/>
        <sz val="12"/>
        <color theme="1"/>
        <rFont val="Calibri"/>
        <family val="2"/>
      </rPr>
      <t>or</t>
    </r>
    <r>
      <rPr>
        <sz val="12"/>
        <color theme="1"/>
        <rFont val="Calibri"/>
        <family val="2"/>
      </rPr>
      <t>-</t>
    </r>
    <r>
      <rPr>
        <i/>
        <sz val="12"/>
        <color theme="1"/>
        <rFont val="Calibri"/>
        <family val="2"/>
      </rPr>
      <t xml:space="preserve"> $</t>
    </r>
    <r>
      <rPr>
        <i/>
        <u/>
        <sz val="12"/>
        <color theme="1"/>
        <rFont val="Calibri"/>
        <family val="2"/>
      </rPr>
      <t>16.81</t>
    </r>
    <r>
      <rPr>
        <i/>
        <sz val="12"/>
        <color theme="1"/>
        <rFont val="Calibri"/>
        <family val="2"/>
      </rPr>
      <t xml:space="preserve"> = $891 /53 gal drum)</t>
    </r>
    <r>
      <rPr>
        <sz val="12"/>
        <color theme="1"/>
        <rFont val="Calibri"/>
        <family val="2"/>
      </rPr>
      <t>-</t>
    </r>
    <r>
      <rPr>
        <u/>
        <sz val="12"/>
        <color theme="1"/>
        <rFont val="Calibri"/>
        <family val="2"/>
      </rPr>
      <t>Aug2024</t>
    </r>
  </si>
  <si>
    <t># of 5,000</t>
  </si>
  <si>
    <r>
      <t>ISO Strip 3" adhsv (</t>
    </r>
    <r>
      <rPr>
        <sz val="11"/>
        <color theme="1"/>
        <rFont val="Calibri"/>
        <family val="2"/>
      </rPr>
      <t>roll</t>
    </r>
    <r>
      <rPr>
        <sz val="12"/>
        <color theme="1"/>
        <rFont val="Calibri"/>
        <family val="2"/>
      </rPr>
      <t>)</t>
    </r>
  </si>
  <si>
    <r>
      <t>(16 rolls /bag: $</t>
    </r>
    <r>
      <rPr>
        <i/>
        <u/>
        <sz val="12"/>
        <color theme="1"/>
        <rFont val="Calibri"/>
        <family val="2"/>
      </rPr>
      <t>48.75</t>
    </r>
    <r>
      <rPr>
        <i/>
        <sz val="12"/>
        <color theme="1"/>
        <rFont val="Calibri"/>
        <family val="2"/>
      </rPr>
      <t xml:space="preserve"> = $780 /16) = </t>
    </r>
    <r>
      <rPr>
        <i/>
        <u/>
        <sz val="12"/>
        <color theme="1"/>
        <rFont val="Calibri"/>
        <family val="2"/>
      </rPr>
      <t>450 LF /roll</t>
    </r>
  </si>
  <si>
    <r>
      <rPr>
        <b/>
        <sz val="11"/>
        <color theme="1"/>
        <rFont val="Calibri (Body)"/>
      </rPr>
      <t>Prevailing</t>
    </r>
    <r>
      <rPr>
        <b/>
        <sz val="11"/>
        <color theme="1"/>
        <rFont val="Calibri"/>
        <family val="2"/>
        <scheme val="minor"/>
      </rPr>
      <t>Wage?</t>
    </r>
  </si>
  <si>
    <t>Labor Escalation</t>
  </si>
  <si>
    <t>[Formulated = 448]</t>
  </si>
  <si>
    <t>[USG = 280]</t>
  </si>
  <si>
    <t>Mat Rolls /Truck Load</t>
  </si>
  <si>
    <t>Levelrock 2500</t>
  </si>
  <si>
    <t>Inventory Discount</t>
  </si>
  <si>
    <t>GP per Day</t>
  </si>
  <si>
    <r>
      <rPr>
        <b/>
        <i/>
        <u/>
        <sz val="12"/>
        <color theme="1"/>
        <rFont val="Calibri (Body)"/>
      </rPr>
      <t>Walls</t>
    </r>
    <r>
      <rPr>
        <i/>
        <sz val="12"/>
        <color theme="1"/>
        <rFont val="Calibri"/>
        <family val="2"/>
        <scheme val="minor"/>
      </rPr>
      <t xml:space="preserve"> --&gt;</t>
    </r>
  </si>
  <si>
    <r>
      <rPr>
        <i/>
        <sz val="12"/>
        <color theme="1"/>
        <rFont val="Calibri"/>
        <family val="2"/>
        <scheme val="minor"/>
      </rPr>
      <t xml:space="preserve">(micro) </t>
    </r>
    <r>
      <rPr>
        <b/>
        <sz val="12"/>
        <color theme="1"/>
        <rFont val="Calibri"/>
        <family val="2"/>
        <scheme val="minor"/>
      </rPr>
      <t>Double Flake -or- Qrtz/ShpFlr</t>
    </r>
  </si>
  <si>
    <t>Body/Gard</t>
  </si>
  <si>
    <t>DAF 2025 6% increase</t>
  </si>
  <si>
    <t>AT Satin Clr + Grit</t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</si>
  <si>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USG</t>
    </r>
    <r>
      <rPr>
        <sz val="12"/>
        <color rgb="FF000000"/>
        <rFont val="Calibri"/>
        <family val="2"/>
      </rPr>
      <t xml:space="preserve"> **</t>
    </r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</si>
  <si>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Formulated</t>
    </r>
    <r>
      <rPr>
        <sz val="12"/>
        <color rgb="FF000000"/>
        <rFont val="Calibri"/>
        <family val="2"/>
      </rPr>
      <t xml:space="preserve"> **</t>
    </r>
  </si>
  <si>
    <r>
      <t>+5%</t>
    </r>
    <r>
      <rPr>
        <i/>
        <u/>
        <sz val="12"/>
        <color theme="1"/>
        <rFont val="Calibri"/>
        <family val="2"/>
      </rPr>
      <t>IF</t>
    </r>
    <r>
      <rPr>
        <i/>
        <sz val="12"/>
        <color theme="1"/>
        <rFont val="Calibri"/>
        <family val="2"/>
      </rPr>
      <t>PW</t>
    </r>
    <r>
      <rPr>
        <i/>
        <sz val="10"/>
        <color theme="1"/>
        <rFont val="Calibri"/>
        <family val="2"/>
      </rPr>
      <t>or</t>
    </r>
    <r>
      <rPr>
        <i/>
        <sz val="12"/>
        <color theme="1"/>
        <rFont val="Calibri"/>
        <family val="2"/>
      </rPr>
      <t>Long Lead Job</t>
    </r>
    <r>
      <rPr>
        <i/>
        <sz val="11"/>
        <color theme="1"/>
        <rFont val="Calibri"/>
        <family val="2"/>
      </rPr>
      <t xml:space="preserve"> (12+ months)</t>
    </r>
  </si>
  <si>
    <r>
      <t>+5%</t>
    </r>
    <r>
      <rPr>
        <i/>
        <u/>
        <sz val="12"/>
        <color theme="1"/>
        <rFont val="Calibri"/>
        <family val="2"/>
      </rPr>
      <t>IF</t>
    </r>
    <r>
      <rPr>
        <i/>
        <sz val="12"/>
        <color theme="1"/>
        <rFont val="Calibri"/>
        <family val="2"/>
      </rPr>
      <t>PW</t>
    </r>
    <r>
      <rPr>
        <i/>
        <sz val="10"/>
        <color theme="1"/>
        <rFont val="Calibri"/>
        <family val="2"/>
      </rPr>
      <t>or</t>
    </r>
    <r>
      <rPr>
        <i/>
        <sz val="12"/>
        <color theme="1"/>
        <rFont val="Calibri"/>
        <family val="2"/>
      </rPr>
      <t>Long Lead Job</t>
    </r>
    <r>
      <rPr>
        <i/>
        <sz val="11"/>
        <color theme="1"/>
        <rFont val="Calibri"/>
        <family val="2"/>
      </rPr>
      <t xml:space="preserve"> (12+months)</t>
    </r>
  </si>
  <si>
    <t>Formulated</t>
  </si>
  <si>
    <t>(rate esc. only)</t>
  </si>
  <si>
    <t>OLD ---&gt;&gt;&gt;&gt;</t>
  </si>
  <si>
    <t>Prevailing Wage Rate:</t>
  </si>
  <si>
    <t>rate =</t>
  </si>
  <si>
    <t>+ fringes =</t>
  </si>
  <si>
    <r>
      <t xml:space="preserve">               ** </t>
    </r>
    <r>
      <rPr>
        <b/>
        <u/>
        <sz val="12"/>
        <color theme="1"/>
        <rFont val="Calibri"/>
        <family val="2"/>
      </rPr>
      <t>Cement Mason</t>
    </r>
    <r>
      <rPr>
        <sz val="12"/>
        <color theme="1"/>
        <rFont val="Calibri"/>
        <family val="2"/>
      </rPr>
      <t xml:space="preserve"> **              </t>
    </r>
  </si>
  <si>
    <r>
      <t xml:space="preserve">                    ** </t>
    </r>
    <r>
      <rPr>
        <b/>
        <u/>
        <sz val="12"/>
        <color theme="1"/>
        <rFont val="Calibri"/>
        <family val="2"/>
      </rPr>
      <t>Cement Mason</t>
    </r>
    <r>
      <rPr>
        <sz val="12"/>
        <color theme="1"/>
        <rFont val="Calibri"/>
        <family val="2"/>
      </rPr>
      <t xml:space="preserve"> **              </t>
    </r>
  </si>
  <si>
    <t>Total Taxes</t>
  </si>
  <si>
    <t>Fees + Textura + ?</t>
  </si>
  <si>
    <t>=Polish!$B$78</t>
  </si>
  <si>
    <t>=Polish!$B$75</t>
  </si>
  <si>
    <t>=Epoxy!B81</t>
  </si>
  <si>
    <t>(epoxy remodel tax cell)</t>
  </si>
  <si>
    <t>-- ?? --&gt;</t>
  </si>
  <si>
    <t>Total Fees + Bond</t>
  </si>
  <si>
    <r>
      <t xml:space="preserve">      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         </t>
    </r>
  </si>
  <si>
    <r>
      <t xml:space="preserve">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</t>
    </r>
  </si>
  <si>
    <t>P. Wage Rate:</t>
  </si>
  <si>
    <r>
      <t xml:space="preserve">           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         </t>
    </r>
  </si>
  <si>
    <t>Primer:  TP1</t>
  </si>
  <si>
    <t>(5 gals @ $139.50)</t>
  </si>
  <si>
    <t>(FM $ per 11/13/2024 = for 2025)</t>
  </si>
  <si>
    <t>Formulated 01-2025</t>
  </si>
  <si>
    <r>
      <t xml:space="preserve">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Cement Mason</t>
    </r>
  </si>
  <si>
    <r>
      <t xml:space="preserve">  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</si>
  <si>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r>
      <t xml:space="preserve">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</si>
  <si>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r>
      <t xml:space="preserve">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Cement Mason</t>
    </r>
  </si>
  <si>
    <r>
      <t xml:space="preserve">       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</si>
  <si>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t>1:1 "Entry" Half Wage</t>
  </si>
  <si>
    <r>
      <t xml:space="preserve"> 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</si>
  <si>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t xml:space="preserve"> 1:1 "Entry"</t>
  </si>
  <si>
    <t xml:space="preserve">Half Wage </t>
  </si>
  <si>
    <r>
      <t xml:space="preserve">        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</si>
  <si>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t>NOT davis-bacon</t>
  </si>
  <si>
    <r>
      <t>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</si>
  <si>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r>
      <t xml:space="preserve">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Cement Mason)</t>
    </r>
  </si>
  <si>
    <r>
      <t xml:space="preserve">  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</si>
  <si>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r>
      <t xml:space="preserve">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</si>
  <si>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r>
      <t xml:space="preserve">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Cement Mason)</t>
    </r>
  </si>
  <si>
    <r>
      <t xml:space="preserve">       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</si>
  <si>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t>Add for Offsite Storage</t>
  </si>
  <si>
    <t># of Mat Truck Loads</t>
  </si>
  <si>
    <t>for mat ONLY</t>
  </si>
  <si>
    <t>Sum of Markup + Taxes &amp; Fees</t>
  </si>
  <si>
    <t>---from---'S28'---&gt;</t>
  </si>
  <si>
    <t>% of Total Markup$</t>
  </si>
  <si>
    <r>
      <t xml:space="preserve">2 guys x 8 hrs + </t>
    </r>
    <r>
      <rPr>
        <u/>
        <sz val="12"/>
        <color theme="1"/>
        <rFont val="Calibri (Body)"/>
      </rPr>
      <t>Markups</t>
    </r>
    <r>
      <rPr>
        <sz val="12"/>
        <color theme="1"/>
        <rFont val="Calibri"/>
        <family val="2"/>
        <scheme val="minor"/>
      </rPr>
      <t xml:space="preserve"> x # of mobz</t>
    </r>
  </si>
  <si>
    <t>[208 = USG 1/4" +]</t>
  </si>
  <si>
    <t>[280 = USG 1/8"]</t>
  </si>
  <si>
    <t>[GrassWorx = 384]</t>
  </si>
  <si>
    <r>
      <t># of Mobs      -</t>
    </r>
    <r>
      <rPr>
        <b/>
        <u/>
        <sz val="12"/>
        <color theme="1"/>
        <rFont val="Calibri (Body)"/>
      </rPr>
      <t>or</t>
    </r>
    <r>
      <rPr>
        <sz val="12"/>
        <color theme="1"/>
        <rFont val="Calibri"/>
        <family val="2"/>
        <scheme val="minor"/>
      </rPr>
      <t>-</t>
    </r>
  </si>
  <si>
    <t>MarkUp + Soft Costs</t>
  </si>
  <si>
    <r>
      <rPr>
        <b/>
        <i/>
        <u/>
        <sz val="12"/>
        <color theme="1"/>
        <rFont val="Calibri (Body)"/>
      </rPr>
      <t>42%</t>
    </r>
    <r>
      <rPr>
        <i/>
        <sz val="12"/>
        <color theme="1"/>
        <rFont val="Calibri"/>
        <family val="2"/>
        <scheme val="minor"/>
      </rPr>
      <t xml:space="preserve"> = Epoxy Goal</t>
    </r>
  </si>
  <si>
    <t>LaborRate from Above</t>
  </si>
  <si>
    <r>
      <rPr>
        <b/>
        <i/>
        <u/>
        <sz val="12"/>
        <color theme="1"/>
        <rFont val="Calibri (Body)"/>
      </rPr>
      <t>45%</t>
    </r>
    <r>
      <rPr>
        <i/>
        <sz val="12"/>
        <color theme="1"/>
        <rFont val="Calibri"/>
        <family val="2"/>
        <scheme val="minor"/>
      </rPr>
      <t xml:space="preserve"> = Polish Goal</t>
    </r>
  </si>
  <si>
    <t>* This rate is different than epoxy &amp; polish</t>
  </si>
  <si>
    <t xml:space="preserve"> to account for longer project lead times.</t>
  </si>
  <si>
    <r>
      <rPr>
        <b/>
        <i/>
        <u/>
        <sz val="12"/>
        <color theme="1"/>
        <rFont val="Calibri (Body)"/>
      </rPr>
      <t>30%</t>
    </r>
    <r>
      <rPr>
        <i/>
        <sz val="12"/>
        <color theme="1"/>
        <rFont val="Calibri"/>
        <family val="2"/>
        <scheme val="minor"/>
      </rPr>
      <t xml:space="preserve"> = Gyp Goal</t>
    </r>
  </si>
  <si>
    <t>(epx: 42% &amp; pol: 45%)</t>
  </si>
  <si>
    <t>3/16"</t>
  </si>
  <si>
    <r>
      <t xml:space="preserve">SAM-N12 ULTRA </t>
    </r>
    <r>
      <rPr>
        <sz val="11"/>
        <color theme="1"/>
        <rFont val="Calibri"/>
        <family val="2"/>
        <scheme val="minor"/>
      </rPr>
      <t xml:space="preserve"> (3/16")</t>
    </r>
  </si>
  <si>
    <t>[260 = USG 3/16"]</t>
  </si>
  <si>
    <t>&lt;--factors--&gt;</t>
  </si>
  <si>
    <t>GRIND + Seal</t>
  </si>
  <si>
    <t>Add Joint Filler</t>
  </si>
  <si>
    <r>
      <t xml:space="preserve">[GrassWorx = 384 </t>
    </r>
    <r>
      <rPr>
        <i/>
        <sz val="10"/>
        <color theme="1"/>
        <rFont val="Calibri"/>
        <family val="2"/>
      </rPr>
      <t>(for all)</t>
    </r>
    <r>
      <rPr>
        <i/>
        <sz val="12"/>
        <color theme="1"/>
        <rFont val="Calibri"/>
        <family val="2"/>
      </rPr>
      <t>]</t>
    </r>
  </si>
  <si>
    <r>
      <rPr>
        <i/>
        <sz val="11"/>
        <color theme="1"/>
        <rFont val="Calibri"/>
        <family val="2"/>
      </rPr>
      <t>Days per mob(</t>
    </r>
    <r>
      <rPr>
        <i/>
        <sz val="12"/>
        <color theme="1"/>
        <rFont val="Calibri"/>
        <family val="2"/>
      </rPr>
      <t>WITH travel</t>
    </r>
    <r>
      <rPr>
        <i/>
        <sz val="11"/>
        <color theme="1"/>
        <rFont val="Calibri"/>
        <family val="2"/>
      </rPr>
      <t>)</t>
    </r>
  </si>
  <si>
    <r>
      <rPr>
        <sz val="11"/>
        <color theme="1"/>
        <rFont val="Calibri (Body)"/>
      </rPr>
      <t xml:space="preserve">Sum: </t>
    </r>
    <r>
      <rPr>
        <sz val="12"/>
        <color theme="1"/>
        <rFont val="Calibri"/>
        <family val="2"/>
        <scheme val="minor"/>
      </rPr>
      <t>Markup+Taxes+Fees</t>
    </r>
  </si>
  <si>
    <t xml:space="preserve">Building # </t>
  </si>
  <si>
    <t>SF /mob (approx.-avg.)</t>
  </si>
  <si>
    <t>total</t>
  </si>
  <si>
    <r>
      <t xml:space="preserve">sales tax </t>
    </r>
    <r>
      <rPr>
        <i/>
        <sz val="12"/>
        <color theme="1"/>
        <rFont val="Calibri"/>
        <family val="2"/>
        <scheme val="minor"/>
      </rPr>
      <t>(enter rounded)</t>
    </r>
  </si>
  <si>
    <r>
      <t xml:space="preserve">ks remodel </t>
    </r>
    <r>
      <rPr>
        <i/>
        <sz val="12"/>
        <color theme="1"/>
        <rFont val="Calibri"/>
        <family val="2"/>
        <scheme val="minor"/>
      </rPr>
      <t>(enter rounded)</t>
    </r>
  </si>
  <si>
    <t>SAM-N12 ULTRA  (3/16")</t>
  </si>
  <si>
    <r>
      <t xml:space="preserve">N12 </t>
    </r>
    <r>
      <rPr>
        <b/>
        <sz val="12"/>
        <color rgb="FF000000"/>
        <rFont val="Calibri"/>
        <family val="2"/>
      </rPr>
      <t>ULTRA</t>
    </r>
  </si>
  <si>
    <t>Total from</t>
  </si>
  <si>
    <t>Base Bid</t>
  </si>
  <si>
    <t xml:space="preserve">Total from </t>
  </si>
  <si>
    <t>+ 3/4" Gyp</t>
  </si>
  <si>
    <t>1.8 Mix:2500psi</t>
  </si>
  <si>
    <t>SC 190   (1/8")</t>
  </si>
  <si>
    <t>G-Worx SC 190</t>
  </si>
  <si>
    <t>+ 1" Gyp</t>
  </si>
  <si>
    <t>N25 1/4"</t>
  </si>
  <si>
    <t>SAM-N25   (1/4")</t>
  </si>
  <si>
    <r>
      <t xml:space="preserve">N12 </t>
    </r>
    <r>
      <rPr>
        <b/>
        <sz val="12"/>
        <color rgb="FF000000"/>
        <rFont val="Calibri"/>
        <family val="2"/>
      </rPr>
      <t>1/8"</t>
    </r>
  </si>
  <si>
    <t>WITH Joints</t>
  </si>
  <si>
    <t>2 guys</t>
  </si>
  <si>
    <t>3 guys</t>
  </si>
  <si>
    <t>4 guys</t>
  </si>
  <si>
    <t>(see other tab) --------&gt;</t>
  </si>
  <si>
    <t>^^ new total would be: ---&gt;</t>
  </si>
  <si>
    <t>: Base Bid</t>
  </si>
  <si>
    <r>
      <rPr>
        <b/>
        <i/>
        <sz val="12"/>
        <color rgb="FF000000"/>
        <rFont val="Calibri"/>
        <family val="2"/>
      </rPr>
      <t>?</t>
    </r>
    <r>
      <rPr>
        <sz val="12"/>
        <color rgb="FF000000"/>
        <rFont val="Calibri"/>
        <family val="2"/>
      </rPr>
      <t xml:space="preserve"> - </t>
    </r>
    <r>
      <rPr>
        <b/>
        <u/>
        <sz val="12"/>
        <color rgb="FF000000"/>
        <rFont val="Calibri"/>
        <family val="2"/>
      </rPr>
      <t>Walls</t>
    </r>
    <r>
      <rPr>
        <b/>
        <sz val="12"/>
        <color indexed="8"/>
        <rFont val="Calibri"/>
        <family val="2"/>
      </rPr>
      <t>:</t>
    </r>
  </si>
  <si>
    <t>silica, flake (MACRO/micro), quartz</t>
  </si>
  <si>
    <t>Drive Time: ?</t>
  </si>
  <si>
    <t>Diff from 1/8" mat + 3/4" pour</t>
  </si>
  <si>
    <t>Diff from 1/4" mat + 1" pour</t>
  </si>
  <si>
    <t>GrassWorx SC 190 == Diff from USG 1/8"</t>
  </si>
  <si>
    <t>N25+1" gyp = Diff from 1/8" mat + 3/4" gyp</t>
  </si>
  <si>
    <t>N25+1" gyp = Diff from 3/16" ULTRA mat + 3/4" gyp</t>
  </si>
  <si>
    <t>Diff from 3/16" ULTRA mat + 3/4" pour</t>
  </si>
  <si>
    <r>
      <rPr>
        <i/>
        <sz val="12"/>
        <color theme="1"/>
        <rFont val="Calibri"/>
        <family val="2"/>
        <scheme val="minor"/>
      </rPr>
      <t xml:space="preserve">(Glz4+Pgmnt) </t>
    </r>
    <r>
      <rPr>
        <sz val="12"/>
        <color theme="1"/>
        <rFont val="Calibri"/>
        <family val="2"/>
        <scheme val="minor"/>
      </rPr>
      <t>Shop Floor</t>
    </r>
  </si>
  <si>
    <t>Novo Gard &amp; Glaze are NOW the SAME (as Resuflor 3741)</t>
  </si>
  <si>
    <t>Novolac (Gard) - 3741</t>
  </si>
  <si>
    <t>Novolac (Glaze) - 3741</t>
  </si>
  <si>
    <t>*Egg-Shell -OR- Matte</t>
  </si>
  <si>
    <t>Satin</t>
  </si>
  <si>
    <r>
      <t>Wall Systems -----&gt;</t>
    </r>
    <r>
      <rPr>
        <b/>
        <i/>
        <u/>
        <sz val="16"/>
        <color theme="1"/>
        <rFont val="Calibri (Body)"/>
      </rPr>
      <t xml:space="preserve"> See System 2</t>
    </r>
    <r>
      <rPr>
        <b/>
        <sz val="16"/>
        <color theme="1"/>
        <rFont val="Calibri"/>
        <family val="2"/>
        <scheme val="minor"/>
      </rPr>
      <t xml:space="preserve"> -------&gt;</t>
    </r>
  </si>
  <si>
    <t>? Extra discount ?</t>
  </si>
  <si>
    <t>Shipping + Matr'l Escln</t>
  </si>
  <si>
    <t>1/2 of sf</t>
  </si>
  <si>
    <t>1/3 of sf</t>
  </si>
  <si>
    <t>3rd of sf</t>
  </si>
  <si>
    <t>Extreme Bonding Primer</t>
  </si>
  <si>
    <t>Heavy Duty Block Filler Primer</t>
  </si>
  <si>
    <t>Bulk Discount OFF</t>
  </si>
  <si>
    <t>BULK Discount ON</t>
  </si>
  <si>
    <r>
      <rPr>
        <b/>
        <i/>
        <sz val="12"/>
        <color theme="1"/>
        <rFont val="Calibri (Body)"/>
      </rPr>
      <t>**</t>
    </r>
    <r>
      <rPr>
        <b/>
        <i/>
        <u/>
        <sz val="12"/>
        <color theme="1"/>
        <rFont val="Calibri (Body)"/>
      </rPr>
      <t xml:space="preserve">BULK </t>
    </r>
    <r>
      <rPr>
        <i/>
        <u/>
        <sz val="12"/>
        <color theme="1"/>
        <rFont val="Calibri"/>
        <family val="2"/>
        <scheme val="minor"/>
      </rPr>
      <t>Discount applies to</t>
    </r>
    <r>
      <rPr>
        <i/>
        <sz val="12"/>
        <color theme="1"/>
        <rFont val="Calibri (Body)"/>
      </rPr>
      <t>:</t>
    </r>
  </si>
  <si>
    <t>^ 300 kits ^</t>
  </si>
  <si>
    <t>^ 200 kits ^</t>
  </si>
  <si>
    <t>Glz4 50 gal Drums&gt;</t>
  </si>
  <si>
    <t>50+ kits --&gt;</t>
  </si>
  <si>
    <t>"not used"</t>
  </si>
  <si>
    <r>
      <rPr>
        <i/>
        <u/>
        <sz val="10"/>
        <color theme="1"/>
        <rFont val="Calibri (Body)"/>
      </rPr>
      <t>bulk $ savings</t>
    </r>
    <r>
      <rPr>
        <i/>
        <sz val="10"/>
        <color theme="1"/>
        <rFont val="Calibri"/>
        <family val="2"/>
        <scheme val="minor"/>
      </rPr>
      <t>:</t>
    </r>
  </si>
  <si>
    <t>Glaze4, Armor Top, + SL</t>
  </si>
  <si>
    <r>
      <t>Validation Dropdown Menu</t>
    </r>
    <r>
      <rPr>
        <i/>
        <sz val="12"/>
        <color theme="1"/>
        <rFont val="Calibri (Body)"/>
      </rPr>
      <t>:</t>
    </r>
  </si>
  <si>
    <t>AT Pigmented Satin w/Grit</t>
  </si>
  <si>
    <t>AT Pigmented Gloss w/Grit</t>
  </si>
  <si>
    <t>+3% + 7% material esc.</t>
  </si>
  <si>
    <t>SW 2026 = + 7%</t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</si>
  <si>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GrassWorx Mat</t>
    </r>
    <r>
      <rPr>
        <sz val="12"/>
        <color rgb="FF000000"/>
        <rFont val="Calibri"/>
        <family val="2"/>
      </rPr>
      <t xml:space="preserve"> **</t>
    </r>
  </si>
  <si>
    <r>
      <rPr>
        <b/>
        <i/>
        <u/>
        <sz val="12"/>
        <color theme="1"/>
        <rFont val="Calibri (Body)"/>
      </rPr>
      <t>BULK $</t>
    </r>
    <r>
      <rPr>
        <i/>
        <sz val="12"/>
        <color theme="1"/>
        <rFont val="Calibri"/>
        <family val="2"/>
        <scheme val="minor"/>
      </rPr>
      <t xml:space="preserve"> per Nick email 11/6/25</t>
    </r>
  </si>
  <si>
    <t>(below)</t>
  </si>
  <si>
    <t>(Sturgis)  Silica</t>
  </si>
  <si>
    <t>check</t>
  </si>
  <si>
    <t>USG $: 1/8/2026</t>
  </si>
  <si>
    <t>Sound Mat $$$$</t>
  </si>
  <si>
    <t>Sturgis Silica</t>
  </si>
  <si>
    <t>type</t>
  </si>
  <si>
    <t># bag size #</t>
  </si>
  <si>
    <t>Sturgis 1/19/26 ^(see above)</t>
  </si>
  <si>
    <t>&lt;jeff@sturgismaterials.com&gt;</t>
  </si>
  <si>
    <t>$ per bag</t>
  </si>
  <si>
    <t>* Silica $ covers a little more for Q28</t>
  </si>
  <si>
    <t>Other SW $:</t>
  </si>
  <si>
    <t>Super Stick (SS)</t>
  </si>
  <si>
    <t>Vent-E</t>
  </si>
  <si>
    <t>= 1.2 gal kit</t>
  </si>
  <si>
    <t>1 pt. (16 oz.)</t>
  </si>
  <si>
    <t>1 qt. (32 oz.)</t>
  </si>
  <si>
    <t>1 gal. (128 oz.)</t>
  </si>
  <si>
    <t>5 gal. (640 oz.)</t>
  </si>
  <si>
    <t>*as 15 gal mix</t>
  </si>
  <si>
    <t>UVE</t>
  </si>
  <si>
    <r>
      <t>Gloss H</t>
    </r>
    <r>
      <rPr>
        <b/>
        <u/>
        <sz val="12"/>
        <color theme="1"/>
        <rFont val="Calibri (Body)"/>
      </rPr>
      <t>P</t>
    </r>
    <r>
      <rPr>
        <sz val="12"/>
        <color theme="1"/>
        <rFont val="Calibri (Body)"/>
      </rPr>
      <t>S 100</t>
    </r>
  </si>
  <si>
    <r>
      <t>Satin H</t>
    </r>
    <r>
      <rPr>
        <b/>
        <u/>
        <sz val="12"/>
        <color theme="1"/>
        <rFont val="Calibri (Body)"/>
      </rPr>
      <t>T</t>
    </r>
    <r>
      <rPr>
        <sz val="12"/>
        <color theme="1"/>
        <rFont val="Calibri (Body)"/>
      </rPr>
      <t>S 100</t>
    </r>
  </si>
  <si>
    <r>
      <t xml:space="preserve">Accelera EXT </t>
    </r>
    <r>
      <rPr>
        <b/>
        <u/>
        <sz val="12"/>
        <color theme="1"/>
        <rFont val="Calibri (Body)"/>
      </rPr>
      <t>Safety Yellow</t>
    </r>
  </si>
  <si>
    <t>small kit</t>
  </si>
  <si>
    <t>LARGE kit</t>
  </si>
  <si>
    <r>
      <rPr>
        <i/>
        <sz val="12"/>
        <color theme="1"/>
        <rFont val="Calibri"/>
        <family val="2"/>
        <scheme val="minor"/>
      </rPr>
      <t>(bond promotor)</t>
    </r>
    <r>
      <rPr>
        <sz val="12"/>
        <color theme="1"/>
        <rFont val="Calibri"/>
        <family val="2"/>
        <scheme val="minor"/>
      </rPr>
      <t xml:space="preserve"> Accelera BP Addtv</t>
    </r>
  </si>
  <si>
    <t>16 oz. bottle</t>
  </si>
  <si>
    <t>Accelera One</t>
  </si>
  <si>
    <t>Poly-Crete HF</t>
  </si>
  <si>
    <t>per kit</t>
  </si>
  <si>
    <t>TF+ Cove</t>
  </si>
  <si>
    <r>
      <t>F-15</t>
    </r>
    <r>
      <rPr>
        <sz val="10"/>
        <color theme="1"/>
        <rFont val="Calibri (Body)"/>
      </rPr>
      <t xml:space="preserve"> (30-50 mesh)</t>
    </r>
  </si>
  <si>
    <r>
      <t>F-13</t>
    </r>
    <r>
      <rPr>
        <sz val="10"/>
        <color theme="1"/>
        <rFont val="Calibri (Body)"/>
      </rPr>
      <t xml:space="preserve"> (25-45 mesh)</t>
    </r>
  </si>
  <si>
    <t>email from Jeff Bolton</t>
  </si>
  <si>
    <r>
      <rPr>
        <b/>
        <u/>
        <sz val="12"/>
        <color theme="1"/>
        <rFont val="Calibri (Body)"/>
      </rPr>
      <t>Accelera 4850</t>
    </r>
    <r>
      <rPr>
        <sz val="12"/>
        <color theme="1"/>
        <rFont val="Calibri"/>
        <family val="2"/>
        <scheme val="minor"/>
      </rPr>
      <t xml:space="preserve"> - for clear and pigmented</t>
    </r>
  </si>
  <si>
    <t>clear or pgmnt = same $</t>
  </si>
  <si>
    <t>wall primers are</t>
  </si>
  <si>
    <t>apprx. $</t>
  </si>
  <si>
    <t>No SW equal to</t>
  </si>
  <si>
    <t>DAF</t>
  </si>
  <si>
    <t>increased by -----&gt;</t>
  </si>
  <si>
    <r>
      <t xml:space="preserve">Resin </t>
    </r>
    <r>
      <rPr>
        <b/>
        <u/>
        <sz val="10"/>
        <color theme="1"/>
        <rFont val="Calibri (Body)"/>
      </rPr>
      <t>5</t>
    </r>
    <r>
      <rPr>
        <sz val="10"/>
        <color theme="1"/>
        <rFont val="Calibri"/>
        <family val="2"/>
        <scheme val="minor"/>
      </rPr>
      <t>g: $718.51</t>
    </r>
  </si>
  <si>
    <r>
      <t xml:space="preserve">Hard </t>
    </r>
    <r>
      <rPr>
        <b/>
        <u/>
        <sz val="10"/>
        <color theme="1"/>
        <rFont val="Calibri (Body)"/>
      </rPr>
      <t>1</t>
    </r>
    <r>
      <rPr>
        <sz val="10"/>
        <color theme="1"/>
        <rFont val="Calibri"/>
        <family val="2"/>
        <scheme val="minor"/>
      </rPr>
      <t>g: $380.51</t>
    </r>
  </si>
  <si>
    <t>see mix chart</t>
  </si>
  <si>
    <t>…</t>
  </si>
  <si>
    <t>500 sf /gal</t>
  </si>
  <si>
    <t>1.09 gal (500 sf /gal</t>
  </si>
  <si>
    <t>Treadwell + SW Price Book 01/01/26</t>
  </si>
  <si>
    <t xml:space="preserve">I made a couple of adjustments on the gyp… One thing we decided this week is that on $350k - $500k gyp projects we are going to reduce soft costs by 3.5% and on anything over $500k, reduce by 5%. </t>
  </si>
  <si>
    <t>$ per SW 010126</t>
  </si>
  <si>
    <r>
      <t>per 5 gal</t>
    </r>
    <r>
      <rPr>
        <i/>
        <sz val="12"/>
        <color theme="1"/>
        <rFont val="Calibri"/>
        <family val="2"/>
        <scheme val="minor"/>
      </rPr>
      <t xml:space="preserve"> (=$43.66 /gal)</t>
    </r>
  </si>
  <si>
    <r>
      <rPr>
        <i/>
        <sz val="12"/>
        <color theme="1"/>
        <rFont val="Calibri"/>
        <family val="2"/>
        <scheme val="minor"/>
      </rPr>
      <t>(prev. LM)</t>
    </r>
    <r>
      <rPr>
        <sz val="12"/>
        <color theme="1"/>
        <rFont val="Calibri"/>
        <family val="2"/>
        <scheme val="minor"/>
      </rPr>
      <t xml:space="preserve"> Cemlack MTR</t>
    </r>
  </si>
  <si>
    <r>
      <rPr>
        <i/>
        <sz val="12"/>
        <color theme="1"/>
        <rFont val="Calibri"/>
        <family val="2"/>
        <scheme val="minor"/>
      </rPr>
      <t>(prev. LM Primer)</t>
    </r>
    <r>
      <rPr>
        <sz val="12"/>
        <color theme="1"/>
        <rFont val="Calibri"/>
        <family val="2"/>
        <scheme val="minor"/>
      </rPr>
      <t xml:space="preserve"> Cemlack 4772</t>
    </r>
  </si>
  <si>
    <t>per 65 # bag</t>
  </si>
  <si>
    <r>
      <rPr>
        <b/>
        <u/>
        <sz val="12"/>
        <color theme="1"/>
        <rFont val="Calibri (Body)"/>
      </rPr>
      <t>INCREASE</t>
    </r>
    <r>
      <rPr>
        <b/>
        <sz val="12"/>
        <color theme="1"/>
        <rFont val="Calibri"/>
        <family val="2"/>
        <scheme val="minor"/>
      </rPr>
      <t xml:space="preserve"> for 5/1/26</t>
    </r>
    <r>
      <rPr>
        <sz val="12"/>
        <color theme="1"/>
        <rFont val="Calibri"/>
        <family val="2"/>
        <scheme val="minor"/>
      </rPr>
      <t xml:space="preserve"> </t>
    </r>
    <r>
      <rPr>
        <i/>
        <sz val="12"/>
        <color theme="1"/>
        <rFont val="Calibri"/>
        <family val="2"/>
        <scheme val="minor"/>
      </rPr>
      <t>(per SW Nick ~ 4/14/26) *</t>
    </r>
  </si>
  <si>
    <r>
      <t>+</t>
    </r>
    <r>
      <rPr>
        <b/>
        <i/>
        <u/>
        <sz val="12"/>
        <color theme="1"/>
        <rFont val="Calibri"/>
        <family val="2"/>
      </rPr>
      <t>6%</t>
    </r>
    <r>
      <rPr>
        <i/>
        <sz val="12"/>
        <color theme="1"/>
        <rFont val="Calibri"/>
        <family val="2"/>
      </rPr>
      <t xml:space="preserve"> for 5/1/26 ^ $</t>
    </r>
  </si>
  <si>
    <r>
      <rPr>
        <i/>
        <u/>
        <sz val="12"/>
        <color theme="1"/>
        <rFont val="Calibri"/>
        <family val="2"/>
      </rPr>
      <t>and</t>
    </r>
    <r>
      <rPr>
        <i/>
        <sz val="12"/>
        <color theme="1"/>
        <rFont val="Calibri"/>
        <family val="2"/>
      </rPr>
      <t xml:space="preserve"> </t>
    </r>
    <r>
      <rPr>
        <b/>
        <i/>
        <sz val="12"/>
        <color theme="1"/>
        <rFont val="Calibri"/>
        <family val="2"/>
      </rPr>
      <t>Torginol +6%</t>
    </r>
  </si>
  <si>
    <t>Torginol Escltn</t>
  </si>
  <si>
    <r>
      <t>+</t>
    </r>
    <r>
      <rPr>
        <b/>
        <i/>
        <u/>
        <sz val="14"/>
        <color theme="1"/>
        <rFont val="Calibri"/>
        <family val="2"/>
      </rPr>
      <t>6%</t>
    </r>
    <r>
      <rPr>
        <i/>
        <sz val="14"/>
        <color theme="1"/>
        <rFont val="Calibri"/>
        <family val="2"/>
      </rPr>
      <t xml:space="preserve"> $ Price for </t>
    </r>
    <r>
      <rPr>
        <i/>
        <u/>
        <sz val="14"/>
        <color theme="1"/>
        <rFont val="Calibri"/>
        <family val="2"/>
      </rPr>
      <t>SW</t>
    </r>
    <r>
      <rPr>
        <i/>
        <sz val="14"/>
        <color theme="1"/>
        <rFont val="Calibri"/>
        <family val="2"/>
      </rPr>
      <t xml:space="preserve"> 5/1/2026 ?</t>
    </r>
  </si>
  <si>
    <t>includes ---&gt;</t>
  </si>
  <si>
    <r>
      <t xml:space="preserve">Bulk </t>
    </r>
    <r>
      <rPr>
        <b/>
        <i/>
        <u/>
        <sz val="10"/>
        <color theme="1"/>
        <rFont val="Calibri (Body)"/>
      </rPr>
      <t>NO</t>
    </r>
    <r>
      <rPr>
        <i/>
        <sz val="10"/>
        <color theme="1"/>
        <rFont val="Calibri"/>
        <family val="2"/>
        <scheme val="minor"/>
      </rPr>
      <t xml:space="preserve"> escl.</t>
    </r>
  </si>
  <si>
    <r>
      <t xml:space="preserve">Bulk $ </t>
    </r>
    <r>
      <rPr>
        <b/>
        <i/>
        <sz val="10"/>
        <color theme="1"/>
        <rFont val="Calibri"/>
        <family val="2"/>
        <scheme val="minor"/>
      </rPr>
      <t>WITH</t>
    </r>
    <r>
      <rPr>
        <i/>
        <sz val="10"/>
        <color theme="1"/>
        <rFont val="Calibri"/>
        <family val="2"/>
        <scheme val="minor"/>
      </rPr>
      <t xml:space="preserve"> escalation</t>
    </r>
  </si>
  <si>
    <t>ColorFast (?)</t>
  </si>
  <si>
    <t>(@ 200 sf / kit @ 16 mils)</t>
  </si>
  <si>
    <t>($0.17 glue/VCT/carpet or $0.33 demo tile)</t>
  </si>
  <si>
    <t>*data pulled from calculator (+8%) ---&gt;</t>
  </si>
  <si>
    <t>Grind + Seal = $0.27</t>
  </si>
  <si>
    <t>Clean + Seal = $0.17</t>
  </si>
  <si>
    <t>(if ~20k+ sf = $0.11)</t>
  </si>
  <si>
    <t>+ surchg '26</t>
  </si>
  <si>
    <t>$ per 5/2026</t>
  </si>
  <si>
    <t>Torginol 5/2026*</t>
  </si>
  <si>
    <t xml:space="preserve">   Sand/Flake Material Prices $</t>
  </si>
  <si>
    <r>
      <rPr>
        <i/>
        <u/>
        <sz val="12"/>
        <color theme="1"/>
        <rFont val="Calibri"/>
        <family val="2"/>
      </rPr>
      <t>and</t>
    </r>
    <r>
      <rPr>
        <i/>
        <sz val="12"/>
        <color theme="1"/>
        <rFont val="Calibri"/>
        <family val="2"/>
      </rPr>
      <t xml:space="preserve"> </t>
    </r>
    <r>
      <rPr>
        <b/>
        <i/>
        <sz val="12"/>
        <color theme="1"/>
        <rFont val="Calibri"/>
        <family val="2"/>
      </rPr>
      <t xml:space="preserve">Torginol </t>
    </r>
    <r>
      <rPr>
        <i/>
        <sz val="12"/>
        <color theme="1"/>
        <rFont val="Calibri"/>
        <family val="2"/>
      </rPr>
      <t xml:space="preserve">Flake: </t>
    </r>
    <r>
      <rPr>
        <b/>
        <i/>
        <sz val="12"/>
        <color theme="1"/>
        <rFont val="Calibri"/>
        <family val="2"/>
      </rPr>
      <t xml:space="preserve">+0.07 </t>
    </r>
    <r>
      <rPr>
        <i/>
        <sz val="12"/>
        <color theme="1"/>
        <rFont val="Calibri"/>
        <family val="2"/>
      </rPr>
      <t xml:space="preserve">&amp; Quartz: </t>
    </r>
    <r>
      <rPr>
        <b/>
        <i/>
        <sz val="12"/>
        <color theme="1"/>
        <rFont val="Calibri"/>
        <family val="2"/>
      </rPr>
      <t>+0.05</t>
    </r>
  </si>
  <si>
    <t>GrassWorx $: 10/2026</t>
  </si>
  <si>
    <r>
      <t xml:space="preserve">GrassWorx $: Oct 2026 </t>
    </r>
    <r>
      <rPr>
        <i/>
        <u/>
        <sz val="12"/>
        <color theme="1"/>
        <rFont val="Calibri"/>
        <family val="2"/>
        <scheme val="minor"/>
      </rPr>
      <t>(per email May 1, '26 from Tom Torello &lt;tom.torello@grassworxllc.com&gt;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</si>
</sst>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-* #,##0_-;\-* #,##0_-;_-* &quot;-&quot;??_-;_-@_-"/>
    <numFmt numFmtId="167" formatCode="_-&quot;$&quot;* #,##0_-;\-&quot;$&quot;* #,##0_-;_-&quot;$&quot;* &quot;-&quot;??_-;_-@_-"/>
    <numFmt numFmtId="168" formatCode="0.000%"/>
    <numFmt numFmtId="169" formatCode="_-* #,##0.0_-;\-* #,##0.0_-;_-* &quot;-&quot;??_-;_-@_-"/>
    <numFmt numFmtId="170" formatCode="0.0%"/>
    <numFmt numFmtId="171" formatCode="_(&quot;$&quot;* #,##0_);_(&quot;$&quot;* \(#,##0\);_(&quot;$&quot;* &quot;-&quot;??_);_(@_)"/>
    <numFmt numFmtId="172" formatCode="0.0000%"/>
    <numFmt numFmtId="173" formatCode="_([$$-409]* #,##0.00_);_([$$-409]* \(#,##0.00\);_([$$-409]* &quot;-&quot;??_);_(@_)"/>
    <numFmt numFmtId="174" formatCode="_(* #,##0.00_);_(* \(#,##0.00\);_(* &quot;-&quot;???_);_(@_)"/>
    <numFmt numFmtId="175" formatCode="_(&quot;$&quot;* #,##0.000_);_(&quot;$&quot;* \(#,##0.000\);_(&quot;$&quot;* &quot;-&quot;??_);_(@_)"/>
    <numFmt numFmtId="176" formatCode="&quot;$&quot;#,##0.00"/>
    <numFmt numFmtId="177" formatCode="0.0"/>
    <numFmt numFmtId="178" formatCode="0.000"/>
    <numFmt numFmtId="179" formatCode="_-&quot;$&quot;* #,##0.000_-;\-&quot;$&quot;* #,##0.000_-;_-&quot;$&quot;* &quot;-&quot;??_-;_-@_-"/>
  </numFmts>
  <fonts count="114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b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ArialMT"/>
    </font>
    <font>
      <i/>
      <sz val="12"/>
      <color theme="1"/>
      <name val="Calibri"/>
      <family val="2"/>
    </font>
    <font>
      <b/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u/>
      <sz val="12"/>
      <color theme="1"/>
      <name val="Calibri"/>
      <family val="2"/>
      <scheme val="minor"/>
    </font>
    <font>
      <sz val="7"/>
      <color theme="1"/>
      <name val="Arial"/>
      <family val="2"/>
    </font>
    <font>
      <u/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b/>
      <i/>
      <u/>
      <sz val="12"/>
      <color theme="1"/>
      <name val="Calibri"/>
      <family val="2"/>
    </font>
    <font>
      <b/>
      <sz val="10"/>
      <color rgb="FF000000"/>
      <name val="Lucida Grande"/>
      <family val="2"/>
    </font>
    <font>
      <sz val="10"/>
      <color rgb="FF000000"/>
      <name val="Lucida Grande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</font>
    <font>
      <i/>
      <u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u/>
      <sz val="12"/>
      <color rgb="FF000000"/>
      <name val="Calibri"/>
      <family val="2"/>
      <scheme val="minor"/>
    </font>
    <font>
      <i/>
      <u/>
      <sz val="12"/>
      <color theme="1"/>
      <name val="Calibri"/>
      <family val="2"/>
    </font>
    <font>
      <b/>
      <u/>
      <sz val="25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sz val="12"/>
      <color rgb="FFFF0000"/>
      <name val="Calibri"/>
      <family val="2"/>
    </font>
    <font>
      <sz val="12"/>
      <name val="Calibri"/>
      <family val="2"/>
    </font>
    <font>
      <i/>
      <sz val="11"/>
      <color theme="1"/>
      <name val="Calibri"/>
      <family val="2"/>
      <scheme val="minor"/>
    </font>
    <font>
      <u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u/>
      <sz val="12"/>
      <color theme="1"/>
      <name val="Calibri (Body)"/>
    </font>
    <font>
      <b/>
      <i/>
      <u/>
      <sz val="12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color theme="1"/>
      <name val="Calibri (Body)"/>
    </font>
    <font>
      <sz val="10"/>
      <color theme="1"/>
      <name val="Calibri (Body)"/>
    </font>
    <font>
      <b/>
      <u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 (Body)"/>
    </font>
    <font>
      <sz val="10"/>
      <color theme="1"/>
      <name val="Calibri"/>
      <family val="2"/>
    </font>
    <font>
      <b/>
      <i/>
      <u/>
      <sz val="12"/>
      <color theme="1"/>
      <name val="Calibri (Body)"/>
    </font>
    <font>
      <sz val="12"/>
      <color theme="1"/>
      <name val="Calibri (Body)"/>
    </font>
    <font>
      <i/>
      <u/>
      <sz val="12"/>
      <color rgb="FF000000"/>
      <name val="Calibri (Body)"/>
    </font>
    <font>
      <b/>
      <u/>
      <sz val="12"/>
      <color theme="1"/>
      <name val="Calibri (Body)"/>
    </font>
    <font>
      <i/>
      <sz val="12"/>
      <color theme="1"/>
      <name val="Calibri (Body)"/>
    </font>
    <font>
      <sz val="11.5"/>
      <color theme="1"/>
      <name val="Calibri"/>
      <family val="2"/>
      <scheme val="minor"/>
    </font>
    <font>
      <i/>
      <sz val="10"/>
      <color theme="1"/>
      <name val="Calibri (Body)"/>
    </font>
    <font>
      <i/>
      <strike/>
      <sz val="12"/>
      <color theme="1"/>
      <name val="Calibri"/>
      <family val="2"/>
    </font>
    <font>
      <b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i/>
      <sz val="12"/>
      <color theme="1"/>
      <name val="Calibri (Body)"/>
    </font>
    <font>
      <i/>
      <u/>
      <sz val="14"/>
      <color theme="1"/>
      <name val="Calibri"/>
      <family val="2"/>
      <scheme val="minor"/>
    </font>
    <font>
      <i/>
      <u/>
      <sz val="9"/>
      <color theme="1"/>
      <name val="Calibri"/>
      <family val="2"/>
    </font>
    <font>
      <i/>
      <u/>
      <sz val="12"/>
      <color rgb="FF000000"/>
      <name val="Calibri"/>
      <family val="2"/>
      <scheme val="minor"/>
    </font>
    <font>
      <i/>
      <u/>
      <sz val="11"/>
      <color theme="1"/>
      <name val="Calibri"/>
      <family val="2"/>
    </font>
    <font>
      <u/>
      <sz val="12"/>
      <color rgb="FF000000"/>
      <name val="Calibri"/>
      <family val="2"/>
      <scheme val="minor"/>
    </font>
    <font>
      <u/>
      <sz val="12"/>
      <color rgb="FF000000"/>
      <name val="Calibri (Body)"/>
    </font>
    <font>
      <b/>
      <u/>
      <sz val="12"/>
      <color rgb="FF000000"/>
      <name val="Calibri (Body)"/>
    </font>
    <font>
      <b/>
      <i/>
      <u/>
      <sz val="11"/>
      <color theme="1"/>
      <name val="Calibri"/>
      <family val="2"/>
    </font>
    <font>
      <b/>
      <u/>
      <sz val="10"/>
      <color theme="1"/>
      <name val="Calibri"/>
      <family val="2"/>
      <scheme val="minor"/>
    </font>
    <font>
      <b/>
      <sz val="11"/>
      <color theme="1"/>
      <name val="Calibri (Body)"/>
    </font>
    <font>
      <b/>
      <sz val="9"/>
      <color rgb="FF000000"/>
      <name val="Tahoma"/>
      <family val="2"/>
    </font>
    <font>
      <b/>
      <sz val="12"/>
      <color rgb="FF000000"/>
      <name val="Calibri"/>
      <family val="2"/>
    </font>
    <font>
      <u/>
      <sz val="11"/>
      <color theme="1"/>
      <name val="Calibri (Body)"/>
    </font>
    <font>
      <b/>
      <u/>
      <sz val="11"/>
      <color theme="1"/>
      <name val="Calibri (Body)"/>
    </font>
    <font>
      <b/>
      <i/>
      <sz val="11"/>
      <color theme="1"/>
      <name val="Calibri"/>
      <family val="2"/>
    </font>
    <font>
      <b/>
      <i/>
      <sz val="12"/>
      <color rgb="FF000000"/>
      <name val="Calibri"/>
      <family val="2"/>
    </font>
    <font>
      <b/>
      <i/>
      <u/>
      <sz val="16"/>
      <color theme="1"/>
      <name val="Calibri (Body)"/>
    </font>
    <font>
      <b/>
      <i/>
      <sz val="10"/>
      <color theme="0"/>
      <name val="Calibri"/>
      <family val="2"/>
    </font>
    <font>
      <b/>
      <i/>
      <sz val="12"/>
      <color theme="0"/>
      <name val="Calibri"/>
      <family val="2"/>
      <scheme val="minor"/>
    </font>
    <font>
      <i/>
      <strike/>
      <sz val="12"/>
      <color theme="1"/>
      <name val="Calibri"/>
      <family val="2"/>
      <scheme val="minor"/>
    </font>
    <font>
      <i/>
      <u/>
      <sz val="10"/>
      <color theme="1"/>
      <name val="Calibri (Body)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i/>
      <strike/>
      <sz val="11"/>
      <color theme="1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theme="1"/>
      <name val="Calibri (Body)"/>
    </font>
    <font>
      <i/>
      <sz val="14"/>
      <color theme="1"/>
      <name val="Calibri"/>
      <family val="2"/>
    </font>
    <font>
      <b/>
      <i/>
      <u/>
      <sz val="14"/>
      <color theme="1"/>
      <name val="Calibri"/>
      <family val="2"/>
    </font>
    <font>
      <i/>
      <u/>
      <sz val="14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i/>
      <u/>
      <sz val="10"/>
      <color theme="1"/>
      <name val="Calibri (Body)"/>
    </font>
  </fonts>
  <fills count="5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8DB4E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C5DE5"/>
        <bgColor indexed="64"/>
      </patternFill>
    </fill>
    <fill>
      <patternFill patternType="solid">
        <fgColor rgb="FFFABF8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7DEE8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7BEA"/>
        <bgColor indexed="64"/>
      </patternFill>
    </fill>
    <fill>
      <patternFill patternType="solid">
        <fgColor rgb="FF41ECFF"/>
        <bgColor indexed="64"/>
      </patternFill>
    </fill>
    <fill>
      <patternFill patternType="solid">
        <fgColor rgb="FF18FFC8"/>
        <bgColor indexed="64"/>
      </patternFill>
    </fill>
    <fill>
      <patternFill patternType="solid">
        <fgColor rgb="FFD4BEFF"/>
        <bgColor indexed="64"/>
      </patternFill>
    </fill>
    <fill>
      <patternFill patternType="solid">
        <fgColor rgb="FF00F74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595B"/>
        <bgColor indexed="64"/>
      </patternFill>
    </fill>
    <fill>
      <patternFill patternType="solid">
        <fgColor rgb="FF18FFC8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FF00"/>
        <bgColor indexed="64"/>
      </patternFill>
    </fill>
    <fill>
      <patternFill patternType="solid">
        <fgColor rgb="FFFFF4A3"/>
        <bgColor indexed="64"/>
      </patternFill>
    </fill>
    <fill>
      <patternFill patternType="solid">
        <fgColor rgb="FF41EC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ABE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BBD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/>
      <top/>
      <bottom style="dashDotDot">
        <color indexed="64"/>
      </bottom>
      <diagonal/>
    </border>
    <border>
      <left/>
      <right/>
      <top/>
      <bottom style="dashDotDot">
        <color indexed="64"/>
      </bottom>
      <diagonal/>
    </border>
    <border>
      <left/>
      <right style="thin">
        <color auto="1"/>
      </right>
      <top/>
      <bottom style="dashDotDot">
        <color indexed="64"/>
      </bottom>
      <diagonal/>
    </border>
    <border>
      <left style="thin">
        <color auto="1"/>
      </left>
      <right/>
      <top style="dashDotDot">
        <color indexed="64"/>
      </top>
      <bottom style="dashDot">
        <color indexed="64"/>
      </bottom>
      <diagonal/>
    </border>
    <border>
      <left/>
      <right/>
      <top style="dashDotDot">
        <color indexed="64"/>
      </top>
      <bottom style="dashDot">
        <color indexed="64"/>
      </bottom>
      <diagonal/>
    </border>
    <border>
      <left/>
      <right style="thin">
        <color auto="1"/>
      </right>
      <top style="dashDotDot">
        <color indexed="64"/>
      </top>
      <bottom style="dashDot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185">
    <xf numFmtId="0" fontId="0" fillId="0" borderId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9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</cellStyleXfs>
  <cellXfs count="192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10" fillId="0" borderId="1" xfId="0" applyFont="1" applyBorder="1"/>
    <xf numFmtId="0" fontId="11" fillId="0" borderId="4" xfId="0" applyFont="1" applyBorder="1"/>
    <xf numFmtId="44" fontId="11" fillId="0" borderId="0" xfId="0" applyNumberFormat="1" applyFont="1"/>
    <xf numFmtId="9" fontId="11" fillId="0" borderId="0" xfId="0" applyNumberFormat="1" applyFont="1"/>
    <xf numFmtId="44" fontId="11" fillId="0" borderId="5" xfId="0" applyNumberFormat="1" applyFont="1" applyBorder="1"/>
    <xf numFmtId="0" fontId="15" fillId="2" borderId="6" xfId="0" applyFont="1" applyFill="1" applyBorder="1"/>
    <xf numFmtId="0" fontId="10" fillId="0" borderId="2" xfId="0" applyFont="1" applyBorder="1"/>
    <xf numFmtId="44" fontId="10" fillId="0" borderId="3" xfId="0" applyNumberFormat="1" applyFont="1" applyBorder="1"/>
    <xf numFmtId="44" fontId="15" fillId="2" borderId="7" xfId="0" applyNumberFormat="1" applyFont="1" applyFill="1" applyBorder="1"/>
    <xf numFmtId="44" fontId="10" fillId="0" borderId="2" xfId="0" applyNumberFormat="1" applyFont="1" applyBorder="1"/>
    <xf numFmtId="44" fontId="11" fillId="0" borderId="7" xfId="0" applyNumberFormat="1" applyFont="1" applyBorder="1"/>
    <xf numFmtId="44" fontId="15" fillId="2" borderId="8" xfId="0" applyNumberFormat="1" applyFont="1" applyFill="1" applyBorder="1"/>
    <xf numFmtId="0" fontId="19" fillId="0" borderId="1" xfId="0" applyFont="1" applyBorder="1"/>
    <xf numFmtId="44" fontId="19" fillId="0" borderId="2" xfId="0" applyNumberFormat="1" applyFont="1" applyBorder="1"/>
    <xf numFmtId="44" fontId="19" fillId="0" borderId="3" xfId="0" applyNumberFormat="1" applyFont="1" applyBorder="1"/>
    <xf numFmtId="0" fontId="19" fillId="0" borderId="4" xfId="0" applyFont="1" applyBorder="1"/>
    <xf numFmtId="44" fontId="19" fillId="0" borderId="0" xfId="0" applyNumberFormat="1" applyFont="1"/>
    <xf numFmtId="44" fontId="19" fillId="0" borderId="5" xfId="0" applyNumberFormat="1" applyFont="1" applyBorder="1"/>
    <xf numFmtId="0" fontId="10" fillId="0" borderId="0" xfId="0" applyFont="1"/>
    <xf numFmtId="0" fontId="20" fillId="0" borderId="0" xfId="0" applyFont="1"/>
    <xf numFmtId="0" fontId="10" fillId="0" borderId="4" xfId="0" applyFont="1" applyBorder="1"/>
    <xf numFmtId="44" fontId="11" fillId="0" borderId="17" xfId="0" applyNumberFormat="1" applyFont="1" applyBorder="1"/>
    <xf numFmtId="44" fontId="11" fillId="0" borderId="16" xfId="0" applyNumberFormat="1" applyFont="1" applyBorder="1"/>
    <xf numFmtId="44" fontId="0" fillId="0" borderId="0" xfId="0" applyNumberFormat="1"/>
    <xf numFmtId="0" fontId="10" fillId="0" borderId="5" xfId="0" applyFont="1" applyBorder="1"/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0" borderId="5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3" fontId="11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19" fillId="0" borderId="9" xfId="0" applyFont="1" applyBorder="1"/>
    <xf numFmtId="9" fontId="19" fillId="0" borderId="10" xfId="0" applyNumberFormat="1" applyFont="1" applyBorder="1" applyAlignment="1">
      <alignment horizontal="center"/>
    </xf>
    <xf numFmtId="44" fontId="19" fillId="0" borderId="10" xfId="0" applyNumberFormat="1" applyFont="1" applyBorder="1"/>
    <xf numFmtId="44" fontId="19" fillId="0" borderId="11" xfId="0" applyNumberFormat="1" applyFont="1" applyBorder="1"/>
    <xf numFmtId="0" fontId="21" fillId="0" borderId="0" xfId="0" applyFont="1"/>
    <xf numFmtId="0" fontId="11" fillId="0" borderId="4" xfId="0" applyFont="1" applyBorder="1" applyAlignment="1">
      <alignment horizontal="center"/>
    </xf>
    <xf numFmtId="0" fontId="11" fillId="0" borderId="6" xfId="0" applyFont="1" applyBorder="1"/>
    <xf numFmtId="10" fontId="11" fillId="0" borderId="7" xfId="0" applyNumberFormat="1" applyFont="1" applyBorder="1" applyAlignment="1">
      <alignment horizontal="center"/>
    </xf>
    <xf numFmtId="0" fontId="11" fillId="0" borderId="4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22" fillId="3" borderId="19" xfId="0" applyFont="1" applyFill="1" applyBorder="1" applyAlignment="1">
      <alignment horizontal="center"/>
    </xf>
    <xf numFmtId="0" fontId="22" fillId="3" borderId="8" xfId="0" applyFont="1" applyFill="1" applyBorder="1" applyAlignment="1">
      <alignment horizontal="center"/>
    </xf>
    <xf numFmtId="0" fontId="17" fillId="0" borderId="0" xfId="0" applyFont="1"/>
    <xf numFmtId="44" fontId="20" fillId="0" borderId="3" xfId="0" applyNumberFormat="1" applyFont="1" applyBorder="1" applyAlignment="1">
      <alignment horizontal="center"/>
    </xf>
    <xf numFmtId="0" fontId="11" fillId="0" borderId="0" xfId="0" applyFont="1" applyAlignment="1">
      <alignment horizontal="left"/>
    </xf>
    <xf numFmtId="166" fontId="0" fillId="0" borderId="0" xfId="285" applyNumberFormat="1" applyFont="1" applyBorder="1"/>
    <xf numFmtId="166" fontId="0" fillId="0" borderId="7" xfId="285" applyNumberFormat="1" applyFont="1" applyBorder="1"/>
    <xf numFmtId="166" fontId="11" fillId="0" borderId="0" xfId="285" applyNumberFormat="1" applyFont="1" applyBorder="1" applyAlignment="1">
      <alignment horizontal="center"/>
    </xf>
    <xf numFmtId="166" fontId="11" fillId="0" borderId="17" xfId="285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5" xfId="0" applyBorder="1" applyAlignment="1">
      <alignment horizont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0" fontId="21" fillId="0" borderId="8" xfId="0" applyFont="1" applyBorder="1" applyAlignment="1">
      <alignment horizontal="left" wrapText="1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/>
    </xf>
    <xf numFmtId="44" fontId="0" fillId="0" borderId="0" xfId="0" applyNumberFormat="1" applyAlignment="1">
      <alignment horizontal="left"/>
    </xf>
    <xf numFmtId="0" fontId="11" fillId="5" borderId="0" xfId="0" applyFont="1" applyFill="1"/>
    <xf numFmtId="0" fontId="11" fillId="5" borderId="2" xfId="0" applyFont="1" applyFill="1" applyBorder="1"/>
    <xf numFmtId="0" fontId="11" fillId="0" borderId="4" xfId="0" applyFont="1" applyBorder="1" applyAlignment="1">
      <alignment horizontal="right"/>
    </xf>
    <xf numFmtId="42" fontId="0" fillId="0" borderId="5" xfId="0" applyNumberFormat="1" applyBorder="1"/>
    <xf numFmtId="0" fontId="11" fillId="5" borderId="5" xfId="0" applyFont="1" applyFill="1" applyBorder="1"/>
    <xf numFmtId="14" fontId="11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0" fontId="19" fillId="0" borderId="0" xfId="0" applyFont="1"/>
    <xf numFmtId="0" fontId="12" fillId="0" borderId="9" xfId="0" applyFont="1" applyBorder="1" applyAlignment="1">
      <alignment horizontal="left"/>
    </xf>
    <xf numFmtId="42" fontId="0" fillId="0" borderId="0" xfId="0" applyNumberFormat="1"/>
    <xf numFmtId="166" fontId="14" fillId="0" borderId="10" xfId="285" applyNumberFormat="1" applyFont="1" applyBorder="1" applyAlignment="1"/>
    <xf numFmtId="166" fontId="14" fillId="0" borderId="11" xfId="285" applyNumberFormat="1" applyFont="1" applyBorder="1" applyAlignment="1"/>
    <xf numFmtId="44" fontId="11" fillId="0" borderId="0" xfId="0" applyNumberFormat="1" applyFont="1" applyAlignment="1">
      <alignment horizontal="left"/>
    </xf>
    <xf numFmtId="0" fontId="19" fillId="0" borderId="0" xfId="0" applyFont="1" applyAlignment="1">
      <alignment horizontal="center"/>
    </xf>
    <xf numFmtId="166" fontId="14" fillId="2" borderId="15" xfId="285" applyNumberFormat="1" applyFont="1" applyFill="1" applyBorder="1"/>
    <xf numFmtId="0" fontId="14" fillId="2" borderId="15" xfId="0" applyFont="1" applyFill="1" applyBorder="1"/>
    <xf numFmtId="166" fontId="17" fillId="2" borderId="15" xfId="285" applyNumberFormat="1" applyFont="1" applyFill="1" applyBorder="1"/>
    <xf numFmtId="0" fontId="17" fillId="2" borderId="15" xfId="0" applyFont="1" applyFill="1" applyBorder="1"/>
    <xf numFmtId="0" fontId="14" fillId="5" borderId="1" xfId="0" applyFont="1" applyFill="1" applyBorder="1" applyAlignment="1">
      <alignment horizontal="center"/>
    </xf>
    <xf numFmtId="0" fontId="14" fillId="5" borderId="4" xfId="0" applyFont="1" applyFill="1" applyBorder="1" applyAlignment="1">
      <alignment horizontal="center"/>
    </xf>
    <xf numFmtId="0" fontId="14" fillId="5" borderId="3" xfId="0" applyFont="1" applyFill="1" applyBorder="1"/>
    <xf numFmtId="0" fontId="22" fillId="6" borderId="4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166" fontId="11" fillId="0" borderId="0" xfId="285" applyNumberFormat="1" applyFont="1" applyFill="1" applyBorder="1"/>
    <xf numFmtId="3" fontId="11" fillId="0" borderId="0" xfId="0" applyNumberFormat="1" applyFont="1" applyAlignment="1">
      <alignment horizontal="left"/>
    </xf>
    <xf numFmtId="44" fontId="0" fillId="2" borderId="5" xfId="0" applyNumberFormat="1" applyFill="1" applyBorder="1"/>
    <xf numFmtId="44" fontId="0" fillId="2" borderId="8" xfId="0" applyNumberFormat="1" applyFill="1" applyBorder="1"/>
    <xf numFmtId="0" fontId="10" fillId="0" borderId="15" xfId="0" applyFont="1" applyBorder="1"/>
    <xf numFmtId="43" fontId="11" fillId="0" borderId="0" xfId="0" applyNumberFormat="1" applyFont="1"/>
    <xf numFmtId="0" fontId="25" fillId="0" borderId="0" xfId="0" applyFont="1"/>
    <xf numFmtId="166" fontId="14" fillId="0" borderId="0" xfId="285" applyNumberFormat="1" applyFont="1"/>
    <xf numFmtId="165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left"/>
    </xf>
    <xf numFmtId="166" fontId="11" fillId="0" borderId="0" xfId="285" applyNumberFormat="1" applyFont="1" applyFill="1" applyBorder="1" applyAlignment="1">
      <alignment horizontal="left"/>
    </xf>
    <xf numFmtId="0" fontId="19" fillId="0" borderId="0" xfId="0" applyFont="1" applyAlignment="1">
      <alignment horizontal="left"/>
    </xf>
    <xf numFmtId="44" fontId="19" fillId="0" borderId="0" xfId="0" applyNumberFormat="1" applyFont="1" applyAlignment="1">
      <alignment horizontal="left"/>
    </xf>
    <xf numFmtId="9" fontId="19" fillId="0" borderId="0" xfId="0" applyNumberFormat="1" applyFont="1" applyAlignment="1">
      <alignment horizontal="left"/>
    </xf>
    <xf numFmtId="42" fontId="0" fillId="0" borderId="0" xfId="0" applyNumberFormat="1" applyAlignment="1">
      <alignment horizontal="left"/>
    </xf>
    <xf numFmtId="42" fontId="21" fillId="0" borderId="0" xfId="0" applyNumberFormat="1" applyFont="1" applyAlignment="1">
      <alignment horizontal="left"/>
    </xf>
    <xf numFmtId="9" fontId="11" fillId="0" borderId="0" xfId="647" applyFont="1" applyFill="1" applyBorder="1" applyAlignment="1">
      <alignment horizontal="left"/>
    </xf>
    <xf numFmtId="164" fontId="0" fillId="0" borderId="0" xfId="286" applyFont="1" applyFill="1" applyBorder="1" applyAlignment="1">
      <alignment horizontal="left"/>
    </xf>
    <xf numFmtId="43" fontId="11" fillId="0" borderId="0" xfId="0" applyNumberFormat="1" applyFont="1" applyAlignment="1">
      <alignment horizontal="left"/>
    </xf>
    <xf numFmtId="0" fontId="21" fillId="0" borderId="0" xfId="0" applyFont="1" applyAlignment="1">
      <alignment horizontal="left"/>
    </xf>
    <xf numFmtId="10" fontId="11" fillId="0" borderId="0" xfId="0" applyNumberFormat="1" applyFont="1" applyAlignment="1">
      <alignment horizontal="left"/>
    </xf>
    <xf numFmtId="9" fontId="11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0" fontId="26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166" fontId="0" fillId="0" borderId="0" xfId="285" applyNumberFormat="1" applyFont="1" applyFill="1" applyBorder="1" applyAlignment="1">
      <alignment horizontal="left"/>
    </xf>
    <xf numFmtId="165" fontId="11" fillId="0" borderId="0" xfId="0" applyNumberFormat="1" applyFont="1" applyAlignment="1">
      <alignment horizontal="left"/>
    </xf>
    <xf numFmtId="167" fontId="11" fillId="0" borderId="0" xfId="286" applyNumberFormat="1" applyFont="1" applyFill="1" applyBorder="1" applyAlignment="1">
      <alignment horizontal="left"/>
    </xf>
    <xf numFmtId="168" fontId="11" fillId="0" borderId="0" xfId="0" applyNumberFormat="1" applyFont="1" applyAlignment="1">
      <alignment horizontal="left"/>
    </xf>
    <xf numFmtId="166" fontId="11" fillId="0" borderId="0" xfId="285" applyNumberFormat="1" applyFont="1" applyFill="1" applyBorder="1" applyAlignment="1">
      <alignment horizontal="center"/>
    </xf>
    <xf numFmtId="9" fontId="11" fillId="0" borderId="0" xfId="0" applyNumberFormat="1" applyFont="1" applyAlignment="1">
      <alignment horizontal="center"/>
    </xf>
    <xf numFmtId="0" fontId="11" fillId="2" borderId="9" xfId="0" applyFont="1" applyFill="1" applyBorder="1"/>
    <xf numFmtId="0" fontId="11" fillId="2" borderId="11" xfId="0" applyFont="1" applyFill="1" applyBorder="1"/>
    <xf numFmtId="0" fontId="14" fillId="8" borderId="9" xfId="0" applyFont="1" applyFill="1" applyBorder="1" applyAlignment="1">
      <alignment horizontal="left"/>
    </xf>
    <xf numFmtId="9" fontId="14" fillId="8" borderId="11" xfId="647" applyFont="1" applyFill="1" applyBorder="1"/>
    <xf numFmtId="0" fontId="10" fillId="9" borderId="4" xfId="0" applyFont="1" applyFill="1" applyBorder="1"/>
    <xf numFmtId="0" fontId="10" fillId="9" borderId="5" xfId="0" applyFont="1" applyFill="1" applyBorder="1" applyAlignment="1">
      <alignment horizontal="center"/>
    </xf>
    <xf numFmtId="0" fontId="11" fillId="9" borderId="9" xfId="0" applyFont="1" applyFill="1" applyBorder="1"/>
    <xf numFmtId="3" fontId="11" fillId="9" borderId="11" xfId="0" applyNumberFormat="1" applyFont="1" applyFill="1" applyBorder="1" applyAlignment="1">
      <alignment horizontal="center"/>
    </xf>
    <xf numFmtId="44" fontId="11" fillId="0" borderId="20" xfId="0" applyNumberFormat="1" applyFont="1" applyBorder="1"/>
    <xf numFmtId="0" fontId="14" fillId="0" borderId="0" xfId="0" applyFont="1" applyAlignment="1">
      <alignment horizontal="left"/>
    </xf>
    <xf numFmtId="0" fontId="14" fillId="0" borderId="0" xfId="0" applyFont="1"/>
    <xf numFmtId="42" fontId="17" fillId="0" borderId="0" xfId="0" applyNumberFormat="1" applyFont="1"/>
    <xf numFmtId="9" fontId="14" fillId="8" borderId="21" xfId="647" applyFont="1" applyFill="1" applyBorder="1"/>
    <xf numFmtId="0" fontId="14" fillId="8" borderId="1" xfId="0" applyFont="1" applyFill="1" applyBorder="1" applyAlignment="1">
      <alignment horizontal="left"/>
    </xf>
    <xf numFmtId="9" fontId="14" fillId="8" borderId="3" xfId="647" applyFont="1" applyFill="1" applyBorder="1"/>
    <xf numFmtId="165" fontId="0" fillId="10" borderId="22" xfId="0" applyNumberFormat="1" applyFill="1" applyBorder="1"/>
    <xf numFmtId="0" fontId="0" fillId="10" borderId="23" xfId="0" applyFill="1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17" fillId="8" borderId="0" xfId="0" applyFont="1" applyFill="1"/>
    <xf numFmtId="0" fontId="17" fillId="8" borderId="26" xfId="0" applyFont="1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11" fillId="7" borderId="15" xfId="0" applyFont="1" applyFill="1" applyBorder="1" applyAlignment="1">
      <alignment horizontal="left"/>
    </xf>
    <xf numFmtId="0" fontId="11" fillId="7" borderId="15" xfId="0" applyFont="1" applyFill="1" applyBorder="1"/>
    <xf numFmtId="37" fontId="17" fillId="7" borderId="15" xfId="0" applyNumberFormat="1" applyFont="1" applyFill="1" applyBorder="1"/>
    <xf numFmtId="169" fontId="11" fillId="7" borderId="15" xfId="0" applyNumberFormat="1" applyFont="1" applyFill="1" applyBorder="1" applyAlignment="1">
      <alignment horizontal="right"/>
    </xf>
    <xf numFmtId="4" fontId="14" fillId="8" borderId="15" xfId="0" applyNumberFormat="1" applyFont="1" applyFill="1" applyBorder="1" applyAlignment="1">
      <alignment horizontal="center"/>
    </xf>
    <xf numFmtId="4" fontId="11" fillId="0" borderId="0" xfId="0" applyNumberFormat="1" applyFont="1" applyAlignment="1">
      <alignment horizontal="center"/>
    </xf>
    <xf numFmtId="0" fontId="14" fillId="10" borderId="15" xfId="0" applyFont="1" applyFill="1" applyBorder="1"/>
    <xf numFmtId="0" fontId="10" fillId="9" borderId="15" xfId="0" applyFont="1" applyFill="1" applyBorder="1" applyAlignment="1">
      <alignment horizontal="center"/>
    </xf>
    <xf numFmtId="4" fontId="14" fillId="9" borderId="15" xfId="0" applyNumberFormat="1" applyFont="1" applyFill="1" applyBorder="1" applyAlignment="1">
      <alignment horizontal="center"/>
    </xf>
    <xf numFmtId="2" fontId="11" fillId="0" borderId="9" xfId="0" applyNumberFormat="1" applyFont="1" applyBorder="1"/>
    <xf numFmtId="9" fontId="14" fillId="8" borderId="15" xfId="647" applyFont="1" applyFill="1" applyBorder="1"/>
    <xf numFmtId="44" fontId="11" fillId="0" borderId="2" xfId="0" applyNumberFormat="1" applyFont="1" applyBorder="1"/>
    <xf numFmtId="166" fontId="0" fillId="0" borderId="2" xfId="285" applyNumberFormat="1" applyFont="1" applyBorder="1"/>
    <xf numFmtId="44" fontId="0" fillId="2" borderId="3" xfId="0" applyNumberFormat="1" applyFill="1" applyBorder="1"/>
    <xf numFmtId="0" fontId="0" fillId="0" borderId="15" xfId="0" applyBorder="1"/>
    <xf numFmtId="0" fontId="11" fillId="2" borderId="10" xfId="0" applyFont="1" applyFill="1" applyBorder="1"/>
    <xf numFmtId="0" fontId="14" fillId="11" borderId="9" xfId="0" applyFont="1" applyFill="1" applyBorder="1"/>
    <xf numFmtId="0" fontId="11" fillId="11" borderId="10" xfId="0" applyFont="1" applyFill="1" applyBorder="1" applyAlignment="1">
      <alignment horizontal="center"/>
    </xf>
    <xf numFmtId="44" fontId="15" fillId="11" borderId="11" xfId="0" applyNumberFormat="1" applyFont="1" applyFill="1" applyBorder="1"/>
    <xf numFmtId="170" fontId="31" fillId="0" borderId="7" xfId="647" applyNumberFormat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0" fillId="0" borderId="4" xfId="0" applyFont="1" applyBorder="1"/>
    <xf numFmtId="170" fontId="31" fillId="0" borderId="0" xfId="647" applyNumberFormat="1" applyFont="1" applyBorder="1"/>
    <xf numFmtId="0" fontId="31" fillId="0" borderId="4" xfId="0" applyFont="1" applyBorder="1"/>
    <xf numFmtId="170" fontId="31" fillId="0" borderId="0" xfId="647" applyNumberFormat="1" applyFont="1" applyFill="1" applyBorder="1"/>
    <xf numFmtId="0" fontId="30" fillId="0" borderId="6" xfId="0" applyFont="1" applyBorder="1"/>
    <xf numFmtId="170" fontId="30" fillId="0" borderId="7" xfId="647" applyNumberFormat="1" applyFont="1" applyBorder="1"/>
    <xf numFmtId="0" fontId="0" fillId="0" borderId="7" xfId="0" applyBorder="1"/>
    <xf numFmtId="0" fontId="0" fillId="0" borderId="8" xfId="0" applyBorder="1"/>
    <xf numFmtId="0" fontId="12" fillId="10" borderId="12" xfId="0" applyFont="1" applyFill="1" applyBorder="1" applyAlignment="1">
      <alignment horizontal="right"/>
    </xf>
    <xf numFmtId="44" fontId="11" fillId="10" borderId="13" xfId="0" applyNumberFormat="1" applyFont="1" applyFill="1" applyBorder="1"/>
    <xf numFmtId="0" fontId="14" fillId="10" borderId="13" xfId="0" applyFont="1" applyFill="1" applyBorder="1" applyAlignment="1">
      <alignment horizontal="right"/>
    </xf>
    <xf numFmtId="44" fontId="11" fillId="10" borderId="14" xfId="0" applyNumberFormat="1" applyFont="1" applyFill="1" applyBorder="1"/>
    <xf numFmtId="0" fontId="14" fillId="11" borderId="12" xfId="0" applyFont="1" applyFill="1" applyBorder="1"/>
    <xf numFmtId="0" fontId="11" fillId="11" borderId="13" xfId="0" applyFont="1" applyFill="1" applyBorder="1"/>
    <xf numFmtId="44" fontId="11" fillId="11" borderId="13" xfId="0" applyNumberFormat="1" applyFont="1" applyFill="1" applyBorder="1"/>
    <xf numFmtId="0" fontId="32" fillId="0" borderId="0" xfId="0" applyFont="1"/>
    <xf numFmtId="0" fontId="33" fillId="0" borderId="0" xfId="0" applyFont="1"/>
    <xf numFmtId="0" fontId="14" fillId="0" borderId="15" xfId="0" applyFont="1" applyBorder="1" applyAlignment="1">
      <alignment horizontal="center"/>
    </xf>
    <xf numFmtId="9" fontId="0" fillId="0" borderId="0" xfId="647" applyFont="1"/>
    <xf numFmtId="167" fontId="0" fillId="0" borderId="0" xfId="286" applyNumberFormat="1" applyFont="1"/>
    <xf numFmtId="171" fontId="0" fillId="0" borderId="0" xfId="0" applyNumberFormat="1"/>
    <xf numFmtId="167" fontId="0" fillId="0" borderId="0" xfId="0" applyNumberFormat="1"/>
    <xf numFmtId="170" fontId="0" fillId="0" borderId="0" xfId="647" applyNumberFormat="1" applyFont="1"/>
    <xf numFmtId="167" fontId="0" fillId="10" borderId="0" xfId="286" applyNumberFormat="1" applyFont="1" applyFill="1"/>
    <xf numFmtId="9" fontId="0" fillId="10" borderId="0" xfId="647" applyFont="1" applyFill="1"/>
    <xf numFmtId="0" fontId="0" fillId="10" borderId="0" xfId="0" applyFill="1"/>
    <xf numFmtId="171" fontId="0" fillId="10" borderId="0" xfId="0" applyNumberFormat="1" applyFill="1"/>
    <xf numFmtId="167" fontId="0" fillId="10" borderId="0" xfId="0" applyNumberFormat="1" applyFill="1"/>
    <xf numFmtId="170" fontId="0" fillId="4" borderId="0" xfId="647" applyNumberFormat="1" applyFont="1" applyFill="1"/>
    <xf numFmtId="169" fontId="11" fillId="0" borderId="0" xfId="0" applyNumberFormat="1" applyFont="1"/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164" fontId="11" fillId="0" borderId="0" xfId="286" applyFont="1"/>
    <xf numFmtId="168" fontId="11" fillId="0" borderId="0" xfId="0" applyNumberFormat="1" applyFont="1" applyAlignment="1">
      <alignment horizontal="center"/>
    </xf>
    <xf numFmtId="44" fontId="10" fillId="0" borderId="0" xfId="0" applyNumberFormat="1" applyFont="1"/>
    <xf numFmtId="44" fontId="0" fillId="0" borderId="8" xfId="0" applyNumberFormat="1" applyBorder="1"/>
    <xf numFmtId="173" fontId="11" fillId="0" borderId="0" xfId="286" applyNumberFormat="1" applyFont="1"/>
    <xf numFmtId="0" fontId="35" fillId="0" borderId="0" xfId="0" applyFont="1" applyAlignment="1">
      <alignment horizontal="center"/>
    </xf>
    <xf numFmtId="0" fontId="0" fillId="0" borderId="0" xfId="0" quotePrefix="1"/>
    <xf numFmtId="0" fontId="34" fillId="10" borderId="0" xfId="0" applyFont="1" applyFill="1"/>
    <xf numFmtId="0" fontId="12" fillId="0" borderId="1" xfId="0" applyFont="1" applyBorder="1" applyAlignment="1">
      <alignment horizontal="left"/>
    </xf>
    <xf numFmtId="166" fontId="14" fillId="0" borderId="2" xfId="285" applyNumberFormat="1" applyFont="1" applyBorder="1" applyAlignment="1"/>
    <xf numFmtId="166" fontId="14" fillId="0" borderId="3" xfId="285" applyNumberFormat="1" applyFont="1" applyBorder="1" applyAlignment="1"/>
    <xf numFmtId="42" fontId="0" fillId="0" borderId="8" xfId="0" applyNumberFormat="1" applyBorder="1"/>
    <xf numFmtId="0" fontId="25" fillId="0" borderId="0" xfId="0" quotePrefix="1" applyFont="1"/>
    <xf numFmtId="0" fontId="34" fillId="0" borderId="0" xfId="0" applyFont="1"/>
    <xf numFmtId="0" fontId="11" fillId="0" borderId="0" xfId="0" applyFont="1" applyAlignment="1">
      <alignment horizontal="right"/>
    </xf>
    <xf numFmtId="2" fontId="14" fillId="0" borderId="10" xfId="0" applyNumberFormat="1" applyFont="1" applyBorder="1"/>
    <xf numFmtId="44" fontId="0" fillId="0" borderId="15" xfId="0" applyNumberFormat="1" applyBorder="1"/>
    <xf numFmtId="0" fontId="14" fillId="2" borderId="1" xfId="0" applyFont="1" applyFill="1" applyBorder="1" applyAlignment="1">
      <alignment horizontal="right"/>
    </xf>
    <xf numFmtId="0" fontId="11" fillId="2" borderId="2" xfId="0" applyFont="1" applyFill="1" applyBorder="1"/>
    <xf numFmtId="0" fontId="14" fillId="2" borderId="9" xfId="0" applyFont="1" applyFill="1" applyBorder="1" applyAlignment="1">
      <alignment horizontal="right"/>
    </xf>
    <xf numFmtId="9" fontId="11" fillId="2" borderId="10" xfId="647" applyFont="1" applyFill="1" applyBorder="1"/>
    <xf numFmtId="0" fontId="14" fillId="2" borderId="6" xfId="0" applyFont="1" applyFill="1" applyBorder="1"/>
    <xf numFmtId="44" fontId="14" fillId="10" borderId="15" xfId="0" applyNumberFormat="1" applyFont="1" applyFill="1" applyBorder="1"/>
    <xf numFmtId="0" fontId="14" fillId="10" borderId="15" xfId="0" applyFont="1" applyFill="1" applyBorder="1" applyAlignment="1">
      <alignment horizontal="center"/>
    </xf>
    <xf numFmtId="44" fontId="11" fillId="10" borderId="15" xfId="0" applyNumberFormat="1" applyFont="1" applyFill="1" applyBorder="1"/>
    <xf numFmtId="0" fontId="17" fillId="0" borderId="15" xfId="0" applyFont="1" applyBorder="1" applyAlignment="1">
      <alignment horizontal="center"/>
    </xf>
    <xf numFmtId="9" fontId="11" fillId="0" borderId="0" xfId="647" applyFont="1" applyFill="1" applyBorder="1" applyAlignment="1">
      <alignment horizontal="right"/>
    </xf>
    <xf numFmtId="3" fontId="11" fillId="0" borderId="9" xfId="0" applyNumberFormat="1" applyFont="1" applyBorder="1" applyAlignment="1">
      <alignment horizontal="left"/>
    </xf>
    <xf numFmtId="0" fontId="11" fillId="0" borderId="11" xfId="0" applyFont="1" applyBorder="1"/>
    <xf numFmtId="3" fontId="14" fillId="0" borderId="9" xfId="0" applyNumberFormat="1" applyFont="1" applyBorder="1" applyAlignment="1">
      <alignment horizontal="left"/>
    </xf>
    <xf numFmtId="0" fontId="0" fillId="0" borderId="11" xfId="0" applyBorder="1"/>
    <xf numFmtId="44" fontId="11" fillId="0" borderId="11" xfId="0" applyNumberFormat="1" applyFont="1" applyBorder="1"/>
    <xf numFmtId="166" fontId="0" fillId="0" borderId="0" xfId="0" applyNumberFormat="1"/>
    <xf numFmtId="165" fontId="0" fillId="0" borderId="0" xfId="285" applyFont="1" applyFill="1"/>
    <xf numFmtId="10" fontId="11" fillId="0" borderId="0" xfId="0" applyNumberFormat="1" applyFont="1" applyAlignment="1">
      <alignment horizontal="center"/>
    </xf>
    <xf numFmtId="9" fontId="0" fillId="0" borderId="15" xfId="647" applyFont="1" applyBorder="1"/>
    <xf numFmtId="167" fontId="0" fillId="0" borderId="0" xfId="286" applyNumberFormat="1" applyFont="1" applyFill="1"/>
    <xf numFmtId="0" fontId="14" fillId="0" borderId="15" xfId="0" applyFont="1" applyBorder="1"/>
    <xf numFmtId="170" fontId="0" fillId="0" borderId="0" xfId="647" applyNumberFormat="1" applyFont="1" applyFill="1"/>
    <xf numFmtId="9" fontId="0" fillId="0" borderId="0" xfId="0" applyNumberFormat="1"/>
    <xf numFmtId="1" fontId="0" fillId="0" borderId="0" xfId="0" applyNumberFormat="1"/>
    <xf numFmtId="0" fontId="11" fillId="0" borderId="26" xfId="0" applyFont="1" applyBorder="1" applyAlignment="1">
      <alignment horizontal="center"/>
    </xf>
    <xf numFmtId="0" fontId="12" fillId="0" borderId="0" xfId="0" applyFont="1"/>
    <xf numFmtId="14" fontId="0" fillId="0" borderId="0" xfId="0" applyNumberFormat="1" applyAlignment="1">
      <alignment horizontal="left"/>
    </xf>
    <xf numFmtId="0" fontId="22" fillId="0" borderId="12" xfId="0" applyFont="1" applyBorder="1"/>
    <xf numFmtId="166" fontId="17" fillId="0" borderId="13" xfId="285" applyNumberFormat="1" applyFont="1" applyFill="1" applyBorder="1"/>
    <xf numFmtId="166" fontId="17" fillId="0" borderId="14" xfId="285" applyNumberFormat="1" applyFont="1" applyFill="1" applyBorder="1"/>
    <xf numFmtId="0" fontId="17" fillId="0" borderId="12" xfId="0" applyFont="1" applyBorder="1"/>
    <xf numFmtId="166" fontId="17" fillId="0" borderId="14" xfId="285" applyNumberFormat="1" applyFont="1" applyBorder="1"/>
    <xf numFmtId="166" fontId="17" fillId="0" borderId="13" xfId="285" applyNumberFormat="1" applyFont="1" applyBorder="1"/>
    <xf numFmtId="164" fontId="0" fillId="0" borderId="0" xfId="286" applyFont="1" applyFill="1"/>
    <xf numFmtId="164" fontId="11" fillId="0" borderId="0" xfId="286" applyFont="1" applyFill="1" applyBorder="1" applyAlignment="1">
      <alignment horizontal="left"/>
    </xf>
    <xf numFmtId="164" fontId="11" fillId="0" borderId="0" xfId="286" applyFont="1" applyFill="1" applyBorder="1" applyAlignment="1">
      <alignment horizontal="center"/>
    </xf>
    <xf numFmtId="164" fontId="21" fillId="0" borderId="0" xfId="286" applyFont="1"/>
    <xf numFmtId="0" fontId="39" fillId="0" borderId="0" xfId="0" applyFont="1"/>
    <xf numFmtId="44" fontId="17" fillId="13" borderId="9" xfId="0" applyNumberFormat="1" applyFont="1" applyFill="1" applyBorder="1"/>
    <xf numFmtId="0" fontId="17" fillId="13" borderId="11" xfId="0" applyFont="1" applyFill="1" applyBorder="1"/>
    <xf numFmtId="0" fontId="27" fillId="0" borderId="0" xfId="0" applyFont="1" applyAlignment="1">
      <alignment horizontal="left"/>
    </xf>
    <xf numFmtId="166" fontId="11" fillId="0" borderId="0" xfId="852" applyNumberFormat="1" applyFont="1" applyFill="1" applyBorder="1" applyAlignment="1">
      <alignment horizontal="center"/>
    </xf>
    <xf numFmtId="166" fontId="11" fillId="0" borderId="0" xfId="852" applyNumberFormat="1" applyFont="1" applyBorder="1" applyAlignment="1">
      <alignment horizontal="center"/>
    </xf>
    <xf numFmtId="166" fontId="10" fillId="0" borderId="0" xfId="852" applyNumberFormat="1" applyFont="1" applyBorder="1" applyAlignment="1">
      <alignment horizontal="center"/>
    </xf>
    <xf numFmtId="166" fontId="14" fillId="2" borderId="15" xfId="852" applyNumberFormat="1" applyFont="1" applyFill="1" applyBorder="1"/>
    <xf numFmtId="166" fontId="11" fillId="0" borderId="17" xfId="852" applyNumberFormat="1" applyFont="1" applyBorder="1" applyAlignment="1">
      <alignment horizontal="center"/>
    </xf>
    <xf numFmtId="9" fontId="19" fillId="0" borderId="0" xfId="0" applyNumberFormat="1" applyFont="1" applyAlignment="1">
      <alignment horizontal="center"/>
    </xf>
    <xf numFmtId="166" fontId="14" fillId="0" borderId="10" xfId="852" applyNumberFormat="1" applyFont="1" applyBorder="1" applyAlignment="1"/>
    <xf numFmtId="166" fontId="14" fillId="0" borderId="11" xfId="852" applyNumberFormat="1" applyFont="1" applyBorder="1" applyAlignment="1"/>
    <xf numFmtId="9" fontId="14" fillId="8" borderId="15" xfId="853" applyFont="1" applyFill="1" applyBorder="1"/>
    <xf numFmtId="0" fontId="27" fillId="0" borderId="0" xfId="0" applyFont="1" applyAlignment="1">
      <alignment horizontal="center"/>
    </xf>
    <xf numFmtId="0" fontId="14" fillId="9" borderId="15" xfId="0" applyFont="1" applyFill="1" applyBorder="1" applyAlignment="1">
      <alignment horizontal="center"/>
    </xf>
    <xf numFmtId="0" fontId="21" fillId="6" borderId="0" xfId="0" applyFont="1" applyFill="1"/>
    <xf numFmtId="0" fontId="14" fillId="2" borderId="6" xfId="0" applyFont="1" applyFill="1" applyBorder="1" applyAlignment="1">
      <alignment horizontal="right"/>
    </xf>
    <xf numFmtId="0" fontId="11" fillId="2" borderId="7" xfId="0" applyFont="1" applyFill="1" applyBorder="1"/>
    <xf numFmtId="164" fontId="17" fillId="2" borderId="7" xfId="854" applyFont="1" applyFill="1" applyBorder="1"/>
    <xf numFmtId="0" fontId="14" fillId="2" borderId="9" xfId="0" applyFont="1" applyFill="1" applyBorder="1"/>
    <xf numFmtId="0" fontId="11" fillId="2" borderId="10" xfId="0" applyFont="1" applyFill="1" applyBorder="1" applyAlignment="1">
      <alignment horizontal="center"/>
    </xf>
    <xf numFmtId="44" fontId="11" fillId="2" borderId="10" xfId="0" applyNumberFormat="1" applyFont="1" applyFill="1" applyBorder="1"/>
    <xf numFmtId="44" fontId="15" fillId="2" borderId="11" xfId="0" applyNumberFormat="1" applyFont="1" applyFill="1" applyBorder="1"/>
    <xf numFmtId="0" fontId="8" fillId="0" borderId="4" xfId="645" applyBorder="1"/>
    <xf numFmtId="0" fontId="4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14" fillId="0" borderId="0" xfId="0" applyFont="1" applyAlignment="1">
      <alignment horizontal="right"/>
    </xf>
    <xf numFmtId="166" fontId="14" fillId="0" borderId="0" xfId="852" applyNumberFormat="1" applyFont="1"/>
    <xf numFmtId="0" fontId="14" fillId="13" borderId="12" xfId="0" applyFont="1" applyFill="1" applyBorder="1"/>
    <xf numFmtId="0" fontId="11" fillId="13" borderId="13" xfId="0" applyFont="1" applyFill="1" applyBorder="1"/>
    <xf numFmtId="44" fontId="11" fillId="13" borderId="13" xfId="0" applyNumberFormat="1" applyFont="1" applyFill="1" applyBorder="1"/>
    <xf numFmtId="44" fontId="11" fillId="13" borderId="14" xfId="0" applyNumberFormat="1" applyFont="1" applyFill="1" applyBorder="1"/>
    <xf numFmtId="9" fontId="11" fillId="0" borderId="20" xfId="853" applyFont="1" applyBorder="1"/>
    <xf numFmtId="9" fontId="11" fillId="0" borderId="0" xfId="853" applyFont="1" applyFill="1" applyBorder="1"/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174" fontId="11" fillId="0" borderId="0" xfId="0" applyNumberFormat="1" applyFont="1"/>
    <xf numFmtId="0" fontId="11" fillId="14" borderId="4" xfId="0" applyFont="1" applyFill="1" applyBorder="1" applyAlignment="1">
      <alignment horizontal="right"/>
    </xf>
    <xf numFmtId="0" fontId="21" fillId="4" borderId="0" xfId="0" applyFont="1" applyFill="1"/>
    <xf numFmtId="166" fontId="11" fillId="14" borderId="0" xfId="852" applyNumberFormat="1" applyFont="1" applyFill="1" applyBorder="1" applyAlignment="1">
      <alignment horizontal="center"/>
    </xf>
    <xf numFmtId="43" fontId="0" fillId="0" borderId="0" xfId="0" applyNumberFormat="1"/>
    <xf numFmtId="166" fontId="21" fillId="0" borderId="0" xfId="0" applyNumberFormat="1" applyFont="1" applyAlignment="1">
      <alignment horizontal="center"/>
    </xf>
    <xf numFmtId="44" fontId="21" fillId="0" borderId="0" xfId="0" applyNumberFormat="1" applyFont="1" applyAlignment="1">
      <alignment horizontal="center"/>
    </xf>
    <xf numFmtId="166" fontId="14" fillId="16" borderId="15" xfId="852" applyNumberFormat="1" applyFont="1" applyFill="1" applyBorder="1"/>
    <xf numFmtId="0" fontId="14" fillId="16" borderId="15" xfId="0" applyFont="1" applyFill="1" applyBorder="1"/>
    <xf numFmtId="44" fontId="21" fillId="0" borderId="0" xfId="0" applyNumberFormat="1" applyFont="1"/>
    <xf numFmtId="0" fontId="11" fillId="4" borderId="0" xfId="0" applyFont="1" applyFill="1"/>
    <xf numFmtId="0" fontId="11" fillId="17" borderId="4" xfId="0" applyFont="1" applyFill="1" applyBorder="1"/>
    <xf numFmtId="3" fontId="11" fillId="17" borderId="0" xfId="0" applyNumberFormat="1" applyFont="1" applyFill="1" applyAlignment="1">
      <alignment horizontal="center"/>
    </xf>
    <xf numFmtId="44" fontId="11" fillId="17" borderId="0" xfId="0" applyNumberFormat="1" applyFont="1" applyFill="1"/>
    <xf numFmtId="44" fontId="11" fillId="17" borderId="5" xfId="0" applyNumberFormat="1" applyFont="1" applyFill="1" applyBorder="1"/>
    <xf numFmtId="0" fontId="21" fillId="18" borderId="4" xfId="0" applyFont="1" applyFill="1" applyBorder="1"/>
    <xf numFmtId="3" fontId="11" fillId="14" borderId="0" xfId="0" applyNumberFormat="1" applyFont="1" applyFill="1" applyAlignment="1">
      <alignment horizontal="center"/>
    </xf>
    <xf numFmtId="0" fontId="41" fillId="19" borderId="9" xfId="0" applyFont="1" applyFill="1" applyBorder="1"/>
    <xf numFmtId="0" fontId="0" fillId="19" borderId="10" xfId="0" applyFill="1" applyBorder="1"/>
    <xf numFmtId="0" fontId="39" fillId="0" borderId="4" xfId="0" applyFont="1" applyBorder="1"/>
    <xf numFmtId="0" fontId="39" fillId="0" borderId="0" xfId="0" applyFont="1" applyAlignment="1">
      <alignment horizontal="center"/>
    </xf>
    <xf numFmtId="0" fontId="39" fillId="0" borderId="5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1" fillId="0" borderId="5" xfId="0" applyNumberFormat="1" applyFont="1" applyBorder="1" applyAlignment="1">
      <alignment horizontal="center"/>
    </xf>
    <xf numFmtId="0" fontId="11" fillId="0" borderId="18" xfId="0" applyFont="1" applyBorder="1"/>
    <xf numFmtId="0" fontId="11" fillId="0" borderId="17" xfId="0" applyFont="1" applyBorder="1" applyAlignment="1">
      <alignment horizontal="center"/>
    </xf>
    <xf numFmtId="0" fontId="21" fillId="0" borderId="6" xfId="0" applyFont="1" applyBorder="1"/>
    <xf numFmtId="0" fontId="21" fillId="0" borderId="17" xfId="0" applyFont="1" applyBorder="1" applyAlignment="1">
      <alignment horizontal="center"/>
    </xf>
    <xf numFmtId="44" fontId="21" fillId="0" borderId="17" xfId="0" applyNumberFormat="1" applyFont="1" applyBorder="1"/>
    <xf numFmtId="44" fontId="21" fillId="0" borderId="16" xfId="0" applyNumberFormat="1" applyFont="1" applyBorder="1"/>
    <xf numFmtId="0" fontId="42" fillId="0" borderId="1" xfId="0" applyFont="1" applyBorder="1"/>
    <xf numFmtId="0" fontId="42" fillId="0" borderId="2" xfId="0" applyFont="1" applyBorder="1"/>
    <xf numFmtId="44" fontId="42" fillId="0" borderId="2" xfId="0" applyNumberFormat="1" applyFont="1" applyBorder="1"/>
    <xf numFmtId="44" fontId="42" fillId="0" borderId="3" xfId="0" applyNumberFormat="1" applyFont="1" applyBorder="1"/>
    <xf numFmtId="0" fontId="42" fillId="0" borderId="4" xfId="0" applyFont="1" applyBorder="1"/>
    <xf numFmtId="9" fontId="42" fillId="0" borderId="0" xfId="0" applyNumberFormat="1" applyFont="1" applyAlignment="1">
      <alignment horizontal="center"/>
    </xf>
    <xf numFmtId="44" fontId="42" fillId="0" borderId="0" xfId="0" applyNumberFormat="1" applyFont="1"/>
    <xf numFmtId="44" fontId="42" fillId="0" borderId="5" xfId="0" applyNumberFormat="1" applyFont="1" applyBorder="1"/>
    <xf numFmtId="0" fontId="43" fillId="20" borderId="6" xfId="0" applyFont="1" applyFill="1" applyBorder="1"/>
    <xf numFmtId="0" fontId="43" fillId="20" borderId="7" xfId="0" applyFont="1" applyFill="1" applyBorder="1" applyAlignment="1">
      <alignment horizontal="center"/>
    </xf>
    <xf numFmtId="44" fontId="43" fillId="20" borderId="7" xfId="0" applyNumberFormat="1" applyFont="1" applyFill="1" applyBorder="1"/>
    <xf numFmtId="44" fontId="43" fillId="20" borderId="8" xfId="0" applyNumberFormat="1" applyFont="1" applyFill="1" applyBorder="1"/>
    <xf numFmtId="0" fontId="42" fillId="0" borderId="6" xfId="0" applyFont="1" applyBorder="1"/>
    <xf numFmtId="9" fontId="42" fillId="0" borderId="7" xfId="0" applyNumberFormat="1" applyFont="1" applyBorder="1" applyAlignment="1">
      <alignment horizontal="center"/>
    </xf>
    <xf numFmtId="44" fontId="42" fillId="0" borderId="7" xfId="0" applyNumberFormat="1" applyFont="1" applyBorder="1"/>
    <xf numFmtId="44" fontId="42" fillId="0" borderId="8" xfId="0" applyNumberFormat="1" applyFont="1" applyBorder="1"/>
    <xf numFmtId="44" fontId="10" fillId="0" borderId="3" xfId="0" applyNumberFormat="1" applyFont="1" applyBorder="1" applyAlignment="1">
      <alignment horizontal="left"/>
    </xf>
    <xf numFmtId="0" fontId="39" fillId="0" borderId="1" xfId="0" applyFont="1" applyBorder="1"/>
    <xf numFmtId="0" fontId="39" fillId="0" borderId="2" xfId="0" applyFont="1" applyBorder="1" applyAlignment="1">
      <alignment horizontal="center"/>
    </xf>
    <xf numFmtId="0" fontId="39" fillId="0" borderId="2" xfId="0" applyFont="1" applyBorder="1"/>
    <xf numFmtId="44" fontId="39" fillId="0" borderId="3" xfId="0" applyNumberFormat="1" applyFont="1" applyBorder="1" applyAlignment="1">
      <alignment horizontal="left"/>
    </xf>
    <xf numFmtId="0" fontId="21" fillId="0" borderId="4" xfId="0" applyFont="1" applyBorder="1"/>
    <xf numFmtId="175" fontId="11" fillId="0" borderId="0" xfId="0" applyNumberFormat="1" applyFont="1"/>
    <xf numFmtId="3" fontId="21" fillId="0" borderId="0" xfId="0" applyNumberFormat="1" applyFont="1" applyAlignment="1">
      <alignment horizontal="center"/>
    </xf>
    <xf numFmtId="175" fontId="21" fillId="0" borderId="0" xfId="0" applyNumberFormat="1" applyFont="1"/>
    <xf numFmtId="44" fontId="21" fillId="0" borderId="5" xfId="0" applyNumberFormat="1" applyFont="1" applyBorder="1"/>
    <xf numFmtId="0" fontId="39" fillId="5" borderId="4" xfId="0" applyFont="1" applyFill="1" applyBorder="1" applyAlignment="1">
      <alignment horizontal="left"/>
    </xf>
    <xf numFmtId="3" fontId="39" fillId="5" borderId="0" xfId="0" applyNumberFormat="1" applyFont="1" applyFill="1" applyAlignment="1">
      <alignment horizontal="left"/>
    </xf>
    <xf numFmtId="44" fontId="39" fillId="5" borderId="0" xfId="0" applyNumberFormat="1" applyFont="1" applyFill="1" applyAlignment="1">
      <alignment horizontal="left"/>
    </xf>
    <xf numFmtId="44" fontId="11" fillId="5" borderId="5" xfId="0" applyNumberFormat="1" applyFont="1" applyFill="1" applyBorder="1"/>
    <xf numFmtId="0" fontId="22" fillId="20" borderId="9" xfId="0" applyFont="1" applyFill="1" applyBorder="1"/>
    <xf numFmtId="0" fontId="22" fillId="20" borderId="10" xfId="0" applyFont="1" applyFill="1" applyBorder="1"/>
    <xf numFmtId="44" fontId="21" fillId="20" borderId="10" xfId="0" applyNumberFormat="1" applyFont="1" applyFill="1" applyBorder="1"/>
    <xf numFmtId="44" fontId="43" fillId="20" borderId="11" xfId="0" applyNumberFormat="1" applyFont="1" applyFill="1" applyBorder="1"/>
    <xf numFmtId="44" fontId="39" fillId="0" borderId="2" xfId="0" applyNumberFormat="1" applyFont="1" applyBorder="1"/>
    <xf numFmtId="44" fontId="39" fillId="0" borderId="3" xfId="0" applyNumberFormat="1" applyFont="1" applyBorder="1"/>
    <xf numFmtId="44" fontId="39" fillId="0" borderId="0" xfId="0" applyNumberFormat="1" applyFont="1"/>
    <xf numFmtId="10" fontId="21" fillId="0" borderId="0" xfId="0" applyNumberFormat="1" applyFont="1" applyAlignment="1">
      <alignment horizontal="center"/>
    </xf>
    <xf numFmtId="9" fontId="21" fillId="0" borderId="0" xfId="0" applyNumberFormat="1" applyFont="1" applyAlignment="1">
      <alignment horizontal="center"/>
    </xf>
    <xf numFmtId="10" fontId="21" fillId="0" borderId="7" xfId="0" applyNumberFormat="1" applyFont="1" applyBorder="1" applyAlignment="1">
      <alignment horizontal="center"/>
    </xf>
    <xf numFmtId="44" fontId="21" fillId="0" borderId="7" xfId="0" applyNumberFormat="1" applyFont="1" applyBorder="1"/>
    <xf numFmtId="44" fontId="21" fillId="0" borderId="8" xfId="0" applyNumberFormat="1" applyFont="1" applyBorder="1"/>
    <xf numFmtId="9" fontId="21" fillId="0" borderId="0" xfId="0" applyNumberFormat="1" applyFont="1"/>
    <xf numFmtId="44" fontId="17" fillId="0" borderId="0" xfId="0" applyNumberFormat="1" applyFont="1"/>
    <xf numFmtId="0" fontId="22" fillId="21" borderId="12" xfId="0" applyFont="1" applyFill="1" applyBorder="1"/>
    <xf numFmtId="0" fontId="21" fillId="21" borderId="13" xfId="0" applyFont="1" applyFill="1" applyBorder="1"/>
    <xf numFmtId="44" fontId="21" fillId="21" borderId="13" xfId="0" applyNumberFormat="1" applyFont="1" applyFill="1" applyBorder="1"/>
    <xf numFmtId="44" fontId="21" fillId="21" borderId="14" xfId="0" applyNumberFormat="1" applyFont="1" applyFill="1" applyBorder="1"/>
    <xf numFmtId="0" fontId="11" fillId="4" borderId="4" xfId="0" applyFont="1" applyFill="1" applyBorder="1"/>
    <xf numFmtId="3" fontId="11" fillId="4" borderId="0" xfId="0" applyNumberFormat="1" applyFont="1" applyFill="1" applyAlignment="1">
      <alignment horizontal="center"/>
    </xf>
    <xf numFmtId="9" fontId="11" fillId="4" borderId="0" xfId="0" applyNumberFormat="1" applyFont="1" applyFill="1" applyAlignment="1">
      <alignment horizontal="center"/>
    </xf>
    <xf numFmtId="0" fontId="44" fillId="0" borderId="4" xfId="0" applyFont="1" applyBorder="1"/>
    <xf numFmtId="3" fontId="44" fillId="0" borderId="0" xfId="0" applyNumberFormat="1" applyFont="1" applyAlignment="1">
      <alignment horizontal="center"/>
    </xf>
    <xf numFmtId="3" fontId="45" fillId="0" borderId="0" xfId="0" applyNumberFormat="1" applyFont="1" applyAlignment="1">
      <alignment horizontal="center"/>
    </xf>
    <xf numFmtId="0" fontId="27" fillId="0" borderId="0" xfId="0" applyFont="1"/>
    <xf numFmtId="164" fontId="14" fillId="0" borderId="0" xfId="1183" applyFont="1" applyBorder="1"/>
    <xf numFmtId="164" fontId="0" fillId="0" borderId="0" xfId="1183" applyFont="1"/>
    <xf numFmtId="164" fontId="17" fillId="0" borderId="0" xfId="1183" applyFont="1"/>
    <xf numFmtId="0" fontId="21" fillId="0" borderId="0" xfId="0" applyFont="1" applyAlignment="1">
      <alignment horizontal="right"/>
    </xf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4" borderId="0" xfId="0" applyFill="1"/>
    <xf numFmtId="0" fontId="0" fillId="29" borderId="0" xfId="0" applyFill="1"/>
    <xf numFmtId="164" fontId="11" fillId="0" borderId="9" xfId="286" applyFont="1" applyBorder="1"/>
    <xf numFmtId="42" fontId="34" fillId="23" borderId="0" xfId="0" applyNumberFormat="1" applyFont="1" applyFill="1" applyAlignment="1">
      <alignment horizontal="left"/>
    </xf>
    <xf numFmtId="0" fontId="0" fillId="23" borderId="0" xfId="0" applyFill="1"/>
    <xf numFmtId="42" fontId="34" fillId="22" borderId="0" xfId="0" applyNumberFormat="1" applyFont="1" applyFill="1" applyAlignment="1">
      <alignment horizontal="center"/>
    </xf>
    <xf numFmtId="0" fontId="46" fillId="0" borderId="0" xfId="0" applyFont="1"/>
    <xf numFmtId="0" fontId="0" fillId="30" borderId="0" xfId="0" applyFill="1"/>
    <xf numFmtId="0" fontId="0" fillId="2" borderId="0" xfId="0" applyFill="1"/>
    <xf numFmtId="44" fontId="11" fillId="0" borderId="0" xfId="286" applyNumberFormat="1" applyFont="1" applyFill="1" applyAlignment="1">
      <alignment horizontal="left"/>
    </xf>
    <xf numFmtId="44" fontId="11" fillId="0" borderId="0" xfId="286" applyNumberFormat="1" applyFont="1" applyAlignment="1">
      <alignment horizontal="left"/>
    </xf>
    <xf numFmtId="164" fontId="34" fillId="0" borderId="0" xfId="286" applyFont="1"/>
    <xf numFmtId="0" fontId="49" fillId="0" borderId="4" xfId="0" applyFont="1" applyBorder="1"/>
    <xf numFmtId="44" fontId="19" fillId="11" borderId="10" xfId="0" applyNumberFormat="1" applyFont="1" applyFill="1" applyBorder="1" applyAlignment="1">
      <alignment horizontal="right"/>
    </xf>
    <xf numFmtId="164" fontId="34" fillId="0" borderId="0" xfId="1183" applyFont="1" applyFill="1"/>
    <xf numFmtId="44" fontId="20" fillId="0" borderId="0" xfId="0" applyNumberFormat="1" applyFont="1" applyAlignment="1">
      <alignment horizontal="left"/>
    </xf>
    <xf numFmtId="0" fontId="3" fillId="0" borderId="0" xfId="285" applyNumberFormat="1" applyFont="1" applyFill="1" applyBorder="1"/>
    <xf numFmtId="44" fontId="0" fillId="0" borderId="0" xfId="0" applyNumberFormat="1" applyAlignment="1">
      <alignment horizontal="right"/>
    </xf>
    <xf numFmtId="44" fontId="0" fillId="0" borderId="0" xfId="286" applyNumberFormat="1" applyFont="1"/>
    <xf numFmtId="0" fontId="42" fillId="0" borderId="0" xfId="0" applyFont="1"/>
    <xf numFmtId="44" fontId="11" fillId="4" borderId="0" xfId="0" applyNumberFormat="1" applyFont="1" applyFill="1"/>
    <xf numFmtId="44" fontId="11" fillId="28" borderId="0" xfId="0" applyNumberFormat="1" applyFont="1" applyFill="1"/>
    <xf numFmtId="0" fontId="11" fillId="28" borderId="4" xfId="0" applyFont="1" applyFill="1" applyBorder="1"/>
    <xf numFmtId="0" fontId="21" fillId="28" borderId="0" xfId="0" applyFont="1" applyFill="1"/>
    <xf numFmtId="0" fontId="19" fillId="0" borderId="18" xfId="0" applyFont="1" applyBorder="1" applyAlignment="1">
      <alignment horizontal="left"/>
    </xf>
    <xf numFmtId="166" fontId="19" fillId="0" borderId="17" xfId="852" applyNumberFormat="1" applyFont="1" applyBorder="1" applyAlignment="1">
      <alignment horizontal="center"/>
    </xf>
    <xf numFmtId="44" fontId="19" fillId="0" borderId="17" xfId="0" applyNumberFormat="1" applyFont="1" applyBorder="1"/>
    <xf numFmtId="44" fontId="11" fillId="26" borderId="0" xfId="0" applyNumberFormat="1" applyFont="1" applyFill="1"/>
    <xf numFmtId="0" fontId="40" fillId="26" borderId="0" xfId="0" applyFont="1" applyFill="1" applyAlignment="1">
      <alignment horizontal="center"/>
    </xf>
    <xf numFmtId="0" fontId="19" fillId="26" borderId="0" xfId="0" applyFont="1" applyFill="1"/>
    <xf numFmtId="0" fontId="19" fillId="0" borderId="4" xfId="0" applyFont="1" applyBorder="1" applyAlignment="1">
      <alignment horizontal="left"/>
    </xf>
    <xf numFmtId="166" fontId="19" fillId="14" borderId="0" xfId="852" applyNumberFormat="1" applyFont="1" applyFill="1" applyBorder="1" applyAlignment="1">
      <alignment horizontal="center"/>
    </xf>
    <xf numFmtId="0" fontId="11" fillId="26" borderId="4" xfId="0" applyFont="1" applyFill="1" applyBorder="1" applyAlignment="1">
      <alignment horizontal="left"/>
    </xf>
    <xf numFmtId="166" fontId="11" fillId="26" borderId="0" xfId="852" applyNumberFormat="1" applyFont="1" applyFill="1" applyBorder="1" applyAlignment="1">
      <alignment horizontal="center"/>
    </xf>
    <xf numFmtId="0" fontId="19" fillId="26" borderId="4" xfId="0" applyFont="1" applyFill="1" applyBorder="1" applyAlignment="1">
      <alignment horizontal="left"/>
    </xf>
    <xf numFmtId="44" fontId="11" fillId="26" borderId="0" xfId="0" applyNumberFormat="1" applyFont="1" applyFill="1" applyAlignment="1">
      <alignment horizontal="center"/>
    </xf>
    <xf numFmtId="0" fontId="49" fillId="27" borderId="4" xfId="0" applyFont="1" applyFill="1" applyBorder="1"/>
    <xf numFmtId="10" fontId="11" fillId="27" borderId="0" xfId="0" applyNumberFormat="1" applyFont="1" applyFill="1" applyAlignment="1">
      <alignment horizontal="center"/>
    </xf>
    <xf numFmtId="10" fontId="11" fillId="29" borderId="7" xfId="0" applyNumberFormat="1" applyFont="1" applyFill="1" applyBorder="1" applyAlignment="1">
      <alignment horizontal="center"/>
    </xf>
    <xf numFmtId="0" fontId="11" fillId="29" borderId="6" xfId="0" applyFont="1" applyFill="1" applyBorder="1"/>
    <xf numFmtId="0" fontId="19" fillId="29" borderId="0" xfId="0" applyFont="1" applyFill="1"/>
    <xf numFmtId="10" fontId="11" fillId="29" borderId="0" xfId="0" applyNumberFormat="1" applyFont="1" applyFill="1"/>
    <xf numFmtId="0" fontId="34" fillId="24" borderId="0" xfId="0" applyFont="1" applyFill="1"/>
    <xf numFmtId="0" fontId="19" fillId="23" borderId="0" xfId="0" applyFont="1" applyFill="1"/>
    <xf numFmtId="0" fontId="0" fillId="0" borderId="15" xfId="0" applyBorder="1" applyAlignment="1">
      <alignment wrapText="1"/>
    </xf>
    <xf numFmtId="44" fontId="0" fillId="0" borderId="15" xfId="1080" applyFont="1" applyFill="1" applyBorder="1"/>
    <xf numFmtId="44" fontId="0" fillId="2" borderId="15" xfId="1080" applyFont="1" applyFill="1" applyBorder="1"/>
    <xf numFmtId="0" fontId="34" fillId="2" borderId="0" xfId="0" applyFont="1" applyFill="1"/>
    <xf numFmtId="0" fontId="51" fillId="29" borderId="0" xfId="0" applyFont="1" applyFill="1"/>
    <xf numFmtId="0" fontId="34" fillId="0" borderId="0" xfId="0" applyFont="1" applyAlignment="1">
      <alignment horizontal="right"/>
    </xf>
    <xf numFmtId="166" fontId="0" fillId="0" borderId="15" xfId="285" applyNumberFormat="1" applyFont="1" applyBorder="1"/>
    <xf numFmtId="166" fontId="0" fillId="0" borderId="0" xfId="285" applyNumberFormat="1" applyFont="1"/>
    <xf numFmtId="166" fontId="0" fillId="0" borderId="15" xfId="285" applyNumberFormat="1" applyFont="1" applyFill="1" applyBorder="1"/>
    <xf numFmtId="49" fontId="0" fillId="0" borderId="15" xfId="0" applyNumberFormat="1" applyBorder="1"/>
    <xf numFmtId="44" fontId="11" fillId="0" borderId="0" xfId="286" applyNumberFormat="1" applyFont="1"/>
    <xf numFmtId="0" fontId="19" fillId="32" borderId="9" xfId="0" applyFont="1" applyFill="1" applyBorder="1"/>
    <xf numFmtId="9" fontId="19" fillId="32" borderId="10" xfId="0" applyNumberFormat="1" applyFont="1" applyFill="1" applyBorder="1" applyAlignment="1">
      <alignment horizontal="center"/>
    </xf>
    <xf numFmtId="0" fontId="0" fillId="34" borderId="0" xfId="0" applyFill="1"/>
    <xf numFmtId="0" fontId="11" fillId="34" borderId="0" xfId="0" applyFont="1" applyFill="1" applyAlignment="1">
      <alignment horizontal="left"/>
    </xf>
    <xf numFmtId="0" fontId="11" fillId="34" borderId="0" xfId="0" applyFont="1" applyFill="1"/>
    <xf numFmtId="44" fontId="11" fillId="34" borderId="0" xfId="0" applyNumberFormat="1" applyFont="1" applyFill="1"/>
    <xf numFmtId="0" fontId="11" fillId="34" borderId="4" xfId="0" applyFont="1" applyFill="1" applyBorder="1"/>
    <xf numFmtId="0" fontId="38" fillId="0" borderId="0" xfId="0" applyFont="1"/>
    <xf numFmtId="0" fontId="42" fillId="31" borderId="0" xfId="0" quotePrefix="1" applyFont="1" applyFill="1"/>
    <xf numFmtId="9" fontId="19" fillId="27" borderId="10" xfId="0" applyNumberFormat="1" applyFont="1" applyFill="1" applyBorder="1" applyAlignment="1">
      <alignment horizontal="center"/>
    </xf>
    <xf numFmtId="0" fontId="42" fillId="35" borderId="0" xfId="0" quotePrefix="1" applyFont="1" applyFill="1"/>
    <xf numFmtId="0" fontId="19" fillId="27" borderId="9" xfId="0" applyFont="1" applyFill="1" applyBorder="1"/>
    <xf numFmtId="0" fontId="0" fillId="4" borderId="0" xfId="0" applyFill="1"/>
    <xf numFmtId="165" fontId="11" fillId="0" borderId="0" xfId="285" applyFont="1"/>
    <xf numFmtId="0" fontId="11" fillId="34" borderId="4" xfId="0" applyFont="1" applyFill="1" applyBorder="1" applyAlignment="1">
      <alignment horizontal="left"/>
    </xf>
    <xf numFmtId="0" fontId="11" fillId="34" borderId="0" xfId="852" applyNumberFormat="1" applyFont="1" applyFill="1" applyBorder="1" applyAlignment="1">
      <alignment horizontal="center"/>
    </xf>
    <xf numFmtId="9" fontId="11" fillId="29" borderId="0" xfId="0" applyNumberFormat="1" applyFont="1" applyFill="1" applyAlignment="1">
      <alignment horizontal="center"/>
    </xf>
    <xf numFmtId="0" fontId="15" fillId="25" borderId="0" xfId="0" quotePrefix="1" applyFont="1" applyFill="1" applyAlignment="1">
      <alignment horizontal="right"/>
    </xf>
    <xf numFmtId="0" fontId="19" fillId="25" borderId="0" xfId="0" quotePrefix="1" applyFont="1" applyFill="1"/>
    <xf numFmtId="0" fontId="11" fillId="25" borderId="0" xfId="852" applyNumberFormat="1" applyFont="1" applyFill="1" applyBorder="1" applyAlignment="1">
      <alignment horizontal="center"/>
    </xf>
    <xf numFmtId="0" fontId="11" fillId="29" borderId="0" xfId="852" applyNumberFormat="1" applyFont="1" applyFill="1" applyBorder="1" applyAlignment="1">
      <alignment horizontal="center"/>
    </xf>
    <xf numFmtId="0" fontId="19" fillId="23" borderId="0" xfId="0" quotePrefix="1" applyFont="1" applyFill="1"/>
    <xf numFmtId="0" fontId="11" fillId="23" borderId="0" xfId="852" applyNumberFormat="1" applyFont="1" applyFill="1" applyBorder="1" applyAlignment="1">
      <alignment horizontal="center"/>
    </xf>
    <xf numFmtId="0" fontId="15" fillId="23" borderId="0" xfId="0" quotePrefix="1" applyFont="1" applyFill="1" applyAlignment="1">
      <alignment horizontal="right"/>
    </xf>
    <xf numFmtId="0" fontId="29" fillId="23" borderId="0" xfId="0" quotePrefix="1" applyFont="1" applyFill="1" applyAlignment="1">
      <alignment horizontal="center"/>
    </xf>
    <xf numFmtId="0" fontId="19" fillId="28" borderId="18" xfId="0" applyFont="1" applyFill="1" applyBorder="1" applyAlignment="1">
      <alignment horizontal="left"/>
    </xf>
    <xf numFmtId="0" fontId="11" fillId="28" borderId="17" xfId="852" applyNumberFormat="1" applyFont="1" applyFill="1" applyBorder="1" applyAlignment="1">
      <alignment horizontal="center"/>
    </xf>
    <xf numFmtId="0" fontId="29" fillId="29" borderId="0" xfId="0" quotePrefix="1" applyFont="1" applyFill="1" applyAlignment="1">
      <alignment horizontal="center"/>
    </xf>
    <xf numFmtId="0" fontId="29" fillId="25" borderId="0" xfId="0" quotePrefix="1" applyFont="1" applyFill="1" applyAlignment="1">
      <alignment horizontal="center"/>
    </xf>
    <xf numFmtId="2" fontId="11" fillId="0" borderId="0" xfId="285" applyNumberFormat="1" applyFont="1"/>
    <xf numFmtId="2" fontId="19" fillId="28" borderId="0" xfId="0" applyNumberFormat="1" applyFont="1" applyFill="1"/>
    <xf numFmtId="2" fontId="19" fillId="0" borderId="0" xfId="285" applyNumberFormat="1" applyFont="1"/>
    <xf numFmtId="0" fontId="15" fillId="29" borderId="0" xfId="0" quotePrefix="1" applyFont="1" applyFill="1"/>
    <xf numFmtId="0" fontId="12" fillId="0" borderId="0" xfId="0" applyFont="1" applyAlignment="1">
      <alignment horizontal="right"/>
    </xf>
    <xf numFmtId="0" fontId="58" fillId="0" borderId="15" xfId="0" applyFont="1" applyBorder="1" applyAlignment="1">
      <alignment horizontal="center"/>
    </xf>
    <xf numFmtId="3" fontId="11" fillId="8" borderId="15" xfId="0" applyNumberFormat="1" applyFont="1" applyFill="1" applyBorder="1" applyAlignment="1">
      <alignment horizontal="left"/>
    </xf>
    <xf numFmtId="0" fontId="19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34" fillId="0" borderId="15" xfId="0" applyFont="1" applyBorder="1" applyAlignment="1">
      <alignment horizontal="right"/>
    </xf>
    <xf numFmtId="44" fontId="34" fillId="0" borderId="15" xfId="0" applyNumberFormat="1" applyFont="1" applyBorder="1"/>
    <xf numFmtId="0" fontId="11" fillId="27" borderId="9" xfId="0" applyFont="1" applyFill="1" applyBorder="1"/>
    <xf numFmtId="0" fontId="15" fillId="27" borderId="10" xfId="0" applyFont="1" applyFill="1" applyBorder="1" applyAlignment="1">
      <alignment horizontal="center"/>
    </xf>
    <xf numFmtId="44" fontId="15" fillId="27" borderId="10" xfId="0" applyNumberFormat="1" applyFont="1" applyFill="1" applyBorder="1"/>
    <xf numFmtId="0" fontId="48" fillId="27" borderId="10" xfId="0" applyFont="1" applyFill="1" applyBorder="1" applyAlignment="1">
      <alignment horizontal="right"/>
    </xf>
    <xf numFmtId="0" fontId="15" fillId="27" borderId="0" xfId="0" applyFont="1" applyFill="1"/>
    <xf numFmtId="0" fontId="15" fillId="27" borderId="0" xfId="0" applyFont="1" applyFill="1" applyAlignment="1">
      <alignment horizontal="right"/>
    </xf>
    <xf numFmtId="44" fontId="11" fillId="27" borderId="0" xfId="0" applyNumberFormat="1" applyFont="1" applyFill="1"/>
    <xf numFmtId="0" fontId="19" fillId="29" borderId="0" xfId="0" quotePrefix="1" applyFont="1" applyFill="1" applyAlignment="1">
      <alignment horizontal="right"/>
    </xf>
    <xf numFmtId="0" fontId="19" fillId="34" borderId="0" xfId="0" quotePrefix="1" applyFont="1" applyFill="1" applyAlignment="1">
      <alignment horizontal="right"/>
    </xf>
    <xf numFmtId="0" fontId="40" fillId="34" borderId="0" xfId="0" applyFont="1" applyFill="1" applyAlignment="1">
      <alignment horizontal="center"/>
    </xf>
    <xf numFmtId="172" fontId="11" fillId="34" borderId="0" xfId="647" applyNumberFormat="1" applyFont="1" applyFill="1"/>
    <xf numFmtId="0" fontId="8" fillId="34" borderId="4" xfId="645" applyFill="1" applyBorder="1"/>
    <xf numFmtId="10" fontId="11" fillId="34" borderId="0" xfId="0" applyNumberFormat="1" applyFont="1" applyFill="1" applyAlignment="1">
      <alignment horizontal="center"/>
    </xf>
    <xf numFmtId="0" fontId="15" fillId="2" borderId="9" xfId="0" applyFont="1" applyFill="1" applyBorder="1"/>
    <xf numFmtId="0" fontId="15" fillId="2" borderId="10" xfId="0" applyFont="1" applyFill="1" applyBorder="1" applyAlignment="1">
      <alignment horizontal="center"/>
    </xf>
    <xf numFmtId="44" fontId="15" fillId="2" borderId="10" xfId="0" applyNumberFormat="1" applyFont="1" applyFill="1" applyBorder="1"/>
    <xf numFmtId="0" fontId="48" fillId="25" borderId="0" xfId="0" applyFont="1" applyFill="1"/>
    <xf numFmtId="0" fontId="15" fillId="25" borderId="9" xfId="0" applyFont="1" applyFill="1" applyBorder="1"/>
    <xf numFmtId="44" fontId="15" fillId="25" borderId="11" xfId="0" applyNumberFormat="1" applyFont="1" applyFill="1" applyBorder="1"/>
    <xf numFmtId="0" fontId="11" fillId="23" borderId="9" xfId="0" applyFont="1" applyFill="1" applyBorder="1"/>
    <xf numFmtId="0" fontId="34" fillId="23" borderId="10" xfId="0" applyFont="1" applyFill="1" applyBorder="1" applyAlignment="1">
      <alignment horizontal="right"/>
    </xf>
    <xf numFmtId="0" fontId="15" fillId="23" borderId="9" xfId="0" applyFont="1" applyFill="1" applyBorder="1"/>
    <xf numFmtId="0" fontId="15" fillId="23" borderId="10" xfId="0" applyFont="1" applyFill="1" applyBorder="1" applyAlignment="1">
      <alignment horizontal="center"/>
    </xf>
    <xf numFmtId="44" fontId="15" fillId="23" borderId="10" xfId="0" applyNumberFormat="1" applyFont="1" applyFill="1" applyBorder="1"/>
    <xf numFmtId="44" fontId="15" fillId="23" borderId="11" xfId="0" applyNumberFormat="1" applyFont="1" applyFill="1" applyBorder="1"/>
    <xf numFmtId="164" fontId="19" fillId="32" borderId="9" xfId="286" applyFont="1" applyFill="1" applyBorder="1"/>
    <xf numFmtId="0" fontId="19" fillId="32" borderId="11" xfId="0" applyFont="1" applyFill="1" applyBorder="1" applyAlignment="1">
      <alignment horizontal="left"/>
    </xf>
    <xf numFmtId="44" fontId="14" fillId="27" borderId="0" xfId="0" applyNumberFormat="1" applyFont="1" applyFill="1"/>
    <xf numFmtId="0" fontId="59" fillId="0" borderId="0" xfId="0" applyFont="1" applyAlignment="1">
      <alignment horizontal="left"/>
    </xf>
    <xf numFmtId="166" fontId="11" fillId="0" borderId="0" xfId="285" applyNumberFormat="1" applyFont="1"/>
    <xf numFmtId="166" fontId="0" fillId="0" borderId="6" xfId="0" applyNumberFormat="1" applyBorder="1"/>
    <xf numFmtId="166" fontId="49" fillId="0" borderId="0" xfId="285" applyNumberFormat="1" applyFont="1"/>
    <xf numFmtId="0" fontId="60" fillId="8" borderId="15" xfId="0" applyFont="1" applyFill="1" applyBorder="1" applyAlignment="1">
      <alignment horizontal="center"/>
    </xf>
    <xf numFmtId="164" fontId="17" fillId="2" borderId="3" xfId="286" applyFont="1" applyFill="1" applyBorder="1"/>
    <xf numFmtId="164" fontId="17" fillId="2" borderId="11" xfId="286" applyFont="1" applyFill="1" applyBorder="1"/>
    <xf numFmtId="176" fontId="11" fillId="0" borderId="0" xfId="286" applyNumberFormat="1" applyFont="1" applyBorder="1"/>
    <xf numFmtId="176" fontId="11" fillId="0" borderId="0" xfId="0" applyNumberFormat="1" applyFont="1"/>
    <xf numFmtId="176" fontId="21" fillId="0" borderId="0" xfId="0" applyNumberFormat="1" applyFont="1"/>
    <xf numFmtId="166" fontId="0" fillId="0" borderId="7" xfId="0" applyNumberFormat="1" applyBorder="1"/>
    <xf numFmtId="0" fontId="17" fillId="0" borderId="9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3" fontId="49" fillId="0" borderId="9" xfId="0" applyNumberFormat="1" applyFont="1" applyBorder="1" applyAlignment="1">
      <alignment horizontal="right"/>
    </xf>
    <xf numFmtId="0" fontId="11" fillId="4" borderId="7" xfId="0" applyFont="1" applyFill="1" applyBorder="1"/>
    <xf numFmtId="10" fontId="19" fillId="0" borderId="0" xfId="647" applyNumberFormat="1" applyFont="1" applyAlignment="1">
      <alignment horizontal="center"/>
    </xf>
    <xf numFmtId="10" fontId="34" fillId="0" borderId="0" xfId="647" applyNumberFormat="1" applyFont="1" applyAlignment="1">
      <alignment horizontal="center"/>
    </xf>
    <xf numFmtId="2" fontId="11" fillId="0" borderId="0" xfId="0" applyNumberFormat="1" applyFont="1"/>
    <xf numFmtId="0" fontId="11" fillId="0" borderId="6" xfId="0" applyFont="1" applyBorder="1" applyAlignment="1">
      <alignment horizontal="right"/>
    </xf>
    <xf numFmtId="166" fontId="11" fillId="0" borderId="15" xfId="285" applyNumberFormat="1" applyFont="1" applyBorder="1"/>
    <xf numFmtId="164" fontId="34" fillId="0" borderId="0" xfId="1183" applyFont="1" applyFill="1" applyBorder="1"/>
    <xf numFmtId="164" fontId="11" fillId="0" borderId="0" xfId="1183" applyFont="1" applyFill="1" applyBorder="1"/>
    <xf numFmtId="167" fontId="0" fillId="0" borderId="0" xfId="1183" applyNumberFormat="1" applyFont="1" applyFill="1"/>
    <xf numFmtId="164" fontId="11" fillId="0" borderId="0" xfId="1183" applyFont="1"/>
    <xf numFmtId="166" fontId="11" fillId="0" borderId="0" xfId="1184" applyNumberFormat="1" applyFont="1" applyFill="1" applyBorder="1" applyAlignment="1">
      <alignment horizontal="left"/>
    </xf>
    <xf numFmtId="9" fontId="11" fillId="0" borderId="0" xfId="1079" applyFont="1" applyFill="1" applyBorder="1" applyAlignment="1">
      <alignment horizontal="left"/>
    </xf>
    <xf numFmtId="164" fontId="0" fillId="0" borderId="0" xfId="1183" applyFont="1" applyFill="1" applyBorder="1" applyAlignment="1">
      <alignment horizontal="left"/>
    </xf>
    <xf numFmtId="44" fontId="11" fillId="16" borderId="0" xfId="0" applyNumberFormat="1" applyFont="1" applyFill="1"/>
    <xf numFmtId="0" fontId="0" fillId="40" borderId="0" xfId="0" applyFill="1"/>
    <xf numFmtId="0" fontId="11" fillId="40" borderId="0" xfId="0" applyFont="1" applyFill="1" applyAlignment="1">
      <alignment horizontal="left"/>
    </xf>
    <xf numFmtId="44" fontId="11" fillId="16" borderId="5" xfId="0" applyNumberFormat="1" applyFont="1" applyFill="1" applyBorder="1"/>
    <xf numFmtId="0" fontId="10" fillId="16" borderId="5" xfId="0" applyFont="1" applyFill="1" applyBorder="1"/>
    <xf numFmtId="0" fontId="10" fillId="16" borderId="0" xfId="0" applyFont="1" applyFill="1"/>
    <xf numFmtId="166" fontId="10" fillId="16" borderId="0" xfId="285" applyNumberFormat="1" applyFont="1" applyFill="1" applyBorder="1" applyAlignment="1">
      <alignment horizontal="center"/>
    </xf>
    <xf numFmtId="0" fontId="10" fillId="16" borderId="4" xfId="0" applyFont="1" applyFill="1" applyBorder="1"/>
    <xf numFmtId="166" fontId="11" fillId="16" borderId="0" xfId="285" applyNumberFormat="1" applyFont="1" applyFill="1" applyBorder="1" applyAlignment="1">
      <alignment horizontal="center"/>
    </xf>
    <xf numFmtId="0" fontId="10" fillId="16" borderId="4" xfId="0" applyFont="1" applyFill="1" applyBorder="1" applyAlignment="1">
      <alignment horizontal="left"/>
    </xf>
    <xf numFmtId="166" fontId="19" fillId="0" borderId="0" xfId="0" applyNumberFormat="1" applyFont="1" applyAlignment="1">
      <alignment horizontal="center"/>
    </xf>
    <xf numFmtId="176" fontId="15" fillId="0" borderId="7" xfId="0" applyNumberFormat="1" applyFont="1" applyBorder="1"/>
    <xf numFmtId="176" fontId="15" fillId="0" borderId="0" xfId="0" applyNumberFormat="1" applyFont="1"/>
    <xf numFmtId="165" fontId="0" fillId="0" borderId="0" xfId="285" applyFont="1" applyFill="1" applyBorder="1"/>
    <xf numFmtId="44" fontId="20" fillId="0" borderId="0" xfId="0" applyNumberFormat="1" applyFont="1" applyAlignment="1">
      <alignment horizontal="center"/>
    </xf>
    <xf numFmtId="166" fontId="0" fillId="0" borderId="0" xfId="285" applyNumberFormat="1" applyFont="1" applyFill="1" applyBorder="1"/>
    <xf numFmtId="44" fontId="0" fillId="0" borderId="0" xfId="286" applyNumberFormat="1" applyFont="1" applyFill="1" applyBorder="1"/>
    <xf numFmtId="165" fontId="0" fillId="0" borderId="0" xfId="1184" applyFont="1" applyFill="1" applyBorder="1"/>
    <xf numFmtId="0" fontId="65" fillId="0" borderId="0" xfId="0" applyFont="1" applyAlignment="1">
      <alignment vertical="center"/>
    </xf>
    <xf numFmtId="0" fontId="51" fillId="0" borderId="15" xfId="0" applyFont="1" applyBorder="1" applyAlignment="1">
      <alignment horizontal="center"/>
    </xf>
    <xf numFmtId="176" fontId="43" fillId="22" borderId="0" xfId="0" applyNumberFormat="1" applyFont="1" applyFill="1"/>
    <xf numFmtId="176" fontId="43" fillId="23" borderId="0" xfId="0" applyNumberFormat="1" applyFont="1" applyFill="1"/>
    <xf numFmtId="0" fontId="11" fillId="0" borderId="15" xfId="0" applyFont="1" applyBorder="1" applyAlignment="1">
      <alignment horizontal="left"/>
    </xf>
    <xf numFmtId="0" fontId="17" fillId="29" borderId="15" xfId="0" applyFont="1" applyFill="1" applyBorder="1" applyAlignment="1">
      <alignment horizontal="right"/>
    </xf>
    <xf numFmtId="0" fontId="25" fillId="0" borderId="4" xfId="0" quotePrefix="1" applyFont="1" applyBorder="1" applyAlignment="1">
      <alignment horizontal="center"/>
    </xf>
    <xf numFmtId="0" fontId="20" fillId="0" borderId="0" xfId="0" quotePrefix="1" applyFont="1"/>
    <xf numFmtId="0" fontId="0" fillId="0" borderId="4" xfId="0" applyBorder="1" applyAlignment="1">
      <alignment horizontal="center"/>
    </xf>
    <xf numFmtId="0" fontId="34" fillId="4" borderId="15" xfId="0" applyFont="1" applyFill="1" applyBorder="1" applyAlignment="1">
      <alignment horizontal="center"/>
    </xf>
    <xf numFmtId="0" fontId="19" fillId="4" borderId="0" xfId="0" applyFont="1" applyFill="1"/>
    <xf numFmtId="42" fontId="51" fillId="0" borderId="0" xfId="0" applyNumberFormat="1" applyFont="1" applyAlignment="1">
      <alignment horizontal="center"/>
    </xf>
    <xf numFmtId="3" fontId="69" fillId="0" borderId="2" xfId="0" applyNumberFormat="1" applyFont="1" applyBorder="1" applyAlignment="1">
      <alignment horizontal="center"/>
    </xf>
    <xf numFmtId="3" fontId="69" fillId="0" borderId="0" xfId="0" applyNumberFormat="1" applyFont="1" applyAlignment="1">
      <alignment horizontal="center"/>
    </xf>
    <xf numFmtId="4" fontId="11" fillId="2" borderId="6" xfId="0" applyNumberFormat="1" applyFont="1" applyFill="1" applyBorder="1" applyAlignment="1">
      <alignment horizontal="center"/>
    </xf>
    <xf numFmtId="0" fontId="47" fillId="2" borderId="1" xfId="0" applyFont="1" applyFill="1" applyBorder="1" applyAlignment="1">
      <alignment horizontal="center"/>
    </xf>
    <xf numFmtId="4" fontId="27" fillId="4" borderId="15" xfId="0" applyNumberFormat="1" applyFont="1" applyFill="1" applyBorder="1" applyAlignment="1">
      <alignment horizontal="center"/>
    </xf>
    <xf numFmtId="4" fontId="11" fillId="0" borderId="1" xfId="0" applyNumberFormat="1" applyFont="1" applyBorder="1" applyAlignment="1">
      <alignment horizontal="right"/>
    </xf>
    <xf numFmtId="4" fontId="11" fillId="0" borderId="3" xfId="0" applyNumberFormat="1" applyFont="1" applyBorder="1" applyAlignment="1">
      <alignment horizontal="left"/>
    </xf>
    <xf numFmtId="4" fontId="11" fillId="0" borderId="5" xfId="0" applyNumberFormat="1" applyFont="1" applyBorder="1" applyAlignment="1">
      <alignment horizontal="left"/>
    </xf>
    <xf numFmtId="4" fontId="11" fillId="0" borderId="8" xfId="0" applyNumberFormat="1" applyFont="1" applyBorder="1" applyAlignment="1">
      <alignment horizontal="left"/>
    </xf>
    <xf numFmtId="0" fontId="11" fillId="0" borderId="1" xfId="0" applyFont="1" applyBorder="1" applyAlignment="1">
      <alignment horizontal="right"/>
    </xf>
    <xf numFmtId="44" fontId="11" fillId="4" borderId="0" xfId="0" applyNumberFormat="1" applyFont="1" applyFill="1" applyAlignment="1">
      <alignment horizontal="center"/>
    </xf>
    <xf numFmtId="0" fontId="19" fillId="4" borderId="0" xfId="285" applyNumberFormat="1" applyFont="1" applyFill="1" applyBorder="1"/>
    <xf numFmtId="0" fontId="17" fillId="0" borderId="0" xfId="0" applyFont="1" applyProtection="1">
      <protection locked="0"/>
    </xf>
    <xf numFmtId="0" fontId="0" fillId="0" borderId="0" xfId="0" applyProtection="1">
      <protection locked="0"/>
    </xf>
    <xf numFmtId="0" fontId="59" fillId="0" borderId="0" xfId="0" applyFont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left"/>
      <protection locked="0"/>
    </xf>
    <xf numFmtId="0" fontId="20" fillId="0" borderId="0" xfId="0" applyFont="1" applyAlignment="1" applyProtection="1">
      <alignment horizontal="right"/>
      <protection locked="0"/>
    </xf>
    <xf numFmtId="0" fontId="12" fillId="0" borderId="0" xfId="0" applyFont="1" applyAlignment="1" applyProtection="1">
      <alignment horizontal="left"/>
      <protection locked="0"/>
    </xf>
    <xf numFmtId="0" fontId="34" fillId="0" borderId="0" xfId="0" applyFont="1" applyProtection="1">
      <protection locked="0"/>
    </xf>
    <xf numFmtId="0" fontId="13" fillId="0" borderId="0" xfId="0" applyFont="1" applyProtection="1">
      <protection locked="0"/>
    </xf>
    <xf numFmtId="14" fontId="11" fillId="0" borderId="0" xfId="0" applyNumberFormat="1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7" fontId="0" fillId="0" borderId="0" xfId="286" applyNumberFormat="1" applyFont="1" applyProtection="1">
      <protection locked="0"/>
    </xf>
    <xf numFmtId="9" fontId="0" fillId="0" borderId="0" xfId="647" applyFont="1" applyProtection="1">
      <protection locked="0"/>
    </xf>
    <xf numFmtId="170" fontId="0" fillId="0" borderId="0" xfId="647" applyNumberFormat="1" applyFont="1" applyProtection="1">
      <protection locked="0"/>
    </xf>
    <xf numFmtId="171" fontId="0" fillId="0" borderId="0" xfId="0" applyNumberFormat="1" applyProtection="1">
      <protection locked="0"/>
    </xf>
    <xf numFmtId="167" fontId="0" fillId="0" borderId="0" xfId="0" applyNumberFormat="1" applyProtection="1">
      <protection locked="0"/>
    </xf>
    <xf numFmtId="0" fontId="11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0" fontId="12" fillId="0" borderId="0" xfId="0" applyFont="1" applyProtection="1">
      <protection locked="0"/>
    </xf>
    <xf numFmtId="0" fontId="13" fillId="0" borderId="0" xfId="0" applyFont="1" applyAlignment="1" applyProtection="1">
      <alignment horizontal="left"/>
      <protection locked="0"/>
    </xf>
    <xf numFmtId="44" fontId="0" fillId="0" borderId="0" xfId="0" applyNumberFormat="1" applyAlignment="1" applyProtection="1">
      <alignment horizontal="left"/>
      <protection locked="0"/>
    </xf>
    <xf numFmtId="44" fontId="11" fillId="0" borderId="0" xfId="0" applyNumberFormat="1" applyFont="1" applyAlignment="1" applyProtection="1">
      <alignment horizontal="left"/>
      <protection locked="0"/>
    </xf>
    <xf numFmtId="0" fontId="14" fillId="0" borderId="0" xfId="0" applyFont="1" applyAlignment="1" applyProtection="1">
      <alignment horizontal="left"/>
      <protection locked="0"/>
    </xf>
    <xf numFmtId="44" fontId="11" fillId="0" borderId="0" xfId="286" applyNumberFormat="1" applyFont="1" applyFill="1" applyAlignment="1" applyProtection="1">
      <alignment horizontal="left"/>
      <protection locked="0"/>
    </xf>
    <xf numFmtId="0" fontId="12" fillId="0" borderId="0" xfId="0" applyFont="1" applyAlignment="1" applyProtection="1">
      <alignment horizontal="right"/>
      <protection locked="0"/>
    </xf>
    <xf numFmtId="0" fontId="11" fillId="0" borderId="0" xfId="0" applyFont="1" applyAlignment="1" applyProtection="1">
      <alignment horizontal="left" vertical="center"/>
      <protection locked="0"/>
    </xf>
    <xf numFmtId="44" fontId="11" fillId="0" borderId="0" xfId="286" applyNumberFormat="1" applyFont="1" applyAlignment="1" applyProtection="1">
      <alignment horizontal="left"/>
      <protection locked="0"/>
    </xf>
    <xf numFmtId="44" fontId="20" fillId="0" borderId="0" xfId="0" applyNumberFormat="1" applyFont="1" applyAlignment="1" applyProtection="1">
      <alignment horizontal="left"/>
      <protection locked="0"/>
    </xf>
    <xf numFmtId="0" fontId="12" fillId="10" borderId="12" xfId="0" applyFont="1" applyFill="1" applyBorder="1" applyAlignment="1" applyProtection="1">
      <alignment horizontal="right"/>
      <protection locked="0"/>
    </xf>
    <xf numFmtId="44" fontId="11" fillId="10" borderId="13" xfId="0" applyNumberFormat="1" applyFont="1" applyFill="1" applyBorder="1" applyProtection="1">
      <protection locked="0"/>
    </xf>
    <xf numFmtId="0" fontId="14" fillId="10" borderId="13" xfId="0" applyFont="1" applyFill="1" applyBorder="1" applyAlignment="1" applyProtection="1">
      <alignment horizontal="right"/>
      <protection locked="0"/>
    </xf>
    <xf numFmtId="44" fontId="11" fillId="10" borderId="14" xfId="0" applyNumberFormat="1" applyFont="1" applyFill="1" applyBorder="1" applyProtection="1">
      <protection locked="0"/>
    </xf>
    <xf numFmtId="0" fontId="10" fillId="0" borderId="4" xfId="0" applyFont="1" applyBorder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10" fillId="0" borderId="5" xfId="0" applyFont="1" applyBorder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10" fillId="0" borderId="0" xfId="0" applyFont="1" applyAlignment="1" applyProtection="1">
      <alignment horizontal="left"/>
      <protection locked="0"/>
    </xf>
    <xf numFmtId="0" fontId="10" fillId="0" borderId="1" xfId="0" applyFont="1" applyBorder="1" applyProtection="1">
      <protection locked="0"/>
    </xf>
    <xf numFmtId="0" fontId="10" fillId="0" borderId="2" xfId="0" applyFont="1" applyBorder="1" applyAlignment="1" applyProtection="1">
      <alignment horizontal="center"/>
      <protection locked="0"/>
    </xf>
    <xf numFmtId="44" fontId="20" fillId="0" borderId="3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6" fontId="11" fillId="0" borderId="0" xfId="285" applyNumberFormat="1" applyFont="1" applyFill="1" applyBorder="1" applyAlignment="1" applyProtection="1">
      <alignment horizontal="center"/>
      <protection locked="0"/>
    </xf>
    <xf numFmtId="44" fontId="11" fillId="0" borderId="0" xfId="0" applyNumberFormat="1" applyFont="1" applyAlignment="1" applyProtection="1">
      <alignment horizontal="center"/>
      <protection locked="0"/>
    </xf>
    <xf numFmtId="44" fontId="11" fillId="0" borderId="5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Protection="1">
      <protection locked="0"/>
    </xf>
    <xf numFmtId="44" fontId="11" fillId="0" borderId="0" xfId="0" applyNumberFormat="1" applyFont="1" applyProtection="1">
      <protection locked="0"/>
    </xf>
    <xf numFmtId="166" fontId="0" fillId="0" borderId="0" xfId="285" applyNumberFormat="1" applyFont="1" applyBorder="1" applyProtection="1">
      <protection locked="0"/>
    </xf>
    <xf numFmtId="44" fontId="0" fillId="2" borderId="5" xfId="0" applyNumberFormat="1" applyFill="1" applyBorder="1" applyProtection="1">
      <protection locked="0"/>
    </xf>
    <xf numFmtId="44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85" applyNumberFormat="1" applyFont="1" applyBorder="1" applyAlignment="1" applyProtection="1">
      <alignment horizontal="center"/>
      <protection locked="0"/>
    </xf>
    <xf numFmtId="0" fontId="11" fillId="0" borderId="6" xfId="0" applyFont="1" applyBorder="1" applyProtection="1">
      <protection locked="0"/>
    </xf>
    <xf numFmtId="44" fontId="11" fillId="0" borderId="7" xfId="0" applyNumberFormat="1" applyFont="1" applyBorder="1" applyProtection="1">
      <protection locked="0"/>
    </xf>
    <xf numFmtId="166" fontId="0" fillId="0" borderId="7" xfId="285" applyNumberFormat="1" applyFont="1" applyBorder="1" applyProtection="1">
      <protection locked="0"/>
    </xf>
    <xf numFmtId="44" fontId="0" fillId="2" borderId="8" xfId="0" applyNumberFormat="1" applyFill="1" applyBorder="1" applyProtection="1">
      <protection locked="0"/>
    </xf>
    <xf numFmtId="165" fontId="0" fillId="0" borderId="0" xfId="285" applyFont="1" applyFill="1" applyProtection="1">
      <protection locked="0"/>
    </xf>
    <xf numFmtId="44" fontId="0" fillId="0" borderId="0" xfId="286" applyNumberFormat="1" applyFont="1" applyProtection="1">
      <protection locked="0"/>
    </xf>
    <xf numFmtId="0" fontId="10" fillId="16" borderId="4" xfId="0" applyFont="1" applyFill="1" applyBorder="1" applyProtection="1">
      <protection locked="0"/>
    </xf>
    <xf numFmtId="166" fontId="10" fillId="16" borderId="0" xfId="285" applyNumberFormat="1" applyFont="1" applyFill="1" applyBorder="1" applyAlignment="1" applyProtection="1">
      <alignment horizontal="center"/>
      <protection locked="0"/>
    </xf>
    <xf numFmtId="0" fontId="10" fillId="16" borderId="0" xfId="0" applyFont="1" applyFill="1" applyProtection="1">
      <protection locked="0"/>
    </xf>
    <xf numFmtId="0" fontId="10" fillId="16" borderId="5" xfId="0" applyFont="1" applyFill="1" applyBorder="1" applyProtection="1">
      <protection locked="0"/>
    </xf>
    <xf numFmtId="166" fontId="14" fillId="2" borderId="15" xfId="285" applyNumberFormat="1" applyFont="1" applyFill="1" applyBorder="1" applyProtection="1">
      <protection locked="0"/>
    </xf>
    <xf numFmtId="0" fontId="14" fillId="2" borderId="15" xfId="0" applyFont="1" applyFill="1" applyBorder="1" applyProtection="1">
      <protection locked="0"/>
    </xf>
    <xf numFmtId="0" fontId="11" fillId="0" borderId="4" xfId="0" applyFont="1" applyBorder="1" applyAlignment="1" applyProtection="1">
      <alignment horizontal="left"/>
      <protection locked="0"/>
    </xf>
    <xf numFmtId="44" fontId="11" fillId="0" borderId="5" xfId="0" applyNumberFormat="1" applyFont="1" applyBorder="1" applyProtection="1">
      <protection locked="0"/>
    </xf>
    <xf numFmtId="169" fontId="11" fillId="0" borderId="0" xfId="0" applyNumberFormat="1" applyFont="1" applyProtection="1">
      <protection locked="0"/>
    </xf>
    <xf numFmtId="0" fontId="17" fillId="23" borderId="15" xfId="0" applyFont="1" applyFill="1" applyBorder="1" applyAlignment="1" applyProtection="1">
      <alignment horizontal="right"/>
      <protection locked="0"/>
    </xf>
    <xf numFmtId="44" fontId="0" fillId="0" borderId="15" xfId="0" applyNumberFormat="1" applyBorder="1" applyProtection="1">
      <protection locked="0"/>
    </xf>
    <xf numFmtId="0" fontId="11" fillId="0" borderId="15" xfId="0" applyFont="1" applyBorder="1" applyAlignment="1" applyProtection="1">
      <alignment horizontal="left"/>
      <protection locked="0"/>
    </xf>
    <xf numFmtId="0" fontId="11" fillId="0" borderId="1" xfId="0" applyFont="1" applyBorder="1" applyProtection="1">
      <protection locked="0"/>
    </xf>
    <xf numFmtId="44" fontId="11" fillId="0" borderId="2" xfId="0" applyNumberFormat="1" applyFont="1" applyBorder="1" applyProtection="1">
      <protection locked="0"/>
    </xf>
    <xf numFmtId="166" fontId="0" fillId="0" borderId="2" xfId="285" applyNumberFormat="1" applyFont="1" applyBorder="1" applyProtection="1">
      <protection locked="0"/>
    </xf>
    <xf numFmtId="44" fontId="0" fillId="2" borderId="3" xfId="0" applyNumberFormat="1" applyFill="1" applyBorder="1" applyProtection="1">
      <protection locked="0"/>
    </xf>
    <xf numFmtId="0" fontId="34" fillId="4" borderId="15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34" fillId="24" borderId="2" xfId="1183" applyFont="1" applyFill="1" applyBorder="1" applyProtection="1">
      <protection locked="0"/>
    </xf>
    <xf numFmtId="164" fontId="11" fillId="0" borderId="2" xfId="1183" applyFont="1" applyBorder="1" applyProtection="1">
      <protection locked="0"/>
    </xf>
    <xf numFmtId="165" fontId="0" fillId="2" borderId="3" xfId="1184" applyFont="1" applyFill="1" applyBorder="1" applyProtection="1">
      <protection locked="0"/>
    </xf>
    <xf numFmtId="0" fontId="19" fillId="0" borderId="0" xfId="0" applyFont="1" applyProtection="1">
      <protection locked="0"/>
    </xf>
    <xf numFmtId="0" fontId="51" fillId="25" borderId="0" xfId="0" applyFont="1" applyFill="1" applyAlignment="1" applyProtection="1">
      <alignment horizontal="center"/>
      <protection locked="0"/>
    </xf>
    <xf numFmtId="167" fontId="0" fillId="10" borderId="0" xfId="286" applyNumberFormat="1" applyFont="1" applyFill="1" applyProtection="1">
      <protection locked="0"/>
    </xf>
    <xf numFmtId="9" fontId="0" fillId="10" borderId="0" xfId="647" applyFont="1" applyFill="1" applyProtection="1">
      <protection locked="0"/>
    </xf>
    <xf numFmtId="170" fontId="0" fillId="4" borderId="0" xfId="647" applyNumberFormat="1" applyFont="1" applyFill="1" applyProtection="1">
      <protection locked="0"/>
    </xf>
    <xf numFmtId="0" fontId="0" fillId="10" borderId="0" xfId="0" applyFill="1" applyProtection="1">
      <protection locked="0"/>
    </xf>
    <xf numFmtId="171" fontId="0" fillId="10" borderId="0" xfId="0" applyNumberFormat="1" applyFill="1" applyProtection="1">
      <protection locked="0"/>
    </xf>
    <xf numFmtId="167" fontId="0" fillId="10" borderId="0" xfId="0" applyNumberFormat="1" applyFill="1" applyProtection="1">
      <protection locked="0"/>
    </xf>
    <xf numFmtId="0" fontId="0" fillId="0" borderId="6" xfId="0" applyBorder="1" applyProtection="1">
      <protection locked="0"/>
    </xf>
    <xf numFmtId="164" fontId="34" fillId="24" borderId="7" xfId="1183" applyFont="1" applyFill="1" applyBorder="1" applyProtection="1">
      <protection locked="0"/>
    </xf>
    <xf numFmtId="164" fontId="11" fillId="0" borderId="7" xfId="1183" applyFont="1" applyBorder="1" applyProtection="1">
      <protection locked="0"/>
    </xf>
    <xf numFmtId="165" fontId="0" fillId="2" borderId="8" xfId="1184" applyFont="1" applyFill="1" applyBorder="1" applyProtection="1">
      <protection locked="0"/>
    </xf>
    <xf numFmtId="0" fontId="34" fillId="0" borderId="0" xfId="0" applyFont="1" applyAlignment="1" applyProtection="1">
      <alignment horizontal="right"/>
      <protection locked="0"/>
    </xf>
    <xf numFmtId="49" fontId="0" fillId="0" borderId="15" xfId="0" applyNumberFormat="1" applyBorder="1" applyProtection="1">
      <protection locked="0"/>
    </xf>
    <xf numFmtId="166" fontId="0" fillId="0" borderId="15" xfId="285" applyNumberFormat="1" applyFont="1" applyBorder="1" applyProtection="1">
      <protection locked="0"/>
    </xf>
    <xf numFmtId="166" fontId="0" fillId="0" borderId="0" xfId="285" applyNumberFormat="1" applyFont="1" applyProtection="1">
      <protection locked="0"/>
    </xf>
    <xf numFmtId="166" fontId="11" fillId="16" borderId="0" xfId="285" applyNumberFormat="1" applyFont="1" applyFill="1" applyBorder="1" applyAlignment="1" applyProtection="1">
      <alignment horizontal="center"/>
      <protection locked="0"/>
    </xf>
    <xf numFmtId="44" fontId="11" fillId="16" borderId="0" xfId="0" applyNumberFormat="1" applyFont="1" applyFill="1" applyProtection="1">
      <protection locked="0"/>
    </xf>
    <xf numFmtId="44" fontId="11" fillId="16" borderId="5" xfId="0" applyNumberFormat="1" applyFont="1" applyFill="1" applyBorder="1" applyProtection="1">
      <protection locked="0"/>
    </xf>
    <xf numFmtId="166" fontId="0" fillId="0" borderId="15" xfId="285" applyNumberFormat="1" applyFont="1" applyFill="1" applyBorder="1" applyProtection="1">
      <protection locked="0"/>
    </xf>
    <xf numFmtId="166" fontId="11" fillId="0" borderId="15" xfId="285" applyNumberFormat="1" applyFont="1" applyBorder="1" applyProtection="1">
      <protection locked="0"/>
    </xf>
    <xf numFmtId="0" fontId="10" fillId="16" borderId="4" xfId="0" applyFont="1" applyFill="1" applyBorder="1" applyAlignment="1" applyProtection="1">
      <alignment horizontal="left"/>
      <protection locked="0"/>
    </xf>
    <xf numFmtId="166" fontId="19" fillId="0" borderId="15" xfId="285" applyNumberFormat="1" applyFont="1" applyBorder="1" applyProtection="1">
      <protection locked="0"/>
    </xf>
    <xf numFmtId="0" fontId="34" fillId="0" borderId="15" xfId="0" applyFont="1" applyBorder="1" applyProtection="1">
      <protection locked="0"/>
    </xf>
    <xf numFmtId="0" fontId="0" fillId="2" borderId="15" xfId="0" applyFill="1" applyBorder="1" applyProtection="1">
      <protection locked="0"/>
    </xf>
    <xf numFmtId="0" fontId="0" fillId="0" borderId="15" xfId="0" applyBorder="1" applyProtection="1">
      <protection locked="0"/>
    </xf>
    <xf numFmtId="0" fontId="11" fillId="0" borderId="18" xfId="0" applyFont="1" applyBorder="1" applyAlignment="1" applyProtection="1">
      <alignment horizontal="left"/>
      <protection locked="0"/>
    </xf>
    <xf numFmtId="166" fontId="11" fillId="0" borderId="17" xfId="285" applyNumberFormat="1" applyFont="1" applyBorder="1" applyAlignment="1" applyProtection="1">
      <alignment horizontal="center"/>
      <protection locked="0"/>
    </xf>
    <xf numFmtId="44" fontId="11" fillId="0" borderId="17" xfId="0" applyNumberFormat="1" applyFont="1" applyBorder="1" applyProtection="1">
      <protection locked="0"/>
    </xf>
    <xf numFmtId="44" fontId="11" fillId="0" borderId="16" xfId="0" applyNumberFormat="1" applyFont="1" applyBorder="1" applyProtection="1">
      <protection locked="0"/>
    </xf>
    <xf numFmtId="44" fontId="19" fillId="0" borderId="3" xfId="0" applyNumberFormat="1" applyFont="1" applyBorder="1" applyProtection="1">
      <protection locked="0"/>
    </xf>
    <xf numFmtId="0" fontId="19" fillId="0" borderId="4" xfId="0" applyFont="1" applyBorder="1" applyProtection="1">
      <protection locked="0"/>
    </xf>
    <xf numFmtId="9" fontId="19" fillId="23" borderId="0" xfId="0" applyNumberFormat="1" applyFont="1" applyFill="1" applyAlignment="1" applyProtection="1">
      <alignment horizontal="center"/>
      <protection locked="0"/>
    </xf>
    <xf numFmtId="44" fontId="19" fillId="0" borderId="0" xfId="0" applyNumberFormat="1" applyFont="1" applyProtection="1">
      <protection locked="0"/>
    </xf>
    <xf numFmtId="44" fontId="19" fillId="0" borderId="5" xfId="0" applyNumberFormat="1" applyFont="1" applyBorder="1" applyProtection="1">
      <protection locked="0"/>
    </xf>
    <xf numFmtId="0" fontId="19" fillId="24" borderId="0" xfId="0" applyFont="1" applyFill="1" applyProtection="1">
      <protection locked="0"/>
    </xf>
    <xf numFmtId="0" fontId="0" fillId="0" borderId="15" xfId="0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0" fontId="25" fillId="0" borderId="0" xfId="0" quotePrefix="1" applyFont="1" applyProtection="1">
      <protection locked="0"/>
    </xf>
    <xf numFmtId="0" fontId="19" fillId="32" borderId="9" xfId="0" applyFont="1" applyFill="1" applyBorder="1" applyProtection="1">
      <protection locked="0"/>
    </xf>
    <xf numFmtId="9" fontId="19" fillId="32" borderId="10" xfId="0" applyNumberFormat="1" applyFont="1" applyFill="1" applyBorder="1" applyAlignment="1" applyProtection="1">
      <alignment horizontal="center"/>
      <protection locked="0"/>
    </xf>
    <xf numFmtId="44" fontId="19" fillId="0" borderId="10" xfId="0" applyNumberFormat="1" applyFont="1" applyBorder="1" applyProtection="1">
      <protection locked="0"/>
    </xf>
    <xf numFmtId="44" fontId="19" fillId="0" borderId="11" xfId="0" applyNumberFormat="1" applyFont="1" applyBorder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0" fontId="14" fillId="10" borderId="15" xfId="0" applyFont="1" applyFill="1" applyBorder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0" fontId="14" fillId="2" borderId="6" xfId="0" applyFont="1" applyFill="1" applyBorder="1" applyProtection="1">
      <protection locked="0"/>
    </xf>
    <xf numFmtId="0" fontId="15" fillId="2" borderId="7" xfId="0" applyFont="1" applyFill="1" applyBorder="1" applyAlignment="1" applyProtection="1">
      <alignment horizontal="center"/>
      <protection locked="0"/>
    </xf>
    <xf numFmtId="44" fontId="15" fillId="2" borderId="7" xfId="0" applyNumberFormat="1" applyFont="1" applyFill="1" applyBorder="1" applyProtection="1">
      <protection locked="0"/>
    </xf>
    <xf numFmtId="0" fontId="11" fillId="2" borderId="9" xfId="0" applyFont="1" applyFill="1" applyBorder="1" applyProtection="1">
      <protection locked="0"/>
    </xf>
    <xf numFmtId="0" fontId="11" fillId="2" borderId="11" xfId="0" applyFont="1" applyFill="1" applyBorder="1" applyProtection="1">
      <protection locked="0"/>
    </xf>
    <xf numFmtId="44" fontId="14" fillId="10" borderId="15" xfId="0" applyNumberFormat="1" applyFont="1" applyFill="1" applyBorder="1" applyProtection="1">
      <protection locked="0"/>
    </xf>
    <xf numFmtId="0" fontId="19" fillId="0" borderId="0" xfId="0" applyFont="1" applyAlignment="1" applyProtection="1">
      <alignment horizontal="right"/>
      <protection locked="0"/>
    </xf>
    <xf numFmtId="166" fontId="19" fillId="0" borderId="0" xfId="0" applyNumberFormat="1" applyFont="1" applyAlignment="1" applyProtection="1">
      <alignment horizontal="center"/>
      <protection locked="0"/>
    </xf>
    <xf numFmtId="9" fontId="11" fillId="0" borderId="0" xfId="647" applyFont="1" applyFill="1" applyBorder="1" applyAlignment="1" applyProtection="1">
      <alignment horizontal="right"/>
      <protection locked="0"/>
    </xf>
    <xf numFmtId="0" fontId="20" fillId="23" borderId="0" xfId="0" quotePrefix="1" applyFont="1" applyFill="1" applyProtection="1">
      <protection locked="0"/>
    </xf>
    <xf numFmtId="0" fontId="0" fillId="23" borderId="0" xfId="0" applyFill="1" applyProtection="1">
      <protection locked="0"/>
    </xf>
    <xf numFmtId="0" fontId="12" fillId="0" borderId="1" xfId="0" applyFont="1" applyBorder="1" applyAlignment="1" applyProtection="1">
      <alignment horizontal="left"/>
      <protection locked="0"/>
    </xf>
    <xf numFmtId="166" fontId="14" fillId="0" borderId="2" xfId="285" applyNumberFormat="1" applyFont="1" applyBorder="1" applyAlignment="1" applyProtection="1">
      <protection locked="0"/>
    </xf>
    <xf numFmtId="166" fontId="14" fillId="0" borderId="3" xfId="285" applyNumberFormat="1" applyFont="1" applyBorder="1" applyAlignment="1" applyProtection="1">
      <protection locked="0"/>
    </xf>
    <xf numFmtId="0" fontId="51" fillId="0" borderId="15" xfId="0" applyFont="1" applyBorder="1" applyAlignment="1" applyProtection="1">
      <alignment horizontal="center"/>
      <protection locked="0"/>
    </xf>
    <xf numFmtId="9" fontId="14" fillId="8" borderId="15" xfId="647" applyFont="1" applyFill="1" applyBorder="1" applyProtection="1">
      <protection locked="0"/>
    </xf>
    <xf numFmtId="0" fontId="14" fillId="8" borderId="9" xfId="0" applyFont="1" applyFill="1" applyBorder="1" applyAlignment="1" applyProtection="1">
      <alignment horizontal="left"/>
      <protection locked="0"/>
    </xf>
    <xf numFmtId="9" fontId="14" fillId="8" borderId="11" xfId="647" applyFont="1" applyFill="1" applyBorder="1" applyProtection="1">
      <protection locked="0"/>
    </xf>
    <xf numFmtId="0" fontId="17" fillId="0" borderId="9" xfId="0" applyFont="1" applyBorder="1" applyAlignment="1" applyProtection="1">
      <alignment horizontal="center"/>
      <protection locked="0"/>
    </xf>
    <xf numFmtId="0" fontId="17" fillId="0" borderId="10" xfId="0" applyFont="1" applyBorder="1" applyAlignment="1" applyProtection="1">
      <alignment horizontal="center"/>
      <protection locked="0"/>
    </xf>
    <xf numFmtId="0" fontId="17" fillId="0" borderId="11" xfId="0" applyFont="1" applyBorder="1" applyAlignment="1" applyProtection="1">
      <alignment horizontal="center"/>
      <protection locked="0"/>
    </xf>
    <xf numFmtId="0" fontId="25" fillId="0" borderId="4" xfId="0" quotePrefix="1" applyFont="1" applyBorder="1" applyAlignment="1" applyProtection="1">
      <alignment horizontal="center"/>
      <protection locked="0"/>
    </xf>
    <xf numFmtId="0" fontId="14" fillId="5" borderId="1" xfId="0" applyFont="1" applyFill="1" applyBorder="1" applyAlignment="1" applyProtection="1">
      <alignment horizontal="center"/>
      <protection locked="0"/>
    </xf>
    <xf numFmtId="0" fontId="11" fillId="5" borderId="2" xfId="0" applyFont="1" applyFill="1" applyBorder="1" applyProtection="1">
      <protection locked="0"/>
    </xf>
    <xf numFmtId="0" fontId="14" fillId="5" borderId="3" xfId="0" applyFont="1" applyFill="1" applyBorder="1" applyProtection="1">
      <protection locked="0"/>
    </xf>
    <xf numFmtId="0" fontId="38" fillId="0" borderId="0" xfId="0" applyFont="1" applyProtection="1">
      <protection locked="0"/>
    </xf>
    <xf numFmtId="0" fontId="10" fillId="9" borderId="15" xfId="0" applyFont="1" applyFill="1" applyBorder="1" applyAlignment="1" applyProtection="1">
      <alignment horizontal="center"/>
      <protection locked="0"/>
    </xf>
    <xf numFmtId="0" fontId="10" fillId="9" borderId="4" xfId="0" applyFont="1" applyFill="1" applyBorder="1" applyProtection="1">
      <protection locked="0"/>
    </xf>
    <xf numFmtId="0" fontId="10" fillId="9" borderId="5" xfId="0" applyFont="1" applyFill="1" applyBorder="1" applyAlignment="1" applyProtection="1">
      <alignment horizontal="center"/>
      <protection locked="0"/>
    </xf>
    <xf numFmtId="10" fontId="19" fillId="0" borderId="0" xfId="647" applyNumberFormat="1" applyFont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right"/>
      <protection locked="0"/>
    </xf>
    <xf numFmtId="176" fontId="15" fillId="0" borderId="0" xfId="0" applyNumberFormat="1" applyFont="1" applyProtection="1">
      <protection locked="0"/>
    </xf>
    <xf numFmtId="42" fontId="0" fillId="0" borderId="5" xfId="0" applyNumberFormat="1" applyBorder="1" applyProtection="1">
      <protection locked="0"/>
    </xf>
    <xf numFmtId="4" fontId="14" fillId="9" borderId="15" xfId="0" applyNumberFormat="1" applyFont="1" applyFill="1" applyBorder="1" applyAlignment="1" applyProtection="1">
      <alignment horizontal="center"/>
      <protection locked="0"/>
    </xf>
    <xf numFmtId="0" fontId="11" fillId="9" borderId="9" xfId="0" applyFont="1" applyFill="1" applyBorder="1" applyProtection="1">
      <protection locked="0"/>
    </xf>
    <xf numFmtId="3" fontId="11" fillId="9" borderId="11" xfId="0" applyNumberFormat="1" applyFont="1" applyFill="1" applyBorder="1" applyAlignment="1" applyProtection="1">
      <alignment horizontal="center"/>
      <protection locked="0"/>
    </xf>
    <xf numFmtId="166" fontId="0" fillId="0" borderId="0" xfId="0" applyNumberFormat="1" applyProtection="1">
      <protection locked="0"/>
    </xf>
    <xf numFmtId="176" fontId="11" fillId="0" borderId="0" xfId="0" applyNumberFormat="1" applyFont="1" applyProtection="1">
      <protection locked="0"/>
    </xf>
    <xf numFmtId="10" fontId="34" fillId="0" borderId="0" xfId="647" applyNumberFormat="1" applyFont="1" applyAlignment="1" applyProtection="1">
      <alignment horizontal="center"/>
      <protection locked="0"/>
    </xf>
    <xf numFmtId="166" fontId="0" fillId="0" borderId="6" xfId="0" applyNumberFormat="1" applyBorder="1" applyProtection="1">
      <protection locked="0"/>
    </xf>
    <xf numFmtId="166" fontId="0" fillId="0" borderId="7" xfId="0" applyNumberFormat="1" applyBorder="1" applyProtection="1">
      <protection locked="0"/>
    </xf>
    <xf numFmtId="0" fontId="14" fillId="5" borderId="4" xfId="0" applyFont="1" applyFill="1" applyBorder="1" applyAlignment="1" applyProtection="1">
      <alignment horizontal="center"/>
      <protection locked="0"/>
    </xf>
    <xf numFmtId="0" fontId="11" fillId="5" borderId="0" xfId="0" applyFont="1" applyFill="1" applyProtection="1">
      <protection locked="0"/>
    </xf>
    <xf numFmtId="0" fontId="11" fillId="5" borderId="5" xfId="0" applyFont="1" applyFill="1" applyBorder="1" applyProtection="1">
      <protection locked="0"/>
    </xf>
    <xf numFmtId="0" fontId="32" fillId="0" borderId="0" xfId="0" applyFont="1" applyProtection="1">
      <protection locked="0"/>
    </xf>
    <xf numFmtId="166" fontId="49" fillId="0" borderId="0" xfId="285" applyNumberFormat="1" applyFont="1" applyProtection="1">
      <protection locked="0"/>
    </xf>
    <xf numFmtId="0" fontId="11" fillId="0" borderId="6" xfId="0" applyFont="1" applyBorder="1" applyAlignment="1" applyProtection="1">
      <alignment horizontal="right"/>
      <protection locked="0"/>
    </xf>
    <xf numFmtId="176" fontId="15" fillId="0" borderId="7" xfId="286" applyNumberFormat="1" applyFont="1" applyBorder="1" applyProtection="1">
      <protection locked="0"/>
    </xf>
    <xf numFmtId="42" fontId="0" fillId="0" borderId="8" xfId="0" applyNumberFormat="1" applyBorder="1" applyProtection="1">
      <protection locked="0"/>
    </xf>
    <xf numFmtId="0" fontId="35" fillId="0" borderId="0" xfId="0" applyFont="1" applyProtection="1">
      <protection locked="0"/>
    </xf>
    <xf numFmtId="0" fontId="14" fillId="0" borderId="15" xfId="0" applyFont="1" applyBorder="1" applyAlignment="1" applyProtection="1">
      <alignment horizontal="center"/>
      <protection locked="0"/>
    </xf>
    <xf numFmtId="2" fontId="11" fillId="0" borderId="10" xfId="0" applyNumberFormat="1" applyFont="1" applyBorder="1" applyProtection="1">
      <protection locked="0"/>
    </xf>
    <xf numFmtId="3" fontId="11" fillId="0" borderId="9" xfId="0" applyNumberFormat="1" applyFont="1" applyBorder="1" applyAlignment="1" applyProtection="1">
      <alignment horizontal="left"/>
      <protection locked="0"/>
    </xf>
    <xf numFmtId="44" fontId="11" fillId="0" borderId="11" xfId="0" applyNumberFormat="1" applyFont="1" applyBorder="1" applyProtection="1">
      <protection locked="0"/>
    </xf>
    <xf numFmtId="42" fontId="0" fillId="0" borderId="0" xfId="0" applyNumberFormat="1" applyProtection="1">
      <protection locked="0"/>
    </xf>
    <xf numFmtId="0" fontId="14" fillId="2" borderId="1" xfId="0" applyFont="1" applyFill="1" applyBorder="1" applyAlignment="1" applyProtection="1">
      <alignment horizontal="right"/>
      <protection locked="0"/>
    </xf>
    <xf numFmtId="0" fontId="11" fillId="2" borderId="2" xfId="0" applyFont="1" applyFill="1" applyBorder="1" applyProtection="1">
      <protection locked="0"/>
    </xf>
    <xf numFmtId="0" fontId="11" fillId="2" borderId="10" xfId="0" applyFont="1" applyFill="1" applyBorder="1" applyProtection="1">
      <protection locked="0"/>
    </xf>
    <xf numFmtId="164" fontId="17" fillId="2" borderId="3" xfId="286" applyFont="1" applyFill="1" applyBorder="1" applyProtection="1">
      <protection locked="0"/>
    </xf>
    <xf numFmtId="2" fontId="14" fillId="0" borderId="10" xfId="0" applyNumberFormat="1" applyFont="1" applyBorder="1" applyProtection="1">
      <protection locked="0"/>
    </xf>
    <xf numFmtId="3" fontId="14" fillId="0" borderId="9" xfId="0" applyNumberFormat="1" applyFont="1" applyBorder="1" applyAlignment="1" applyProtection="1">
      <alignment horizontal="left"/>
      <protection locked="0"/>
    </xf>
    <xf numFmtId="42" fontId="51" fillId="0" borderId="0" xfId="0" applyNumberFormat="1" applyFont="1" applyAlignment="1" applyProtection="1">
      <alignment horizontal="center"/>
      <protection locked="0"/>
    </xf>
    <xf numFmtId="0" fontId="14" fillId="2" borderId="9" xfId="0" applyFont="1" applyFill="1" applyBorder="1" applyAlignment="1" applyProtection="1">
      <alignment horizontal="right"/>
      <protection locked="0"/>
    </xf>
    <xf numFmtId="9" fontId="11" fillId="2" borderId="10" xfId="647" applyFont="1" applyFill="1" applyBorder="1" applyProtection="1">
      <protection locked="0"/>
    </xf>
    <xf numFmtId="164" fontId="17" fillId="2" borderId="11" xfId="286" applyFont="1" applyFill="1" applyBorder="1" applyProtection="1">
      <protection locked="0"/>
    </xf>
    <xf numFmtId="3" fontId="11" fillId="0" borderId="0" xfId="0" applyNumberFormat="1" applyFont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25" fillId="2" borderId="0" xfId="0" applyFont="1" applyFill="1" applyAlignment="1" applyProtection="1">
      <alignment horizontal="center"/>
      <protection locked="0"/>
    </xf>
    <xf numFmtId="164" fontId="34" fillId="0" borderId="0" xfId="286" applyFont="1" applyProtection="1">
      <protection locked="0"/>
    </xf>
    <xf numFmtId="0" fontId="10" fillId="0" borderId="2" xfId="0" applyFont="1" applyBorder="1" applyProtection="1">
      <protection locked="0"/>
    </xf>
    <xf numFmtId="44" fontId="10" fillId="0" borderId="3" xfId="0" applyNumberFormat="1" applyFont="1" applyBorder="1" applyProtection="1">
      <protection locked="0"/>
    </xf>
    <xf numFmtId="43" fontId="11" fillId="0" borderId="0" xfId="0" applyNumberFormat="1" applyFont="1" applyProtection="1">
      <protection locked="0"/>
    </xf>
    <xf numFmtId="166" fontId="11" fillId="0" borderId="0" xfId="285" applyNumberFormat="1" applyFont="1" applyFill="1" applyBorder="1" applyProtection="1">
      <protection locked="0"/>
    </xf>
    <xf numFmtId="3" fontId="11" fillId="0" borderId="0" xfId="0" applyNumberFormat="1" applyFont="1" applyAlignment="1" applyProtection="1">
      <alignment horizontal="left"/>
      <protection locked="0"/>
    </xf>
    <xf numFmtId="164" fontId="11" fillId="0" borderId="7" xfId="286" applyFont="1" applyFill="1" applyBorder="1" applyProtection="1">
      <protection locked="0"/>
    </xf>
    <xf numFmtId="0" fontId="0" fillId="0" borderId="7" xfId="0" applyBorder="1" applyProtection="1">
      <protection locked="0"/>
    </xf>
    <xf numFmtId="164" fontId="11" fillId="2" borderId="0" xfId="286" applyFont="1" applyFill="1" applyBorder="1" applyProtection="1">
      <protection locked="0"/>
    </xf>
    <xf numFmtId="0" fontId="0" fillId="2" borderId="0" xfId="0" applyFill="1" applyProtection="1">
      <protection locked="0"/>
    </xf>
    <xf numFmtId="0" fontId="37" fillId="0" borderId="0" xfId="0" applyFont="1" applyProtection="1">
      <protection locked="0"/>
    </xf>
    <xf numFmtId="164" fontId="34" fillId="2" borderId="0" xfId="286" applyFont="1" applyFill="1" applyProtection="1">
      <protection locked="0"/>
    </xf>
    <xf numFmtId="0" fontId="14" fillId="10" borderId="6" xfId="0" applyFont="1" applyFill="1" applyBorder="1" applyProtection="1">
      <protection locked="0"/>
    </xf>
    <xf numFmtId="0" fontId="15" fillId="10" borderId="7" xfId="0" applyFont="1" applyFill="1" applyBorder="1" applyAlignment="1" applyProtection="1">
      <alignment horizontal="center"/>
      <protection locked="0"/>
    </xf>
    <xf numFmtId="44" fontId="15" fillId="10" borderId="7" xfId="0" applyNumberFormat="1" applyFont="1" applyFill="1" applyBorder="1" applyProtection="1">
      <protection locked="0"/>
    </xf>
    <xf numFmtId="44" fontId="15" fillId="10" borderId="8" xfId="0" applyNumberFormat="1" applyFont="1" applyFill="1" applyBorder="1" applyProtection="1">
      <protection locked="0"/>
    </xf>
    <xf numFmtId="0" fontId="19" fillId="0" borderId="0" xfId="0" applyFont="1" applyAlignment="1" applyProtection="1">
      <alignment horizontal="center"/>
      <protection locked="0"/>
    </xf>
    <xf numFmtId="164" fontId="34" fillId="2" borderId="7" xfId="286" applyFont="1" applyFill="1" applyBorder="1" applyProtection="1">
      <protection locked="0"/>
    </xf>
    <xf numFmtId="0" fontId="21" fillId="0" borderId="0" xfId="0" applyFont="1" applyProtection="1">
      <protection locked="0"/>
    </xf>
    <xf numFmtId="0" fontId="14" fillId="11" borderId="9" xfId="0" applyFont="1" applyFill="1" applyBorder="1" applyProtection="1">
      <protection locked="0"/>
    </xf>
    <xf numFmtId="0" fontId="11" fillId="11" borderId="10" xfId="0" applyFont="1" applyFill="1" applyBorder="1" applyAlignment="1" applyProtection="1">
      <alignment horizontal="center"/>
      <protection locked="0"/>
    </xf>
    <xf numFmtId="44" fontId="19" fillId="11" borderId="10" xfId="0" applyNumberFormat="1" applyFont="1" applyFill="1" applyBorder="1" applyAlignment="1" applyProtection="1">
      <alignment horizontal="right"/>
      <protection locked="0"/>
    </xf>
    <xf numFmtId="44" fontId="15" fillId="11" borderId="11" xfId="0" applyNumberFormat="1" applyFont="1" applyFill="1" applyBorder="1" applyProtection="1">
      <protection locked="0"/>
    </xf>
    <xf numFmtId="164" fontId="11" fillId="0" borderId="9" xfId="286" applyFont="1" applyBorder="1" applyProtection="1">
      <protection locked="0"/>
    </xf>
    <xf numFmtId="0" fontId="11" fillId="0" borderId="11" xfId="0" applyFont="1" applyBorder="1" applyProtection="1">
      <protection locked="0"/>
    </xf>
    <xf numFmtId="168" fontId="11" fillId="0" borderId="0" xfId="0" applyNumberFormat="1" applyFont="1" applyAlignment="1" applyProtection="1">
      <alignment horizontal="center"/>
      <protection locked="0"/>
    </xf>
    <xf numFmtId="44" fontId="10" fillId="0" borderId="0" xfId="0" applyNumberFormat="1" applyFont="1" applyProtection="1">
      <protection locked="0"/>
    </xf>
    <xf numFmtId="0" fontId="8" fillId="0" borderId="4" xfId="645" applyFill="1" applyBorder="1" applyProtection="1">
      <protection locked="0"/>
    </xf>
    <xf numFmtId="172" fontId="11" fillId="0" borderId="0" xfId="0" applyNumberFormat="1" applyFont="1" applyAlignment="1" applyProtection="1">
      <alignment horizontal="center"/>
      <protection locked="0"/>
    </xf>
    <xf numFmtId="10" fontId="11" fillId="0" borderId="7" xfId="0" applyNumberFormat="1" applyFont="1" applyBorder="1" applyAlignment="1" applyProtection="1">
      <alignment horizontal="center"/>
      <protection locked="0"/>
    </xf>
    <xf numFmtId="44" fontId="0" fillId="0" borderId="8" xfId="0" applyNumberFormat="1" applyBorder="1" applyProtection="1">
      <protection locked="0"/>
    </xf>
    <xf numFmtId="166" fontId="25" fillId="0" borderId="0" xfId="0" applyNumberFormat="1" applyFont="1" applyProtection="1">
      <protection locked="0"/>
    </xf>
    <xf numFmtId="0" fontId="25" fillId="0" borderId="0" xfId="0" applyFont="1" applyProtection="1">
      <protection locked="0"/>
    </xf>
    <xf numFmtId="44" fontId="11" fillId="33" borderId="15" xfId="0" applyNumberFormat="1" applyFont="1" applyFill="1" applyBorder="1" applyProtection="1">
      <protection locked="0"/>
    </xf>
    <xf numFmtId="0" fontId="19" fillId="33" borderId="9" xfId="0" applyFont="1" applyFill="1" applyBorder="1" applyProtection="1">
      <protection locked="0"/>
    </xf>
    <xf numFmtId="0" fontId="0" fillId="33" borderId="11" xfId="0" applyFill="1" applyBorder="1" applyProtection="1">
      <protection locked="0"/>
    </xf>
    <xf numFmtId="44" fontId="34" fillId="0" borderId="15" xfId="286" applyNumberFormat="1" applyFont="1" applyBorder="1" applyProtection="1">
      <protection locked="0"/>
    </xf>
    <xf numFmtId="165" fontId="11" fillId="9" borderId="15" xfId="285" applyFont="1" applyFill="1" applyBorder="1" applyProtection="1">
      <protection locked="0"/>
    </xf>
    <xf numFmtId="0" fontId="19" fillId="9" borderId="15" xfId="0" applyFont="1" applyFill="1" applyBorder="1" applyProtection="1">
      <protection locked="0"/>
    </xf>
    <xf numFmtId="44" fontId="10" fillId="0" borderId="2" xfId="0" applyNumberFormat="1" applyFont="1" applyBorder="1" applyProtection="1">
      <protection locked="0"/>
    </xf>
    <xf numFmtId="0" fontId="11" fillId="7" borderId="4" xfId="0" applyFont="1" applyFill="1" applyBorder="1" applyProtection="1">
      <protection locked="0"/>
    </xf>
    <xf numFmtId="170" fontId="11" fillId="0" borderId="0" xfId="0" applyNumberFormat="1" applyFont="1" applyAlignment="1" applyProtection="1">
      <alignment horizontal="center"/>
      <protection locked="0"/>
    </xf>
    <xf numFmtId="10" fontId="11" fillId="0" borderId="0" xfId="0" applyNumberFormat="1" applyFont="1" applyAlignment="1" applyProtection="1">
      <alignment horizontal="center"/>
      <protection locked="0"/>
    </xf>
    <xf numFmtId="0" fontId="11" fillId="7" borderId="6" xfId="0" applyFont="1" applyFill="1" applyBorder="1" applyProtection="1">
      <protection locked="0"/>
    </xf>
    <xf numFmtId="9" fontId="11" fillId="0" borderId="0" xfId="0" applyNumberFormat="1" applyFont="1" applyProtection="1">
      <protection locked="0"/>
    </xf>
    <xf numFmtId="0" fontId="17" fillId="0" borderId="15" xfId="0" applyFont="1" applyBorder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58" fillId="0" borderId="15" xfId="0" applyFont="1" applyBorder="1" applyAlignment="1" applyProtection="1">
      <alignment horizontal="center"/>
      <protection locked="0"/>
    </xf>
    <xf numFmtId="0" fontId="33" fillId="0" borderId="0" xfId="0" applyFont="1" applyProtection="1">
      <protection locked="0"/>
    </xf>
    <xf numFmtId="166" fontId="14" fillId="0" borderId="0" xfId="285" applyNumberFormat="1" applyFont="1" applyProtection="1">
      <protection locked="0"/>
    </xf>
    <xf numFmtId="44" fontId="0" fillId="0" borderId="0" xfId="0" applyNumberFormat="1" applyProtection="1">
      <protection locked="0"/>
    </xf>
    <xf numFmtId="9" fontId="0" fillId="0" borderId="15" xfId="647" applyFont="1" applyBorder="1" applyProtection="1">
      <protection locked="0"/>
    </xf>
    <xf numFmtId="0" fontId="14" fillId="11" borderId="12" xfId="0" applyFont="1" applyFill="1" applyBorder="1" applyProtection="1">
      <protection locked="0"/>
    </xf>
    <xf numFmtId="0" fontId="11" fillId="11" borderId="13" xfId="0" applyFont="1" applyFill="1" applyBorder="1" applyProtection="1">
      <protection locked="0"/>
    </xf>
    <xf numFmtId="44" fontId="11" fillId="11" borderId="13" xfId="0" applyNumberFormat="1" applyFont="1" applyFill="1" applyBorder="1" applyProtection="1">
      <protection locked="0"/>
    </xf>
    <xf numFmtId="164" fontId="11" fillId="11" borderId="14" xfId="286" applyFont="1" applyFill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1" fillId="0" borderId="0" xfId="0" applyFont="1" applyAlignment="1" applyProtection="1">
      <alignment horizontal="right"/>
      <protection locked="0"/>
    </xf>
    <xf numFmtId="166" fontId="11" fillId="0" borderId="0" xfId="285" applyNumberFormat="1" applyFont="1" applyProtection="1">
      <protection locked="0"/>
    </xf>
    <xf numFmtId="44" fontId="11" fillId="0" borderId="0" xfId="286" applyNumberFormat="1" applyFont="1" applyProtection="1">
      <protection locked="0"/>
    </xf>
    <xf numFmtId="0" fontId="20" fillId="0" borderId="15" xfId="0" applyFont="1" applyBorder="1" applyAlignment="1" applyProtection="1">
      <alignment horizontal="center"/>
      <protection locked="0"/>
    </xf>
    <xf numFmtId="167" fontId="0" fillId="0" borderId="0" xfId="286" applyNumberFormat="1" applyFont="1" applyFill="1" applyProtection="1">
      <protection locked="0"/>
    </xf>
    <xf numFmtId="0" fontId="0" fillId="25" borderId="0" xfId="0" applyFill="1" applyProtection="1">
      <protection locked="0"/>
    </xf>
    <xf numFmtId="0" fontId="0" fillId="26" borderId="0" xfId="0" applyFill="1" applyProtection="1">
      <protection locked="0"/>
    </xf>
    <xf numFmtId="170" fontId="0" fillId="0" borderId="0" xfId="647" applyNumberFormat="1" applyFont="1" applyFill="1" applyProtection="1">
      <protection locked="0"/>
    </xf>
    <xf numFmtId="0" fontId="0" fillId="27" borderId="0" xfId="0" applyFill="1" applyProtection="1">
      <protection locked="0"/>
    </xf>
    <xf numFmtId="9" fontId="0" fillId="0" borderId="0" xfId="0" applyNumberFormat="1" applyProtection="1">
      <protection locked="0"/>
    </xf>
    <xf numFmtId="0" fontId="0" fillId="28" borderId="0" xfId="0" applyFill="1" applyProtection="1">
      <protection locked="0"/>
    </xf>
    <xf numFmtId="0" fontId="0" fillId="24" borderId="0" xfId="0" applyFill="1" applyProtection="1">
      <protection locked="0"/>
    </xf>
    <xf numFmtId="0" fontId="0" fillId="29" borderId="0" xfId="0" applyFill="1" applyProtection="1">
      <protection locked="0"/>
    </xf>
    <xf numFmtId="0" fontId="0" fillId="34" borderId="0" xfId="0" applyFill="1" applyProtection="1">
      <protection locked="0"/>
    </xf>
    <xf numFmtId="1" fontId="0" fillId="0" borderId="0" xfId="0" applyNumberFormat="1" applyProtection="1">
      <protection locked="0"/>
    </xf>
    <xf numFmtId="0" fontId="0" fillId="40" borderId="0" xfId="0" applyFill="1" applyProtection="1">
      <protection locked="0"/>
    </xf>
    <xf numFmtId="167" fontId="0" fillId="0" borderId="0" xfId="286" applyNumberFormat="1" applyFont="1" applyFill="1" applyBorder="1" applyProtection="1">
      <protection locked="0"/>
    </xf>
    <xf numFmtId="0" fontId="20" fillId="0" borderId="0" xfId="0" applyFont="1" applyProtection="1">
      <protection locked="0"/>
    </xf>
    <xf numFmtId="164" fontId="0" fillId="0" borderId="0" xfId="286" applyFont="1" applyProtection="1">
      <protection locked="0"/>
    </xf>
    <xf numFmtId="166" fontId="11" fillId="0" borderId="0" xfId="1184" applyNumberFormat="1" applyFont="1" applyBorder="1" applyAlignment="1" applyProtection="1">
      <alignment horizontal="center"/>
      <protection locked="0"/>
    </xf>
    <xf numFmtId="166" fontId="11" fillId="0" borderId="0" xfId="1184" applyNumberFormat="1" applyFont="1" applyFill="1" applyBorder="1" applyAlignment="1" applyProtection="1">
      <alignment horizontal="center"/>
      <protection locked="0"/>
    </xf>
    <xf numFmtId="0" fontId="0" fillId="4" borderId="0" xfId="0" applyFill="1" applyProtection="1">
      <protection locked="0"/>
    </xf>
    <xf numFmtId="0" fontId="21" fillId="0" borderId="0" xfId="0" applyFont="1" applyAlignment="1" applyProtection="1">
      <alignment horizontal="left"/>
      <protection locked="0"/>
    </xf>
    <xf numFmtId="0" fontId="20" fillId="26" borderId="0" xfId="0" applyFont="1" applyFill="1" applyProtection="1">
      <protection locked="0"/>
    </xf>
    <xf numFmtId="0" fontId="34" fillId="2" borderId="0" xfId="0" applyFont="1" applyFill="1" applyProtection="1">
      <protection locked="0"/>
    </xf>
    <xf numFmtId="166" fontId="11" fillId="0" borderId="0" xfId="285" applyNumberFormat="1" applyFont="1" applyFill="1" applyBorder="1" applyAlignment="1" applyProtection="1">
      <alignment horizontal="left"/>
      <protection locked="0"/>
    </xf>
    <xf numFmtId="165" fontId="0" fillId="10" borderId="22" xfId="0" applyNumberFormat="1" applyFill="1" applyBorder="1" applyProtection="1">
      <protection locked="0"/>
    </xf>
    <xf numFmtId="0" fontId="0" fillId="10" borderId="23" xfId="0" applyFill="1" applyBorder="1" applyProtection="1">
      <protection locked="0"/>
    </xf>
    <xf numFmtId="0" fontId="0" fillId="0" borderId="2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11" fillId="0" borderId="26" xfId="0" applyFont="1" applyBorder="1" applyAlignment="1" applyProtection="1">
      <alignment horizontal="center"/>
      <protection locked="0"/>
    </xf>
    <xf numFmtId="0" fontId="17" fillId="8" borderId="0" xfId="0" applyFont="1" applyFill="1" applyProtection="1">
      <protection locked="0"/>
    </xf>
    <xf numFmtId="0" fontId="17" fillId="8" borderId="26" xfId="0" applyFont="1" applyFill="1" applyBorder="1" applyProtection="1">
      <protection locked="0"/>
    </xf>
    <xf numFmtId="0" fontId="0" fillId="0" borderId="26" xfId="0" applyBorder="1" applyProtection="1">
      <protection locked="0"/>
    </xf>
    <xf numFmtId="0" fontId="20" fillId="0" borderId="0" xfId="0" applyFont="1" applyAlignment="1" applyProtection="1">
      <alignment horizontal="left"/>
      <protection locked="0"/>
    </xf>
    <xf numFmtId="0" fontId="10" fillId="0" borderId="3" xfId="0" applyFont="1" applyBorder="1" applyAlignment="1" applyProtection="1">
      <alignment horizontal="center"/>
      <protection locked="0"/>
    </xf>
    <xf numFmtId="166" fontId="17" fillId="2" borderId="15" xfId="285" applyNumberFormat="1" applyFont="1" applyFill="1" applyBorder="1" applyProtection="1">
      <protection locked="0"/>
    </xf>
    <xf numFmtId="0" fontId="17" fillId="2" borderId="15" xfId="0" applyFont="1" applyFill="1" applyBorder="1" applyProtection="1">
      <protection locked="0"/>
    </xf>
    <xf numFmtId="0" fontId="0" fillId="0" borderId="27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0" fontId="17" fillId="29" borderId="15" xfId="0" applyFont="1" applyFill="1" applyBorder="1" applyAlignment="1" applyProtection="1">
      <alignment horizontal="right"/>
      <protection locked="0"/>
    </xf>
    <xf numFmtId="0" fontId="10" fillId="0" borderId="15" xfId="0" applyFont="1" applyBorder="1" applyProtection="1">
      <protection locked="0"/>
    </xf>
    <xf numFmtId="0" fontId="14" fillId="10" borderId="15" xfId="0" applyFont="1" applyFill="1" applyBorder="1" applyProtection="1">
      <protection locked="0"/>
    </xf>
    <xf numFmtId="0" fontId="20" fillId="0" borderId="22" xfId="0" applyFont="1" applyBorder="1" applyProtection="1">
      <protection locked="0"/>
    </xf>
    <xf numFmtId="0" fontId="34" fillId="0" borderId="22" xfId="0" applyFont="1" applyBorder="1" applyAlignment="1" applyProtection="1">
      <alignment horizontal="center"/>
      <protection locked="0"/>
    </xf>
    <xf numFmtId="0" fontId="34" fillId="0" borderId="23" xfId="0" applyFont="1" applyBorder="1" applyAlignment="1" applyProtection="1">
      <alignment horizontal="center"/>
      <protection locked="0"/>
    </xf>
    <xf numFmtId="166" fontId="17" fillId="2" borderId="30" xfId="0" applyNumberFormat="1" applyFont="1" applyFill="1" applyBorder="1" applyAlignment="1" applyProtection="1">
      <alignment horizontal="right"/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2" borderId="26" xfId="0" applyFont="1" applyFill="1" applyBorder="1" applyAlignment="1" applyProtection="1">
      <alignment horizontal="center"/>
      <protection locked="0"/>
    </xf>
    <xf numFmtId="0" fontId="25" fillId="0" borderId="25" xfId="0" applyFont="1" applyBorder="1" applyAlignment="1" applyProtection="1">
      <alignment horizontal="center"/>
      <protection locked="0"/>
    </xf>
    <xf numFmtId="0" fontId="20" fillId="0" borderId="26" xfId="0" applyFont="1" applyBorder="1" applyAlignment="1" applyProtection="1">
      <alignment horizontal="center"/>
      <protection locked="0"/>
    </xf>
    <xf numFmtId="0" fontId="14" fillId="0" borderId="15" xfId="0" applyFont="1" applyBorder="1" applyProtection="1">
      <protection locked="0"/>
    </xf>
    <xf numFmtId="0" fontId="17" fillId="0" borderId="25" xfId="0" applyFont="1" applyBorder="1" applyAlignment="1" applyProtection="1">
      <alignment horizontal="right"/>
      <protection locked="0"/>
    </xf>
    <xf numFmtId="164" fontId="0" fillId="0" borderId="0" xfId="286" applyFont="1" applyBorder="1" applyProtection="1">
      <protection locked="0"/>
    </xf>
    <xf numFmtId="164" fontId="17" fillId="2" borderId="26" xfId="286" applyFont="1" applyFill="1" applyBorder="1" applyProtection="1">
      <protection locked="0"/>
    </xf>
    <xf numFmtId="0" fontId="11" fillId="0" borderId="25" xfId="0" applyFont="1" applyBorder="1" applyAlignment="1" applyProtection="1">
      <alignment horizontal="center"/>
      <protection locked="0"/>
    </xf>
    <xf numFmtId="164" fontId="11" fillId="0" borderId="26" xfId="286" applyFont="1" applyBorder="1" applyProtection="1">
      <protection locked="0"/>
    </xf>
    <xf numFmtId="0" fontId="17" fillId="0" borderId="27" xfId="0" applyFont="1" applyBorder="1" applyAlignment="1" applyProtection="1">
      <alignment horizontal="right"/>
      <protection locked="0"/>
    </xf>
    <xf numFmtId="164" fontId="11" fillId="0" borderId="28" xfId="286" applyFont="1" applyFill="1" applyBorder="1" applyProtection="1">
      <protection locked="0"/>
    </xf>
    <xf numFmtId="164" fontId="17" fillId="2" borderId="29" xfId="286" applyFont="1" applyFill="1" applyBorder="1" applyProtection="1">
      <protection locked="0"/>
    </xf>
    <xf numFmtId="0" fontId="11" fillId="0" borderId="27" xfId="0" applyFont="1" applyBorder="1" applyAlignment="1" applyProtection="1">
      <alignment horizontal="center"/>
      <protection locked="0"/>
    </xf>
    <xf numFmtId="44" fontId="11" fillId="0" borderId="28" xfId="0" applyNumberFormat="1" applyFont="1" applyBorder="1" applyProtection="1">
      <protection locked="0"/>
    </xf>
    <xf numFmtId="164" fontId="11" fillId="0" borderId="29" xfId="286" applyFont="1" applyBorder="1" applyProtection="1">
      <protection locked="0"/>
    </xf>
    <xf numFmtId="0" fontId="19" fillId="0" borderId="9" xfId="0" applyFont="1" applyBorder="1" applyProtection="1">
      <protection locked="0"/>
    </xf>
    <xf numFmtId="9" fontId="19" fillId="0" borderId="10" xfId="0" applyNumberFormat="1" applyFont="1" applyBorder="1" applyAlignment="1" applyProtection="1">
      <alignment horizontal="center"/>
      <protection locked="0"/>
    </xf>
    <xf numFmtId="0" fontId="15" fillId="2" borderId="6" xfId="0" applyFont="1" applyFill="1" applyBorder="1" applyProtection="1">
      <protection locked="0"/>
    </xf>
    <xf numFmtId="44" fontId="15" fillId="2" borderId="8" xfId="0" applyNumberFormat="1" applyFont="1" applyFill="1" applyBorder="1" applyProtection="1">
      <protection locked="0"/>
    </xf>
    <xf numFmtId="44" fontId="11" fillId="10" borderId="15" xfId="0" applyNumberFormat="1" applyFont="1" applyFill="1" applyBorder="1" applyProtection="1">
      <protection locked="0"/>
    </xf>
    <xf numFmtId="165" fontId="11" fillId="0" borderId="0" xfId="0" applyNumberFormat="1" applyFont="1" applyAlignment="1" applyProtection="1">
      <alignment horizontal="right"/>
      <protection locked="0"/>
    </xf>
    <xf numFmtId="0" fontId="12" fillId="0" borderId="9" xfId="0" applyFont="1" applyBorder="1" applyAlignment="1" applyProtection="1">
      <alignment horizontal="left"/>
      <protection locked="0"/>
    </xf>
    <xf numFmtId="166" fontId="14" fillId="0" borderId="10" xfId="285" applyNumberFormat="1" applyFont="1" applyBorder="1" applyAlignment="1" applyProtection="1">
      <protection locked="0"/>
    </xf>
    <xf numFmtId="166" fontId="14" fillId="0" borderId="11" xfId="285" applyNumberFormat="1" applyFont="1" applyBorder="1" applyAlignment="1" applyProtection="1">
      <protection locked="0"/>
    </xf>
    <xf numFmtId="9" fontId="14" fillId="8" borderId="21" xfId="647" applyFont="1" applyFill="1" applyBorder="1" applyProtection="1">
      <protection locked="0"/>
    </xf>
    <xf numFmtId="0" fontId="14" fillId="8" borderId="1" xfId="0" applyFont="1" applyFill="1" applyBorder="1" applyAlignment="1" applyProtection="1">
      <alignment horizontal="left"/>
      <protection locked="0"/>
    </xf>
    <xf numFmtId="9" fontId="14" fillId="8" borderId="3" xfId="647" applyFont="1" applyFill="1" applyBorder="1" applyProtection="1">
      <protection locked="0"/>
    </xf>
    <xf numFmtId="0" fontId="35" fillId="0" borderId="0" xfId="0" applyFont="1" applyAlignment="1" applyProtection="1">
      <alignment horizontal="center"/>
      <protection locked="0"/>
    </xf>
    <xf numFmtId="0" fontId="11" fillId="7" borderId="15" xfId="0" applyFont="1" applyFill="1" applyBorder="1" applyAlignment="1" applyProtection="1">
      <alignment horizontal="left"/>
      <protection locked="0"/>
    </xf>
    <xf numFmtId="0" fontId="11" fillId="7" borderId="15" xfId="0" applyFont="1" applyFill="1" applyBorder="1" applyProtection="1">
      <protection locked="0"/>
    </xf>
    <xf numFmtId="0" fontId="60" fillId="8" borderId="15" xfId="0" applyFont="1" applyFill="1" applyBorder="1" applyAlignment="1" applyProtection="1">
      <alignment horizontal="center"/>
      <protection locked="0"/>
    </xf>
    <xf numFmtId="0" fontId="60" fillId="8" borderId="15" xfId="0" applyFont="1" applyFill="1" applyBorder="1" applyProtection="1">
      <protection locked="0"/>
    </xf>
    <xf numFmtId="176" fontId="15" fillId="0" borderId="0" xfId="286" applyNumberFormat="1" applyFont="1" applyBorder="1" applyProtection="1">
      <protection locked="0"/>
    </xf>
    <xf numFmtId="37" fontId="17" fillId="7" borderId="15" xfId="0" applyNumberFormat="1" applyFont="1" applyFill="1" applyBorder="1" applyProtection="1">
      <protection locked="0"/>
    </xf>
    <xf numFmtId="169" fontId="11" fillId="7" borderId="15" xfId="0" applyNumberFormat="1" applyFont="1" applyFill="1" applyBorder="1" applyAlignment="1" applyProtection="1">
      <alignment horizontal="right"/>
      <protection locked="0"/>
    </xf>
    <xf numFmtId="4" fontId="14" fillId="8" borderId="15" xfId="0" applyNumberFormat="1" applyFont="1" applyFill="1" applyBorder="1" applyAlignment="1" applyProtection="1">
      <alignment horizontal="center"/>
      <protection locked="0"/>
    </xf>
    <xf numFmtId="3" fontId="11" fillId="8" borderId="15" xfId="0" applyNumberFormat="1" applyFont="1" applyFill="1" applyBorder="1" applyAlignment="1" applyProtection="1">
      <alignment horizontal="left"/>
      <protection locked="0"/>
    </xf>
    <xf numFmtId="176" fontId="11" fillId="0" borderId="0" xfId="286" applyNumberFormat="1" applyFont="1" applyBorder="1" applyProtection="1">
      <protection locked="0"/>
    </xf>
    <xf numFmtId="0" fontId="47" fillId="2" borderId="21" xfId="0" applyFont="1" applyFill="1" applyBorder="1" applyAlignment="1" applyProtection="1">
      <alignment horizontal="center"/>
      <protection locked="0"/>
    </xf>
    <xf numFmtId="4" fontId="10" fillId="30" borderId="1" xfId="0" applyNumberFormat="1" applyFont="1" applyFill="1" applyBorder="1" applyAlignment="1" applyProtection="1">
      <alignment horizontal="center"/>
      <protection locked="0"/>
    </xf>
    <xf numFmtId="3" fontId="47" fillId="30" borderId="3" xfId="0" applyNumberFormat="1" applyFont="1" applyFill="1" applyBorder="1" applyAlignment="1" applyProtection="1">
      <alignment horizontal="center"/>
      <protection locked="0"/>
    </xf>
    <xf numFmtId="4" fontId="10" fillId="27" borderId="1" xfId="0" applyNumberFormat="1" applyFont="1" applyFill="1" applyBorder="1" applyAlignment="1" applyProtection="1">
      <alignment horizontal="center"/>
      <protection locked="0"/>
    </xf>
    <xf numFmtId="3" fontId="47" fillId="27" borderId="3" xfId="0" applyNumberFormat="1" applyFont="1" applyFill="1" applyBorder="1" applyAlignment="1" applyProtection="1">
      <alignment horizontal="center"/>
      <protection locked="0"/>
    </xf>
    <xf numFmtId="4" fontId="11" fillId="2" borderId="19" xfId="0" applyNumberFormat="1" applyFont="1" applyFill="1" applyBorder="1" applyAlignment="1" applyProtection="1">
      <alignment horizontal="center"/>
      <protection locked="0"/>
    </xf>
    <xf numFmtId="4" fontId="11" fillId="30" borderId="6" xfId="0" applyNumberFormat="1" applyFont="1" applyFill="1" applyBorder="1" applyAlignment="1" applyProtection="1">
      <alignment horizontal="right"/>
      <protection locked="0"/>
    </xf>
    <xf numFmtId="4" fontId="11" fillId="30" borderId="8" xfId="0" applyNumberFormat="1" applyFont="1" applyFill="1" applyBorder="1" applyAlignment="1" applyProtection="1">
      <alignment horizontal="center"/>
      <protection locked="0"/>
    </xf>
    <xf numFmtId="49" fontId="0" fillId="27" borderId="6" xfId="0" applyNumberFormat="1" applyFill="1" applyBorder="1" applyAlignment="1" applyProtection="1">
      <alignment horizontal="right"/>
      <protection locked="0"/>
    </xf>
    <xf numFmtId="4" fontId="11" fillId="27" borderId="8" xfId="0" applyNumberFormat="1" applyFont="1" applyFill="1" applyBorder="1" applyAlignment="1" applyProtection="1">
      <alignment horizontal="center"/>
      <protection locked="0"/>
    </xf>
    <xf numFmtId="0" fontId="40" fillId="4" borderId="0" xfId="0" applyFont="1" applyFill="1" applyAlignment="1" applyProtection="1">
      <alignment horizontal="left"/>
      <protection locked="0"/>
    </xf>
    <xf numFmtId="0" fontId="19" fillId="4" borderId="0" xfId="0" applyFont="1" applyFill="1" applyProtection="1">
      <protection locked="0"/>
    </xf>
    <xf numFmtId="0" fontId="11" fillId="4" borderId="0" xfId="0" applyFont="1" applyFill="1" applyProtection="1">
      <protection locked="0"/>
    </xf>
    <xf numFmtId="42" fontId="0" fillId="4" borderId="0" xfId="0" applyNumberFormat="1" applyFill="1" applyProtection="1">
      <protection locked="0"/>
    </xf>
    <xf numFmtId="0" fontId="11" fillId="28" borderId="9" xfId="0" applyFont="1" applyFill="1" applyBorder="1" applyAlignment="1" applyProtection="1">
      <alignment horizontal="center"/>
      <protection locked="0"/>
    </xf>
    <xf numFmtId="4" fontId="11" fillId="28" borderId="11" xfId="0" applyNumberFormat="1" applyFont="1" applyFill="1" applyBorder="1" applyAlignment="1" applyProtection="1">
      <alignment horizontal="center"/>
      <protection locked="0"/>
    </xf>
    <xf numFmtId="44" fontId="35" fillId="25" borderId="15" xfId="0" applyNumberFormat="1" applyFont="1" applyFill="1" applyBorder="1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22" fillId="6" borderId="4" xfId="0" applyFont="1" applyFill="1" applyBorder="1" applyAlignment="1" applyProtection="1">
      <alignment horizontal="center"/>
      <protection locked="0"/>
    </xf>
    <xf numFmtId="49" fontId="11" fillId="0" borderId="0" xfId="0" applyNumberFormat="1" applyFont="1" applyProtection="1">
      <protection locked="0"/>
    </xf>
    <xf numFmtId="2" fontId="11" fillId="0" borderId="9" xfId="0" applyNumberFormat="1" applyFont="1" applyBorder="1" applyProtection="1">
      <protection locked="0"/>
    </xf>
    <xf numFmtId="0" fontId="0" fillId="30" borderId="0" xfId="0" applyFill="1" applyProtection="1">
      <protection locked="0"/>
    </xf>
    <xf numFmtId="44" fontId="11" fillId="2" borderId="0" xfId="0" applyNumberFormat="1" applyFont="1" applyFill="1" applyProtection="1">
      <protection locked="0"/>
    </xf>
    <xf numFmtId="0" fontId="19" fillId="2" borderId="0" xfId="0" applyFont="1" applyFill="1" applyProtection="1">
      <protection locked="0"/>
    </xf>
    <xf numFmtId="0" fontId="11" fillId="2" borderId="0" xfId="0" applyFont="1" applyFill="1" applyProtection="1">
      <protection locked="0"/>
    </xf>
    <xf numFmtId="4" fontId="11" fillId="0" borderId="0" xfId="0" applyNumberFormat="1" applyFont="1" applyAlignment="1" applyProtection="1">
      <alignment horizontal="center"/>
      <protection locked="0"/>
    </xf>
    <xf numFmtId="0" fontId="11" fillId="0" borderId="0" xfId="0" quotePrefix="1" applyFont="1" applyProtection="1">
      <protection locked="0"/>
    </xf>
    <xf numFmtId="44" fontId="34" fillId="41" borderId="15" xfId="286" applyNumberFormat="1" applyFont="1" applyFill="1" applyBorder="1" applyProtection="1">
      <protection locked="0"/>
    </xf>
    <xf numFmtId="0" fontId="34" fillId="41" borderId="10" xfId="0" applyFont="1" applyFill="1" applyBorder="1" applyProtection="1">
      <protection locked="0"/>
    </xf>
    <xf numFmtId="0" fontId="0" fillId="41" borderId="10" xfId="0" applyFill="1" applyBorder="1" applyProtection="1">
      <protection locked="0"/>
    </xf>
    <xf numFmtId="0" fontId="0" fillId="41" borderId="11" xfId="0" applyFill="1" applyBorder="1" applyProtection="1">
      <protection locked="0"/>
    </xf>
    <xf numFmtId="44" fontId="34" fillId="2" borderId="9" xfId="286" applyNumberFormat="1" applyFont="1" applyFill="1" applyBorder="1" applyProtection="1">
      <protection locked="0"/>
    </xf>
    <xf numFmtId="0" fontId="34" fillId="2" borderId="11" xfId="0" applyFont="1" applyFill="1" applyBorder="1" applyProtection="1">
      <protection locked="0"/>
    </xf>
    <xf numFmtId="44" fontId="11" fillId="0" borderId="9" xfId="0" applyNumberFormat="1" applyFont="1" applyBorder="1" applyProtection="1">
      <protection locked="0"/>
    </xf>
    <xf numFmtId="0" fontId="19" fillId="0" borderId="10" xfId="0" applyFont="1" applyBorder="1" applyAlignment="1" applyProtection="1">
      <alignment horizontal="right"/>
      <protection locked="0"/>
    </xf>
    <xf numFmtId="173" fontId="11" fillId="0" borderId="0" xfId="286" applyNumberFormat="1" applyFont="1" applyProtection="1">
      <protection locked="0"/>
    </xf>
    <xf numFmtId="164" fontId="11" fillId="0" borderId="0" xfId="286" applyFont="1" applyProtection="1">
      <protection locked="0"/>
    </xf>
    <xf numFmtId="0" fontId="19" fillId="0" borderId="0" xfId="0" applyFont="1" applyAlignment="1" applyProtection="1">
      <alignment horizontal="left"/>
      <protection locked="0"/>
    </xf>
    <xf numFmtId="44" fontId="19" fillId="0" borderId="0" xfId="0" applyNumberFormat="1" applyFont="1" applyAlignment="1" applyProtection="1">
      <alignment horizontal="left"/>
      <protection locked="0"/>
    </xf>
    <xf numFmtId="9" fontId="19" fillId="0" borderId="0" xfId="0" applyNumberFormat="1" applyFont="1" applyAlignment="1" applyProtection="1">
      <alignment horizontal="left"/>
      <protection locked="0"/>
    </xf>
    <xf numFmtId="42" fontId="0" fillId="0" borderId="0" xfId="0" applyNumberFormat="1" applyAlignment="1" applyProtection="1">
      <alignment horizontal="left"/>
      <protection locked="0"/>
    </xf>
    <xf numFmtId="165" fontId="11" fillId="0" borderId="0" xfId="0" applyNumberFormat="1" applyFont="1" applyAlignment="1" applyProtection="1">
      <alignment horizontal="left"/>
      <protection locked="0"/>
    </xf>
    <xf numFmtId="9" fontId="11" fillId="0" borderId="0" xfId="647" applyFont="1" applyFill="1" applyBorder="1" applyAlignment="1" applyProtection="1">
      <alignment horizontal="left"/>
      <protection locked="0"/>
    </xf>
    <xf numFmtId="167" fontId="11" fillId="0" borderId="0" xfId="286" applyNumberFormat="1" applyFont="1" applyFill="1" applyBorder="1" applyAlignment="1" applyProtection="1">
      <alignment horizontal="left"/>
      <protection locked="0"/>
    </xf>
    <xf numFmtId="164" fontId="0" fillId="0" borderId="0" xfId="286" applyFont="1" applyFill="1" applyBorder="1" applyAlignment="1" applyProtection="1">
      <alignment horizontal="left"/>
      <protection locked="0"/>
    </xf>
    <xf numFmtId="0" fontId="11" fillId="34" borderId="0" xfId="0" applyFont="1" applyFill="1" applyAlignment="1" applyProtection="1">
      <alignment horizontal="left"/>
      <protection locked="0"/>
    </xf>
    <xf numFmtId="0" fontId="11" fillId="40" borderId="0" xfId="0" applyFont="1" applyFill="1" applyAlignment="1" applyProtection="1">
      <alignment horizontal="left"/>
      <protection locked="0"/>
    </xf>
    <xf numFmtId="0" fontId="17" fillId="0" borderId="28" xfId="0" applyFont="1" applyBorder="1" applyAlignment="1" applyProtection="1">
      <alignment horizontal="center"/>
      <protection locked="0"/>
    </xf>
    <xf numFmtId="0" fontId="0" fillId="23" borderId="0" xfId="0" applyFill="1" applyAlignment="1" applyProtection="1">
      <alignment horizontal="right"/>
      <protection locked="0"/>
    </xf>
    <xf numFmtId="167" fontId="0" fillId="0" borderId="0" xfId="1183" applyNumberFormat="1" applyFont="1" applyProtection="1">
      <protection locked="0"/>
    </xf>
    <xf numFmtId="9" fontId="0" fillId="0" borderId="0" xfId="1079" applyFont="1" applyProtection="1">
      <protection locked="0"/>
    </xf>
    <xf numFmtId="170" fontId="0" fillId="0" borderId="0" xfId="1079" applyNumberFormat="1" applyFont="1" applyProtection="1">
      <protection locked="0"/>
    </xf>
    <xf numFmtId="14" fontId="62" fillId="36" borderId="32" xfId="0" applyNumberFormat="1" applyFont="1" applyFill="1" applyBorder="1" applyAlignment="1" applyProtection="1">
      <alignment horizontal="left"/>
      <protection locked="0"/>
    </xf>
    <xf numFmtId="14" fontId="11" fillId="2" borderId="19" xfId="0" applyNumberFormat="1" applyFont="1" applyFill="1" applyBorder="1" applyAlignment="1" applyProtection="1">
      <alignment horizontal="left"/>
      <protection locked="0"/>
    </xf>
    <xf numFmtId="0" fontId="11" fillId="37" borderId="19" xfId="0" applyFont="1" applyFill="1" applyBorder="1" applyAlignment="1" applyProtection="1">
      <alignment horizontal="left"/>
      <protection locked="0"/>
    </xf>
    <xf numFmtId="0" fontId="11" fillId="5" borderId="19" xfId="0" applyFont="1" applyFill="1" applyBorder="1" applyAlignment="1" applyProtection="1">
      <alignment horizontal="left"/>
      <protection locked="0"/>
    </xf>
    <xf numFmtId="0" fontId="11" fillId="2" borderId="15" xfId="0" applyFont="1" applyFill="1" applyBorder="1" applyAlignment="1" applyProtection="1">
      <alignment horizontal="left"/>
      <protection locked="0"/>
    </xf>
    <xf numFmtId="0" fontId="0" fillId="37" borderId="15" xfId="0" applyFill="1" applyBorder="1" applyAlignment="1" applyProtection="1">
      <alignment horizontal="left"/>
      <protection locked="0"/>
    </xf>
    <xf numFmtId="0" fontId="0" fillId="5" borderId="15" xfId="0" applyFill="1" applyBorder="1" applyAlignment="1" applyProtection="1">
      <alignment horizontal="left"/>
      <protection locked="0"/>
    </xf>
    <xf numFmtId="0" fontId="17" fillId="2" borderId="15" xfId="0" applyFont="1" applyFill="1" applyBorder="1" applyAlignment="1" applyProtection="1">
      <alignment horizontal="center"/>
      <protection locked="0"/>
    </xf>
    <xf numFmtId="0" fontId="17" fillId="37" borderId="15" xfId="0" applyFont="1" applyFill="1" applyBorder="1" applyAlignment="1" applyProtection="1">
      <alignment horizontal="center"/>
      <protection locked="0"/>
    </xf>
    <xf numFmtId="0" fontId="17" fillId="5" borderId="15" xfId="0" applyFont="1" applyFill="1" applyBorder="1" applyAlignment="1" applyProtection="1">
      <alignment horizontal="center"/>
      <protection locked="0"/>
    </xf>
    <xf numFmtId="44" fontId="14" fillId="2" borderId="15" xfId="0" applyNumberFormat="1" applyFont="1" applyFill="1" applyBorder="1" applyAlignment="1" applyProtection="1">
      <alignment horizontal="center"/>
      <protection locked="0"/>
    </xf>
    <xf numFmtId="44" fontId="0" fillId="37" borderId="15" xfId="0" applyNumberFormat="1" applyFill="1" applyBorder="1" applyAlignment="1" applyProtection="1">
      <alignment horizontal="left"/>
      <protection locked="0"/>
    </xf>
    <xf numFmtId="44" fontId="17" fillId="37" borderId="15" xfId="0" applyNumberFormat="1" applyFont="1" applyFill="1" applyBorder="1" applyAlignment="1" applyProtection="1">
      <alignment horizontal="center"/>
      <protection locked="0"/>
    </xf>
    <xf numFmtId="44" fontId="0" fillId="5" borderId="15" xfId="0" applyNumberFormat="1" applyFill="1" applyBorder="1" applyAlignment="1" applyProtection="1">
      <alignment horizontal="left"/>
      <protection locked="0"/>
    </xf>
    <xf numFmtId="44" fontId="17" fillId="5" borderId="15" xfId="0" applyNumberFormat="1" applyFont="1" applyFill="1" applyBorder="1" applyAlignment="1" applyProtection="1">
      <alignment horizontal="center"/>
      <protection locked="0"/>
    </xf>
    <xf numFmtId="0" fontId="0" fillId="0" borderId="22" xfId="0" applyBorder="1" applyProtection="1">
      <protection locked="0"/>
    </xf>
    <xf numFmtId="0" fontId="0" fillId="0" borderId="25" xfId="0" applyBorder="1" applyAlignment="1" applyProtection="1">
      <alignment horizontal="left"/>
      <protection locked="0"/>
    </xf>
    <xf numFmtId="0" fontId="64" fillId="0" borderId="0" xfId="0" applyFont="1" applyProtection="1">
      <protection locked="0"/>
    </xf>
    <xf numFmtId="0" fontId="10" fillId="0" borderId="33" xfId="0" applyFont="1" applyBorder="1" applyAlignment="1" applyProtection="1">
      <alignment horizontal="center"/>
      <protection locked="0"/>
    </xf>
    <xf numFmtId="0" fontId="34" fillId="0" borderId="26" xfId="0" applyFont="1" applyBorder="1" applyProtection="1">
      <protection locked="0"/>
    </xf>
    <xf numFmtId="44" fontId="20" fillId="0" borderId="15" xfId="0" applyNumberFormat="1" applyFont="1" applyBorder="1" applyAlignment="1" applyProtection="1">
      <alignment horizontal="center"/>
      <protection locked="0"/>
    </xf>
    <xf numFmtId="166" fontId="11" fillId="2" borderId="15" xfId="1184" applyNumberFormat="1" applyFont="1" applyFill="1" applyBorder="1" applyProtection="1">
      <protection locked="0"/>
    </xf>
    <xf numFmtId="0" fontId="11" fillId="2" borderId="15" xfId="0" applyFont="1" applyFill="1" applyBorder="1" applyProtection="1">
      <protection locked="0"/>
    </xf>
    <xf numFmtId="0" fontId="11" fillId="23" borderId="0" xfId="0" applyFont="1" applyFill="1" applyAlignment="1" applyProtection="1">
      <alignment horizontal="right"/>
      <protection locked="0"/>
    </xf>
    <xf numFmtId="166" fontId="11" fillId="37" borderId="15" xfId="1184" applyNumberFormat="1" applyFont="1" applyFill="1" applyBorder="1" applyProtection="1">
      <protection locked="0"/>
    </xf>
    <xf numFmtId="0" fontId="11" fillId="37" borderId="15" xfId="0" applyFont="1" applyFill="1" applyBorder="1" applyProtection="1">
      <protection locked="0"/>
    </xf>
    <xf numFmtId="166" fontId="11" fillId="5" borderId="15" xfId="1184" applyNumberFormat="1" applyFont="1" applyFill="1" applyBorder="1" applyProtection="1">
      <protection locked="0"/>
    </xf>
    <xf numFmtId="0" fontId="11" fillId="5" borderId="15" xfId="0" applyFont="1" applyFill="1" applyBorder="1" applyProtection="1">
      <protection locked="0"/>
    </xf>
    <xf numFmtId="166" fontId="0" fillId="0" borderId="0" xfId="1184" applyNumberFormat="1" applyFont="1" applyFill="1" applyBorder="1" applyProtection="1">
      <protection locked="0"/>
    </xf>
    <xf numFmtId="167" fontId="0" fillId="10" borderId="0" xfId="1183" applyNumberFormat="1" applyFont="1" applyFill="1" applyProtection="1">
      <protection locked="0"/>
    </xf>
    <xf numFmtId="9" fontId="0" fillId="10" borderId="0" xfId="1079" applyFont="1" applyFill="1" applyProtection="1">
      <protection locked="0"/>
    </xf>
    <xf numFmtId="170" fontId="0" fillId="4" borderId="0" xfId="1079" applyNumberFormat="1" applyFont="1" applyFill="1" applyProtection="1">
      <protection locked="0"/>
    </xf>
    <xf numFmtId="165" fontId="0" fillId="0" borderId="0" xfId="1184" applyFont="1" applyFill="1" applyAlignment="1" applyProtection="1">
      <alignment horizontal="left"/>
      <protection locked="0"/>
    </xf>
    <xf numFmtId="166" fontId="19" fillId="0" borderId="0" xfId="1184" applyNumberFormat="1" applyFont="1" applyFill="1" applyBorder="1" applyProtection="1">
      <protection locked="0"/>
    </xf>
    <xf numFmtId="0" fontId="0" fillId="28" borderId="14" xfId="0" applyFill="1" applyBorder="1" applyProtection="1">
      <protection locked="0"/>
    </xf>
    <xf numFmtId="169" fontId="11" fillId="0" borderId="0" xfId="1184" applyNumberFormat="1" applyFont="1" applyBorder="1" applyAlignment="1" applyProtection="1">
      <alignment horizontal="center"/>
      <protection locked="0"/>
    </xf>
    <xf numFmtId="0" fontId="63" fillId="0" borderId="0" xfId="0" applyFont="1" applyAlignment="1" applyProtection="1">
      <alignment horizontal="center"/>
      <protection locked="0"/>
    </xf>
    <xf numFmtId="166" fontId="11" fillId="0" borderId="17" xfId="1184" applyNumberFormat="1" applyFont="1" applyBorder="1" applyAlignment="1" applyProtection="1">
      <alignment horizontal="center"/>
      <protection locked="0"/>
    </xf>
    <xf numFmtId="0" fontId="63" fillId="30" borderId="0" xfId="0" applyFont="1" applyFill="1" applyProtection="1">
      <protection locked="0"/>
    </xf>
    <xf numFmtId="164" fontId="32" fillId="30" borderId="0" xfId="1183" applyFont="1" applyFill="1" applyProtection="1">
      <protection locked="0"/>
    </xf>
    <xf numFmtId="0" fontId="32" fillId="30" borderId="0" xfId="0" applyFont="1" applyFill="1" applyProtection="1">
      <protection locked="0"/>
    </xf>
    <xf numFmtId="44" fontId="32" fillId="30" borderId="0" xfId="0" applyNumberFormat="1" applyFont="1" applyFill="1" applyProtection="1">
      <protection locked="0"/>
    </xf>
    <xf numFmtId="0" fontId="63" fillId="39" borderId="0" xfId="0" applyFont="1" applyFill="1" applyProtection="1">
      <protection locked="0"/>
    </xf>
    <xf numFmtId="164" fontId="32" fillId="39" borderId="0" xfId="1183" applyFont="1" applyFill="1" applyProtection="1">
      <protection locked="0"/>
    </xf>
    <xf numFmtId="0" fontId="32" fillId="39" borderId="0" xfId="0" applyFont="1" applyFill="1" applyProtection="1">
      <protection locked="0"/>
    </xf>
    <xf numFmtId="44" fontId="32" fillId="39" borderId="0" xfId="0" applyNumberFormat="1" applyFont="1" applyFill="1" applyProtection="1">
      <protection locked="0"/>
    </xf>
    <xf numFmtId="0" fontId="63" fillId="23" borderId="0" xfId="0" applyFont="1" applyFill="1" applyProtection="1">
      <protection locked="0"/>
    </xf>
    <xf numFmtId="0" fontId="32" fillId="23" borderId="0" xfId="0" applyFont="1" applyFill="1" applyProtection="1">
      <protection locked="0"/>
    </xf>
    <xf numFmtId="44" fontId="32" fillId="23" borderId="0" xfId="0" applyNumberFormat="1" applyFont="1" applyFill="1" applyProtection="1">
      <protection locked="0"/>
    </xf>
    <xf numFmtId="0" fontId="14" fillId="10" borderId="21" xfId="0" applyFont="1" applyFill="1" applyBorder="1" applyAlignment="1" applyProtection="1">
      <alignment horizontal="center"/>
      <protection locked="0"/>
    </xf>
    <xf numFmtId="9" fontId="11" fillId="0" borderId="0" xfId="1079" applyFont="1" applyFill="1" applyBorder="1" applyAlignment="1" applyProtection="1">
      <alignment horizontal="right"/>
      <protection locked="0"/>
    </xf>
    <xf numFmtId="166" fontId="14" fillId="0" borderId="2" xfId="1184" applyNumberFormat="1" applyFont="1" applyBorder="1" applyAlignment="1" applyProtection="1">
      <protection locked="0"/>
    </xf>
    <xf numFmtId="0" fontId="12" fillId="0" borderId="2" xfId="0" applyFont="1" applyBorder="1" applyAlignment="1" applyProtection="1">
      <alignment horizontal="left"/>
      <protection locked="0"/>
    </xf>
    <xf numFmtId="9" fontId="14" fillId="0" borderId="0" xfId="1079" applyFont="1" applyFill="1" applyBorder="1" applyProtection="1">
      <protection locked="0"/>
    </xf>
    <xf numFmtId="0" fontId="14" fillId="5" borderId="2" xfId="0" applyFont="1" applyFill="1" applyBorder="1" applyProtection="1">
      <protection locked="0"/>
    </xf>
    <xf numFmtId="0" fontId="14" fillId="5" borderId="1" xfId="0" applyFont="1" applyFill="1" applyBorder="1" applyProtection="1">
      <protection locked="0"/>
    </xf>
    <xf numFmtId="166" fontId="11" fillId="0" borderId="0" xfId="0" applyNumberFormat="1" applyFont="1" applyProtection="1">
      <protection locked="0"/>
    </xf>
    <xf numFmtId="176" fontId="11" fillId="16" borderId="0" xfId="0" applyNumberFormat="1" applyFont="1" applyFill="1" applyProtection="1">
      <protection locked="0"/>
    </xf>
    <xf numFmtId="176" fontId="38" fillId="33" borderId="15" xfId="0" applyNumberFormat="1" applyFont="1" applyFill="1" applyBorder="1" applyAlignment="1" applyProtection="1">
      <alignment horizontal="left"/>
      <protection locked="0"/>
    </xf>
    <xf numFmtId="1" fontId="11" fillId="33" borderId="15" xfId="0" applyNumberFormat="1" applyFont="1" applyFill="1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164" fontId="0" fillId="0" borderId="0" xfId="1183" applyFont="1" applyFill="1" applyBorder="1" applyProtection="1">
      <protection locked="0"/>
    </xf>
    <xf numFmtId="44" fontId="0" fillId="0" borderId="0" xfId="1183" applyNumberFormat="1" applyFont="1" applyFill="1" applyBorder="1" applyProtection="1">
      <protection locked="0"/>
    </xf>
    <xf numFmtId="0" fontId="14" fillId="5" borderId="21" xfId="0" applyFont="1" applyFill="1" applyBorder="1" applyProtection="1">
      <protection locked="0"/>
    </xf>
    <xf numFmtId="177" fontId="11" fillId="0" borderId="7" xfId="0" applyNumberFormat="1" applyFont="1" applyBorder="1" applyProtection="1">
      <protection locked="0"/>
    </xf>
    <xf numFmtId="176" fontId="15" fillId="0" borderId="7" xfId="0" applyNumberFormat="1" applyFont="1" applyBorder="1" applyProtection="1">
      <protection locked="0"/>
    </xf>
    <xf numFmtId="176" fontId="11" fillId="16" borderId="7" xfId="0" applyNumberFormat="1" applyFont="1" applyFill="1" applyBorder="1" applyProtection="1">
      <protection locked="0"/>
    </xf>
    <xf numFmtId="42" fontId="0" fillId="0" borderId="7" xfId="0" applyNumberFormat="1" applyBorder="1" applyProtection="1">
      <protection locked="0"/>
    </xf>
    <xf numFmtId="164" fontId="17" fillId="2" borderId="3" xfId="1183" applyFont="1" applyFill="1" applyBorder="1" applyProtection="1">
      <protection locked="0"/>
    </xf>
    <xf numFmtId="3" fontId="14" fillId="0" borderId="0" xfId="0" applyNumberFormat="1" applyFont="1" applyAlignment="1" applyProtection="1">
      <alignment horizontal="left"/>
      <protection locked="0"/>
    </xf>
    <xf numFmtId="9" fontId="11" fillId="2" borderId="10" xfId="1079" applyFont="1" applyFill="1" applyBorder="1" applyProtection="1">
      <protection locked="0"/>
    </xf>
    <xf numFmtId="164" fontId="17" fillId="2" borderId="11" xfId="1183" applyFont="1" applyFill="1" applyBorder="1" applyProtection="1">
      <protection locked="0"/>
    </xf>
    <xf numFmtId="0" fontId="25" fillId="0" borderId="0" xfId="0" applyFont="1" applyAlignment="1" applyProtection="1">
      <alignment horizontal="center"/>
      <protection locked="0"/>
    </xf>
    <xf numFmtId="0" fontId="10" fillId="16" borderId="2" xfId="0" applyFont="1" applyFill="1" applyBorder="1" applyProtection="1">
      <protection locked="0"/>
    </xf>
    <xf numFmtId="0" fontId="14" fillId="26" borderId="15" xfId="0" applyFont="1" applyFill="1" applyBorder="1" applyProtection="1">
      <protection locked="0"/>
    </xf>
    <xf numFmtId="164" fontId="11" fillId="0" borderId="9" xfId="1183" applyFont="1" applyBorder="1" applyProtection="1">
      <protection locked="0"/>
    </xf>
    <xf numFmtId="166" fontId="14" fillId="0" borderId="0" xfId="1184" applyNumberFormat="1" applyFont="1" applyProtection="1">
      <protection locked="0"/>
    </xf>
    <xf numFmtId="9" fontId="0" fillId="0" borderId="0" xfId="1079" applyFont="1" applyFill="1" applyBorder="1" applyProtection="1">
      <protection locked="0"/>
    </xf>
    <xf numFmtId="166" fontId="11" fillId="0" borderId="0" xfId="1184" applyNumberFormat="1" applyFont="1" applyProtection="1">
      <protection locked="0"/>
    </xf>
    <xf numFmtId="44" fontId="11" fillId="0" borderId="0" xfId="1183" applyNumberFormat="1" applyFont="1" applyProtection="1">
      <protection locked="0"/>
    </xf>
    <xf numFmtId="166" fontId="0" fillId="0" borderId="0" xfId="1184" applyNumberFormat="1" applyFont="1" applyProtection="1">
      <protection locked="0"/>
    </xf>
    <xf numFmtId="44" fontId="0" fillId="0" borderId="0" xfId="1183" applyNumberFormat="1" applyFont="1" applyProtection="1">
      <protection locked="0"/>
    </xf>
    <xf numFmtId="167" fontId="0" fillId="0" borderId="0" xfId="1183" applyNumberFormat="1" applyFont="1" applyFill="1" applyProtection="1">
      <protection locked="0"/>
    </xf>
    <xf numFmtId="170" fontId="0" fillId="0" borderId="0" xfId="1079" applyNumberFormat="1" applyFont="1" applyFill="1" applyProtection="1">
      <protection locked="0"/>
    </xf>
    <xf numFmtId="0" fontId="19" fillId="32" borderId="10" xfId="0" applyFont="1" applyFill="1" applyBorder="1" applyAlignment="1" applyProtection="1">
      <alignment horizontal="right"/>
      <protection locked="0"/>
    </xf>
    <xf numFmtId="9" fontId="19" fillId="41" borderId="10" xfId="0" applyNumberFormat="1" applyFont="1" applyFill="1" applyBorder="1" applyAlignment="1" applyProtection="1">
      <alignment horizontal="center"/>
      <protection locked="0"/>
    </xf>
    <xf numFmtId="0" fontId="42" fillId="41" borderId="0" xfId="0" quotePrefix="1" applyFont="1" applyFill="1" applyProtection="1">
      <protection locked="0"/>
    </xf>
    <xf numFmtId="0" fontId="0" fillId="41" borderId="0" xfId="0" applyFill="1" applyProtection="1">
      <protection locked="0"/>
    </xf>
    <xf numFmtId="0" fontId="14" fillId="41" borderId="0" xfId="0" applyFont="1" applyFill="1" applyAlignment="1" applyProtection="1">
      <alignment horizontal="center"/>
      <protection locked="0"/>
    </xf>
    <xf numFmtId="166" fontId="11" fillId="16" borderId="0" xfId="1184" applyNumberFormat="1" applyFont="1" applyFill="1" applyBorder="1" applyAlignment="1" applyProtection="1">
      <alignment horizontal="center"/>
      <protection locked="0"/>
    </xf>
    <xf numFmtId="166" fontId="10" fillId="16" borderId="0" xfId="1184" applyNumberFormat="1" applyFont="1" applyFill="1" applyBorder="1" applyAlignment="1" applyProtection="1">
      <alignment horizontal="center"/>
      <protection locked="0"/>
    </xf>
    <xf numFmtId="44" fontId="11" fillId="16" borderId="5" xfId="0" applyNumberFormat="1" applyFont="1" applyFill="1" applyBorder="1" applyAlignment="1" applyProtection="1">
      <alignment horizontal="center"/>
      <protection locked="0"/>
    </xf>
    <xf numFmtId="0" fontId="0" fillId="16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25" fillId="23" borderId="0" xfId="0" applyFont="1" applyFill="1" applyProtection="1">
      <protection locked="0"/>
    </xf>
    <xf numFmtId="164" fontId="17" fillId="23" borderId="0" xfId="286" applyFont="1" applyFill="1" applyProtection="1">
      <protection locked="0"/>
    </xf>
    <xf numFmtId="0" fontId="17" fillId="23" borderId="0" xfId="0" applyFont="1" applyFill="1" applyProtection="1">
      <protection locked="0"/>
    </xf>
    <xf numFmtId="164" fontId="34" fillId="0" borderId="0" xfId="286" applyFont="1" applyAlignment="1" applyProtection="1">
      <alignment horizontal="left"/>
      <protection locked="0"/>
    </xf>
    <xf numFmtId="0" fontId="34" fillId="0" borderId="0" xfId="0" applyFont="1" applyAlignment="1" applyProtection="1">
      <alignment horizontal="left"/>
      <protection locked="0"/>
    </xf>
    <xf numFmtId="0" fontId="11" fillId="23" borderId="21" xfId="0" applyFont="1" applyFill="1" applyBorder="1" applyAlignment="1">
      <alignment horizontal="center" vertical="center"/>
    </xf>
    <xf numFmtId="0" fontId="11" fillId="29" borderId="21" xfId="0" applyFont="1" applyFill="1" applyBorder="1" applyAlignment="1">
      <alignment horizontal="center" vertical="center"/>
    </xf>
    <xf numFmtId="44" fontId="14" fillId="29" borderId="15" xfId="0" applyNumberFormat="1" applyFont="1" applyFill="1" applyBorder="1" applyAlignment="1">
      <alignment horizontal="center" vertical="center"/>
    </xf>
    <xf numFmtId="44" fontId="14" fillId="23" borderId="15" xfId="0" applyNumberFormat="1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horizontal="center" vertical="center"/>
    </xf>
    <xf numFmtId="166" fontId="14" fillId="4" borderId="35" xfId="852" applyNumberFormat="1" applyFont="1" applyFill="1" applyBorder="1"/>
    <xf numFmtId="0" fontId="14" fillId="4" borderId="36" xfId="0" applyFont="1" applyFill="1" applyBorder="1" applyAlignment="1">
      <alignment horizontal="right"/>
    </xf>
    <xf numFmtId="44" fontId="14" fillId="4" borderId="32" xfId="0" applyNumberFormat="1" applyFont="1" applyFill="1" applyBorder="1"/>
    <xf numFmtId="0" fontId="15" fillId="4" borderId="12" xfId="0" applyFont="1" applyFill="1" applyBorder="1" applyAlignment="1">
      <alignment horizontal="right"/>
    </xf>
    <xf numFmtId="176" fontId="15" fillId="4" borderId="14" xfId="1183" applyNumberFormat="1" applyFont="1" applyFill="1" applyBorder="1" applyAlignment="1">
      <alignment horizontal="left"/>
    </xf>
    <xf numFmtId="1" fontId="11" fillId="0" borderId="0" xfId="0" applyNumberFormat="1" applyFont="1" applyProtection="1">
      <protection locked="0"/>
    </xf>
    <xf numFmtId="1" fontId="11" fillId="0" borderId="4" xfId="0" applyNumberFormat="1" applyFont="1" applyBorder="1" applyAlignment="1" applyProtection="1">
      <alignment horizontal="right"/>
      <protection locked="0"/>
    </xf>
    <xf numFmtId="1" fontId="11" fillId="0" borderId="6" xfId="0" applyNumberFormat="1" applyFont="1" applyBorder="1" applyAlignment="1" applyProtection="1">
      <alignment horizontal="right"/>
      <protection locked="0"/>
    </xf>
    <xf numFmtId="1" fontId="11" fillId="4" borderId="7" xfId="0" applyNumberFormat="1" applyFont="1" applyFill="1" applyBorder="1" applyProtection="1">
      <protection locked="0"/>
    </xf>
    <xf numFmtId="1" fontId="11" fillId="4" borderId="0" xfId="0" applyNumberFormat="1" applyFont="1" applyFill="1"/>
    <xf numFmtId="177" fontId="11" fillId="0" borderId="6" xfId="0" applyNumberFormat="1" applyFont="1" applyBorder="1" applyAlignment="1">
      <alignment horizontal="right"/>
    </xf>
    <xf numFmtId="177" fontId="11" fillId="0" borderId="4" xfId="0" applyNumberFormat="1" applyFont="1" applyBorder="1" applyAlignment="1">
      <alignment horizontal="right"/>
    </xf>
    <xf numFmtId="1" fontId="11" fillId="0" borderId="4" xfId="0" applyNumberFormat="1" applyFont="1" applyBorder="1" applyAlignment="1">
      <alignment horizontal="right"/>
    </xf>
    <xf numFmtId="0" fontId="34" fillId="0" borderId="9" xfId="0" applyFont="1" applyBorder="1" applyAlignment="1" applyProtection="1">
      <alignment horizontal="right"/>
      <protection locked="0"/>
    </xf>
    <xf numFmtId="166" fontId="19" fillId="0" borderId="10" xfId="285" applyNumberFormat="1" applyFont="1" applyBorder="1" applyProtection="1">
      <protection locked="0"/>
    </xf>
    <xf numFmtId="166" fontId="34" fillId="0" borderId="10" xfId="285" applyNumberFormat="1" applyFont="1" applyBorder="1" applyProtection="1">
      <protection locked="0"/>
    </xf>
    <xf numFmtId="0" fontId="34" fillId="0" borderId="11" xfId="0" applyFont="1" applyBorder="1" applyProtection="1">
      <protection locked="0"/>
    </xf>
    <xf numFmtId="0" fontId="42" fillId="0" borderId="9" xfId="0" applyFont="1" applyBorder="1" applyAlignment="1" applyProtection="1">
      <alignment horizontal="right"/>
      <protection locked="0"/>
    </xf>
    <xf numFmtId="166" fontId="42" fillId="0" borderId="10" xfId="0" applyNumberFormat="1" applyFont="1" applyBorder="1" applyProtection="1">
      <protection locked="0"/>
    </xf>
    <xf numFmtId="0" fontId="42" fillId="0" borderId="11" xfId="0" applyFont="1" applyBorder="1" applyProtection="1">
      <protection locked="0"/>
    </xf>
    <xf numFmtId="44" fontId="0" fillId="0" borderId="1" xfId="0" applyNumberFormat="1" applyBorder="1" applyProtection="1">
      <protection locked="0"/>
    </xf>
    <xf numFmtId="10" fontId="17" fillId="0" borderId="2" xfId="1079" applyNumberFormat="1" applyFont="1" applyBorder="1" applyAlignment="1" applyProtection="1">
      <alignment horizontal="center"/>
      <protection locked="0"/>
    </xf>
    <xf numFmtId="0" fontId="73" fillId="0" borderId="3" xfId="0" applyFont="1" applyBorder="1" applyProtection="1">
      <protection locked="0"/>
    </xf>
    <xf numFmtId="164" fontId="0" fillId="0" borderId="4" xfId="0" applyNumberFormat="1" applyBorder="1" applyProtection="1">
      <protection locked="0"/>
    </xf>
    <xf numFmtId="10" fontId="17" fillId="0" borderId="0" xfId="1079" applyNumberFormat="1" applyFont="1" applyBorder="1" applyAlignment="1" applyProtection="1">
      <alignment horizontal="center"/>
      <protection locked="0"/>
    </xf>
    <xf numFmtId="0" fontId="0" fillId="0" borderId="5" xfId="0" applyBorder="1" applyProtection="1">
      <protection locked="0"/>
    </xf>
    <xf numFmtId="44" fontId="0" fillId="0" borderId="6" xfId="0" applyNumberFormat="1" applyBorder="1" applyProtection="1">
      <protection locked="0"/>
    </xf>
    <xf numFmtId="10" fontId="17" fillId="0" borderId="7" xfId="1079" applyNumberFormat="1" applyFont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0" fontId="3" fillId="0" borderId="7" xfId="1079" applyNumberFormat="1" applyFont="1" applyBorder="1" applyAlignment="1" applyProtection="1">
      <alignment horizontal="center"/>
      <protection locked="0"/>
    </xf>
    <xf numFmtId="164" fontId="2" fillId="23" borderId="0" xfId="1183" applyFont="1" applyFill="1" applyProtection="1">
      <protection locked="0"/>
    </xf>
    <xf numFmtId="166" fontId="11" fillId="40" borderId="0" xfId="0" applyNumberFormat="1" applyFont="1" applyFill="1" applyProtection="1">
      <protection locked="0"/>
    </xf>
    <xf numFmtId="0" fontId="17" fillId="40" borderId="15" xfId="0" applyFont="1" applyFill="1" applyBorder="1" applyAlignment="1" applyProtection="1">
      <alignment horizontal="center"/>
      <protection locked="0"/>
    </xf>
    <xf numFmtId="0" fontId="20" fillId="34" borderId="0" xfId="0" applyFont="1" applyFill="1" applyProtection="1">
      <protection locked="0"/>
    </xf>
    <xf numFmtId="0" fontId="34" fillId="0" borderId="23" xfId="0" applyFont="1" applyBorder="1" applyProtection="1">
      <protection locked="0"/>
    </xf>
    <xf numFmtId="0" fontId="36" fillId="0" borderId="0" xfId="0" applyFont="1" applyProtection="1">
      <protection locked="0"/>
    </xf>
    <xf numFmtId="178" fontId="0" fillId="0" borderId="0" xfId="0" applyNumberFormat="1" applyProtection="1">
      <protection locked="0"/>
    </xf>
    <xf numFmtId="178" fontId="34" fillId="0" borderId="0" xfId="0" applyNumberFormat="1" applyFont="1" applyProtection="1">
      <protection locked="0"/>
    </xf>
    <xf numFmtId="178" fontId="0" fillId="0" borderId="7" xfId="0" applyNumberFormat="1" applyBorder="1" applyProtection="1">
      <protection locked="0"/>
    </xf>
    <xf numFmtId="178" fontId="17" fillId="40" borderId="7" xfId="0" applyNumberFormat="1" applyFont="1" applyFill="1" applyBorder="1" applyProtection="1">
      <protection locked="0"/>
    </xf>
    <xf numFmtId="2" fontId="17" fillId="41" borderId="0" xfId="0" applyNumberFormat="1" applyFont="1" applyFill="1" applyProtection="1">
      <protection locked="0"/>
    </xf>
    <xf numFmtId="0" fontId="17" fillId="41" borderId="0" xfId="0" applyFont="1" applyFill="1" applyAlignment="1" applyProtection="1">
      <alignment horizontal="right"/>
      <protection locked="0"/>
    </xf>
    <xf numFmtId="0" fontId="17" fillId="40" borderId="0" xfId="0" applyFont="1" applyFill="1" applyAlignment="1" applyProtection="1">
      <alignment horizontal="right"/>
      <protection locked="0"/>
    </xf>
    <xf numFmtId="2" fontId="17" fillId="28" borderId="0" xfId="0" applyNumberFormat="1" applyFont="1" applyFill="1" applyProtection="1">
      <protection locked="0"/>
    </xf>
    <xf numFmtId="2" fontId="17" fillId="27" borderId="0" xfId="0" applyNumberFormat="1" applyFont="1" applyFill="1" applyProtection="1">
      <protection locked="0"/>
    </xf>
    <xf numFmtId="0" fontId="34" fillId="0" borderId="7" xfId="0" applyFont="1" applyBorder="1" applyAlignment="1">
      <alignment horizontal="right"/>
    </xf>
    <xf numFmtId="164" fontId="34" fillId="0" borderId="7" xfId="286" applyFont="1" applyBorder="1"/>
    <xf numFmtId="164" fontId="34" fillId="0" borderId="0" xfId="0" applyNumberFormat="1" applyFont="1"/>
    <xf numFmtId="179" fontId="34" fillId="0" borderId="0" xfId="286" applyNumberFormat="1" applyFont="1"/>
    <xf numFmtId="174" fontId="75" fillId="0" borderId="0" xfId="0" applyNumberFormat="1" applyFont="1"/>
    <xf numFmtId="0" fontId="75" fillId="0" borderId="0" xfId="0" applyFont="1"/>
    <xf numFmtId="0" fontId="0" fillId="0" borderId="7" xfId="0" applyBorder="1" applyAlignment="1" applyProtection="1">
      <alignment horizontal="right"/>
      <protection locked="0"/>
    </xf>
    <xf numFmtId="0" fontId="17" fillId="2" borderId="3" xfId="0" applyFont="1" applyFill="1" applyBorder="1" applyAlignment="1" applyProtection="1">
      <alignment horizontal="right"/>
      <protection locked="0"/>
    </xf>
    <xf numFmtId="2" fontId="17" fillId="2" borderId="11" xfId="0" applyNumberFormat="1" applyFont="1" applyFill="1" applyBorder="1" applyProtection="1">
      <protection locked="0"/>
    </xf>
    <xf numFmtId="0" fontId="17" fillId="23" borderId="21" xfId="0" applyFont="1" applyFill="1" applyBorder="1" applyAlignment="1" applyProtection="1">
      <alignment horizontal="right"/>
      <protection locked="0"/>
    </xf>
    <xf numFmtId="0" fontId="17" fillId="23" borderId="15" xfId="0" applyFont="1" applyFill="1" applyBorder="1" applyProtection="1">
      <protection locked="0"/>
    </xf>
    <xf numFmtId="0" fontId="34" fillId="2" borderId="15" xfId="0" applyFont="1" applyFill="1" applyBorder="1" applyProtection="1">
      <protection locked="0"/>
    </xf>
    <xf numFmtId="0" fontId="34" fillId="0" borderId="7" xfId="0" applyFont="1" applyBorder="1" applyAlignment="1" applyProtection="1">
      <alignment horizontal="right"/>
      <protection locked="0"/>
    </xf>
    <xf numFmtId="176" fontId="34" fillId="0" borderId="6" xfId="0" applyNumberFormat="1" applyFont="1" applyBorder="1" applyProtection="1">
      <protection locked="0"/>
    </xf>
    <xf numFmtId="176" fontId="34" fillId="0" borderId="8" xfId="0" applyNumberFormat="1" applyFont="1" applyBorder="1" applyProtection="1">
      <protection locked="0"/>
    </xf>
    <xf numFmtId="0" fontId="34" fillId="0" borderId="11" xfId="0" applyFont="1" applyBorder="1" applyAlignment="1" applyProtection="1">
      <alignment horizontal="right"/>
      <protection locked="0"/>
    </xf>
    <xf numFmtId="44" fontId="34" fillId="0" borderId="0" xfId="0" applyNumberFormat="1" applyFont="1" applyProtection="1">
      <protection locked="0"/>
    </xf>
    <xf numFmtId="0" fontId="36" fillId="0" borderId="0" xfId="0" applyFont="1" applyAlignment="1" applyProtection="1">
      <alignment horizontal="right"/>
      <protection locked="0"/>
    </xf>
    <xf numFmtId="0" fontId="34" fillId="0" borderId="0" xfId="1184" applyNumberFormat="1" applyFont="1" applyFill="1" applyBorder="1" applyAlignment="1" applyProtection="1">
      <alignment horizontal="right"/>
      <protection locked="0"/>
    </xf>
    <xf numFmtId="0" fontId="34" fillId="0" borderId="6" xfId="0" applyFont="1" applyBorder="1" applyProtection="1">
      <protection locked="0"/>
    </xf>
    <xf numFmtId="0" fontId="14" fillId="0" borderId="5" xfId="0" applyFont="1" applyBorder="1" applyAlignment="1" applyProtection="1">
      <alignment horizontal="center"/>
      <protection locked="0"/>
    </xf>
    <xf numFmtId="44" fontId="0" fillId="0" borderId="4" xfId="0" applyNumberFormat="1" applyBorder="1" applyProtection="1">
      <protection locked="0"/>
    </xf>
    <xf numFmtId="164" fontId="17" fillId="0" borderId="5" xfId="0" applyNumberFormat="1" applyFont="1" applyBorder="1" applyProtection="1">
      <protection locked="0"/>
    </xf>
    <xf numFmtId="44" fontId="11" fillId="0" borderId="0" xfId="1183" applyNumberFormat="1" applyFont="1" applyFill="1" applyBorder="1" applyProtection="1">
      <protection locked="0"/>
    </xf>
    <xf numFmtId="43" fontId="0" fillId="2" borderId="15" xfId="0" applyNumberFormat="1" applyFill="1" applyBorder="1" applyAlignment="1" applyProtection="1">
      <alignment horizontal="right"/>
      <protection locked="0"/>
    </xf>
    <xf numFmtId="43" fontId="0" fillId="37" borderId="15" xfId="0" applyNumberFormat="1" applyFill="1" applyBorder="1" applyAlignment="1" applyProtection="1">
      <alignment horizontal="right"/>
      <protection locked="0"/>
    </xf>
    <xf numFmtId="43" fontId="0" fillId="5" borderId="15" xfId="0" applyNumberFormat="1" applyFill="1" applyBorder="1" applyAlignment="1" applyProtection="1">
      <alignment horizontal="right"/>
      <protection locked="0"/>
    </xf>
    <xf numFmtId="0" fontId="25" fillId="37" borderId="0" xfId="0" applyFont="1" applyFill="1" applyAlignment="1" applyProtection="1">
      <alignment horizontal="center"/>
      <protection locked="0"/>
    </xf>
    <xf numFmtId="0" fontId="25" fillId="5" borderId="0" xfId="0" applyFont="1" applyFill="1" applyAlignment="1" applyProtection="1">
      <alignment horizontal="center"/>
      <protection locked="0"/>
    </xf>
    <xf numFmtId="166" fontId="11" fillId="5" borderId="0" xfId="1184" applyNumberFormat="1" applyFont="1" applyFill="1" applyBorder="1" applyAlignment="1" applyProtection="1">
      <alignment horizontal="center"/>
      <protection locked="0"/>
    </xf>
    <xf numFmtId="166" fontId="11" fillId="37" borderId="0" xfId="1184" applyNumberFormat="1" applyFont="1" applyFill="1" applyBorder="1" applyAlignment="1" applyProtection="1">
      <alignment horizontal="center"/>
      <protection locked="0"/>
    </xf>
    <xf numFmtId="166" fontId="11" fillId="2" borderId="0" xfId="1184" applyNumberFormat="1" applyFont="1" applyFill="1" applyBorder="1" applyAlignment="1" applyProtection="1">
      <alignment horizontal="center"/>
      <protection locked="0"/>
    </xf>
    <xf numFmtId="44" fontId="15" fillId="2" borderId="0" xfId="0" applyNumberFormat="1" applyFont="1" applyFill="1" applyProtection="1">
      <protection locked="0"/>
    </xf>
    <xf numFmtId="44" fontId="11" fillId="37" borderId="0" xfId="0" applyNumberFormat="1" applyFont="1" applyFill="1" applyProtection="1">
      <protection locked="0"/>
    </xf>
    <xf numFmtId="44" fontId="11" fillId="5" borderId="0" xfId="0" applyNumberFormat="1" applyFont="1" applyFill="1" applyProtection="1">
      <protection locked="0"/>
    </xf>
    <xf numFmtId="2" fontId="17" fillId="4" borderId="15" xfId="0" applyNumberFormat="1" applyFont="1" applyFill="1" applyBorder="1" applyAlignment="1" applyProtection="1">
      <alignment horizontal="center"/>
      <protection locked="0"/>
    </xf>
    <xf numFmtId="165" fontId="3" fillId="2" borderId="15" xfId="1184" applyFont="1" applyFill="1" applyBorder="1" applyProtection="1">
      <protection locked="0"/>
    </xf>
    <xf numFmtId="165" fontId="11" fillId="37" borderId="15" xfId="1184" applyFont="1" applyFill="1" applyBorder="1" applyProtection="1">
      <protection locked="0"/>
    </xf>
    <xf numFmtId="165" fontId="11" fillId="5" borderId="15" xfId="1184" applyFont="1" applyFill="1" applyBorder="1" applyProtection="1">
      <protection locked="0"/>
    </xf>
    <xf numFmtId="2" fontId="0" fillId="2" borderId="15" xfId="0" applyNumberFormat="1" applyFill="1" applyBorder="1" applyProtection="1">
      <protection locked="0"/>
    </xf>
    <xf numFmtId="2" fontId="0" fillId="37" borderId="15" xfId="0" applyNumberFormat="1" applyFill="1" applyBorder="1" applyProtection="1">
      <protection locked="0"/>
    </xf>
    <xf numFmtId="2" fontId="0" fillId="5" borderId="15" xfId="0" applyNumberFormat="1" applyFill="1" applyBorder="1" applyProtection="1">
      <protection locked="0"/>
    </xf>
    <xf numFmtId="9" fontId="0" fillId="38" borderId="0" xfId="0" applyNumberFormat="1" applyFill="1" applyProtection="1">
      <protection locked="0"/>
    </xf>
    <xf numFmtId="9" fontId="0" fillId="38" borderId="28" xfId="0" applyNumberFormat="1" applyFill="1" applyBorder="1" applyProtection="1">
      <protection locked="0"/>
    </xf>
    <xf numFmtId="0" fontId="48" fillId="0" borderId="7" xfId="0" applyFont="1" applyBorder="1" applyProtection="1">
      <protection locked="0"/>
    </xf>
    <xf numFmtId="2" fontId="11" fillId="0" borderId="15" xfId="0" applyNumberFormat="1" applyFont="1" applyBorder="1"/>
    <xf numFmtId="0" fontId="14" fillId="0" borderId="1" xfId="0" applyFont="1" applyBorder="1" applyProtection="1"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3" fontId="49" fillId="0" borderId="9" xfId="0" applyNumberFormat="1" applyFont="1" applyBorder="1" applyAlignment="1" applyProtection="1">
      <alignment horizontal="right"/>
      <protection locked="0"/>
    </xf>
    <xf numFmtId="0" fontId="48" fillId="0" borderId="7" xfId="0" applyFont="1" applyBorder="1" applyAlignment="1" applyProtection="1">
      <alignment horizontal="right"/>
      <protection locked="0"/>
    </xf>
    <xf numFmtId="0" fontId="34" fillId="4" borderId="0" xfId="0" quotePrefix="1" applyFont="1" applyFill="1" applyProtection="1">
      <protection locked="0"/>
    </xf>
    <xf numFmtId="164" fontId="14" fillId="27" borderId="12" xfId="1183" applyFont="1" applyFill="1" applyBorder="1" applyProtection="1">
      <protection locked="0"/>
    </xf>
    <xf numFmtId="0" fontId="14" fillId="27" borderId="14" xfId="0" applyFont="1" applyFill="1" applyBorder="1" applyProtection="1">
      <protection locked="0"/>
    </xf>
    <xf numFmtId="0" fontId="19" fillId="41" borderId="0" xfId="1184" applyNumberFormat="1" applyFont="1" applyFill="1" applyProtection="1">
      <protection locked="0"/>
    </xf>
    <xf numFmtId="3" fontId="76" fillId="4" borderId="0" xfId="0" applyNumberFormat="1" applyFont="1" applyFill="1"/>
    <xf numFmtId="0" fontId="76" fillId="4" borderId="0" xfId="0" applyFont="1" applyFill="1"/>
    <xf numFmtId="0" fontId="77" fillId="4" borderId="0" xfId="0" applyFont="1" applyFill="1"/>
    <xf numFmtId="3" fontId="0" fillId="0" borderId="0" xfId="0" applyNumberFormat="1"/>
    <xf numFmtId="3" fontId="17" fillId="4" borderId="0" xfId="0" applyNumberFormat="1" applyFont="1" applyFill="1"/>
    <xf numFmtId="0" fontId="17" fillId="4" borderId="0" xfId="0" applyFont="1" applyFill="1"/>
    <xf numFmtId="3" fontId="17" fillId="0" borderId="0" xfId="0" applyNumberFormat="1" applyFont="1"/>
    <xf numFmtId="0" fontId="0" fillId="38" borderId="0" xfId="0" applyFill="1"/>
    <xf numFmtId="0" fontId="20" fillId="4" borderId="0" xfId="0" applyFont="1" applyFill="1" applyAlignment="1">
      <alignment horizontal="center"/>
    </xf>
    <xf numFmtId="0" fontId="21" fillId="42" borderId="0" xfId="0" applyFont="1" applyFill="1"/>
    <xf numFmtId="3" fontId="0" fillId="26" borderId="0" xfId="0" applyNumberFormat="1" applyFill="1"/>
    <xf numFmtId="3" fontId="0" fillId="38" borderId="0" xfId="0" applyNumberFormat="1" applyFill="1"/>
    <xf numFmtId="3" fontId="0" fillId="29" borderId="0" xfId="0" applyNumberFormat="1" applyFill="1"/>
    <xf numFmtId="0" fontId="0" fillId="19" borderId="0" xfId="0" applyFill="1"/>
    <xf numFmtId="0" fontId="17" fillId="0" borderId="7" xfId="0" applyFont="1" applyBorder="1" applyProtection="1">
      <protection locked="0"/>
    </xf>
    <xf numFmtId="0" fontId="0" fillId="41" borderId="0" xfId="0" applyFill="1" applyAlignment="1" applyProtection="1">
      <alignment horizontal="right"/>
      <protection locked="0"/>
    </xf>
    <xf numFmtId="176" fontId="0" fillId="41" borderId="0" xfId="1080" applyNumberFormat="1" applyFont="1" applyFill="1" applyProtection="1">
      <protection locked="0"/>
    </xf>
    <xf numFmtId="0" fontId="0" fillId="0" borderId="37" xfId="0" applyBorder="1"/>
    <xf numFmtId="0" fontId="0" fillId="0" borderId="38" xfId="0" applyBorder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43" borderId="41" xfId="0" applyFill="1" applyBorder="1"/>
    <xf numFmtId="0" fontId="0" fillId="43" borderId="41" xfId="0" applyFill="1" applyBorder="1" applyAlignment="1">
      <alignment horizontal="center"/>
    </xf>
    <xf numFmtId="0" fontId="0" fillId="43" borderId="42" xfId="0" applyFill="1" applyBorder="1"/>
    <xf numFmtId="2" fontId="0" fillId="43" borderId="42" xfId="0" applyNumberFormat="1" applyFill="1" applyBorder="1"/>
    <xf numFmtId="176" fontId="0" fillId="43" borderId="42" xfId="0" applyNumberFormat="1" applyFill="1" applyBorder="1"/>
    <xf numFmtId="0" fontId="0" fillId="43" borderId="43" xfId="0" applyFill="1" applyBorder="1"/>
    <xf numFmtId="0" fontId="0" fillId="24" borderId="41" xfId="0" applyFill="1" applyBorder="1"/>
    <xf numFmtId="0" fontId="0" fillId="24" borderId="41" xfId="0" applyFill="1" applyBorder="1" applyAlignment="1">
      <alignment horizontal="center"/>
    </xf>
    <xf numFmtId="0" fontId="0" fillId="24" borderId="42" xfId="0" applyFill="1" applyBorder="1"/>
    <xf numFmtId="2" fontId="0" fillId="24" borderId="42" xfId="0" applyNumberFormat="1" applyFill="1" applyBorder="1"/>
    <xf numFmtId="176" fontId="0" fillId="24" borderId="42" xfId="0" applyNumberFormat="1" applyFill="1" applyBorder="1"/>
    <xf numFmtId="0" fontId="0" fillId="24" borderId="43" xfId="0" applyFill="1" applyBorder="1"/>
    <xf numFmtId="0" fontId="0" fillId="24" borderId="34" xfId="0" applyFill="1" applyBorder="1"/>
    <xf numFmtId="0" fontId="0" fillId="24" borderId="34" xfId="0" applyFill="1" applyBorder="1" applyAlignment="1">
      <alignment horizontal="center"/>
    </xf>
    <xf numFmtId="0" fontId="0" fillId="24" borderId="36" xfId="0" applyFill="1" applyBorder="1"/>
    <xf numFmtId="2" fontId="0" fillId="24" borderId="36" xfId="0" applyNumberFormat="1" applyFill="1" applyBorder="1"/>
    <xf numFmtId="0" fontId="0" fillId="24" borderId="46" xfId="0" applyFill="1" applyBorder="1" applyAlignment="1">
      <alignment horizontal="center"/>
    </xf>
    <xf numFmtId="0" fontId="0" fillId="24" borderId="47" xfId="0" applyFill="1" applyBorder="1"/>
    <xf numFmtId="2" fontId="0" fillId="24" borderId="47" xfId="0" applyNumberFormat="1" applyFill="1" applyBorder="1"/>
    <xf numFmtId="0" fontId="0" fillId="24" borderId="46" xfId="0" applyFill="1" applyBorder="1" applyAlignment="1">
      <alignment horizontal="right"/>
    </xf>
    <xf numFmtId="165" fontId="0" fillId="0" borderId="0" xfId="285" applyFont="1" applyFill="1" applyBorder="1" applyProtection="1">
      <protection locked="0"/>
    </xf>
    <xf numFmtId="0" fontId="0" fillId="41" borderId="48" xfId="0" applyFill="1" applyBorder="1" applyAlignment="1">
      <alignment vertical="center"/>
    </xf>
    <xf numFmtId="0" fontId="0" fillId="41" borderId="41" xfId="0" applyFill="1" applyBorder="1"/>
    <xf numFmtId="0" fontId="0" fillId="41" borderId="41" xfId="0" applyFill="1" applyBorder="1" applyAlignment="1">
      <alignment horizontal="center"/>
    </xf>
    <xf numFmtId="0" fontId="0" fillId="41" borderId="42" xfId="0" applyFill="1" applyBorder="1"/>
    <xf numFmtId="2" fontId="0" fillId="41" borderId="42" xfId="0" applyNumberFormat="1" applyFill="1" applyBorder="1"/>
    <xf numFmtId="176" fontId="0" fillId="41" borderId="42" xfId="0" applyNumberFormat="1" applyFill="1" applyBorder="1"/>
    <xf numFmtId="0" fontId="0" fillId="41" borderId="43" xfId="0" applyFill="1" applyBorder="1"/>
    <xf numFmtId="0" fontId="0" fillId="43" borderId="48" xfId="0" applyFill="1" applyBorder="1" applyAlignment="1">
      <alignment vertical="center"/>
    </xf>
    <xf numFmtId="165" fontId="0" fillId="0" borderId="0" xfId="285" applyFont="1" applyAlignment="1" applyProtection="1">
      <alignment horizontal="left"/>
      <protection locked="0"/>
    </xf>
    <xf numFmtId="165" fontId="0" fillId="0" borderId="0" xfId="285" applyFont="1" applyAlignment="1">
      <alignment horizontal="left"/>
    </xf>
    <xf numFmtId="165" fontId="11" fillId="0" borderId="0" xfId="285" applyFont="1" applyAlignment="1">
      <alignment horizontal="left"/>
    </xf>
    <xf numFmtId="165" fontId="19" fillId="0" borderId="0" xfId="285" applyFont="1" applyAlignment="1">
      <alignment horizontal="left"/>
    </xf>
    <xf numFmtId="0" fontId="78" fillId="41" borderId="0" xfId="285" applyNumberFormat="1" applyFont="1" applyFill="1" applyBorder="1" applyAlignment="1" applyProtection="1">
      <alignment horizontal="right"/>
      <protection locked="0"/>
    </xf>
    <xf numFmtId="0" fontId="0" fillId="24" borderId="48" xfId="0" applyFill="1" applyBorder="1" applyAlignment="1">
      <alignment vertical="center"/>
    </xf>
    <xf numFmtId="176" fontId="0" fillId="41" borderId="39" xfId="0" applyNumberFormat="1" applyFill="1" applyBorder="1"/>
    <xf numFmtId="0" fontId="0" fillId="41" borderId="49" xfId="0" applyFill="1" applyBorder="1"/>
    <xf numFmtId="176" fontId="17" fillId="0" borderId="12" xfId="0" applyNumberFormat="1" applyFont="1" applyBorder="1" applyProtection="1">
      <protection locked="0"/>
    </xf>
    <xf numFmtId="0" fontId="17" fillId="0" borderId="14" xfId="0" applyFont="1" applyBorder="1" applyProtection="1">
      <protection locked="0"/>
    </xf>
    <xf numFmtId="0" fontId="34" fillId="24" borderId="50" xfId="0" quotePrefix="1" applyFont="1" applyFill="1" applyBorder="1"/>
    <xf numFmtId="0" fontId="0" fillId="24" borderId="51" xfId="0" applyFill="1" applyBorder="1"/>
    <xf numFmtId="0" fontId="64" fillId="24" borderId="51" xfId="0" applyFont="1" applyFill="1" applyBorder="1"/>
    <xf numFmtId="176" fontId="17" fillId="24" borderId="52" xfId="0" applyNumberFormat="1" applyFont="1" applyFill="1" applyBorder="1"/>
    <xf numFmtId="176" fontId="17" fillId="24" borderId="32" xfId="0" applyNumberFormat="1" applyFont="1" applyFill="1" applyBorder="1"/>
    <xf numFmtId="176" fontId="17" fillId="24" borderId="53" xfId="0" applyNumberFormat="1" applyFont="1" applyFill="1" applyBorder="1"/>
    <xf numFmtId="43" fontId="34" fillId="0" borderId="0" xfId="0" applyNumberFormat="1" applyFont="1" applyProtection="1">
      <protection locked="0"/>
    </xf>
    <xf numFmtId="0" fontId="0" fillId="43" borderId="41" xfId="0" applyFill="1" applyBorder="1" applyAlignment="1">
      <alignment horizontal="right"/>
    </xf>
    <xf numFmtId="0" fontId="0" fillId="12" borderId="54" xfId="0" applyFill="1" applyBorder="1" applyAlignment="1">
      <alignment vertical="center"/>
    </xf>
    <xf numFmtId="0" fontId="0" fillId="12" borderId="46" xfId="0" applyFill="1" applyBorder="1" applyAlignment="1">
      <alignment horizontal="right"/>
    </xf>
    <xf numFmtId="0" fontId="0" fillId="12" borderId="46" xfId="0" applyFill="1" applyBorder="1" applyAlignment="1">
      <alignment horizontal="center"/>
    </xf>
    <xf numFmtId="0" fontId="0" fillId="12" borderId="47" xfId="0" applyFill="1" applyBorder="1"/>
    <xf numFmtId="2" fontId="0" fillId="12" borderId="47" xfId="0" applyNumberFormat="1" applyFill="1" applyBorder="1"/>
    <xf numFmtId="176" fontId="0" fillId="12" borderId="47" xfId="0" applyNumberFormat="1" applyFill="1" applyBorder="1"/>
    <xf numFmtId="0" fontId="34" fillId="12" borderId="40" xfId="0" applyFont="1" applyFill="1" applyBorder="1"/>
    <xf numFmtId="0" fontId="0" fillId="12" borderId="48" xfId="0" applyFill="1" applyBorder="1" applyAlignment="1">
      <alignment vertical="center"/>
    </xf>
    <xf numFmtId="0" fontId="0" fillId="12" borderId="41" xfId="0" applyFill="1" applyBorder="1"/>
    <xf numFmtId="0" fontId="0" fillId="12" borderId="41" xfId="0" applyFill="1" applyBorder="1" applyAlignment="1">
      <alignment horizontal="center"/>
    </xf>
    <xf numFmtId="0" fontId="0" fillId="12" borderId="42" xfId="0" applyFill="1" applyBorder="1"/>
    <xf numFmtId="2" fontId="0" fillId="12" borderId="42" xfId="0" applyNumberFormat="1" applyFill="1" applyBorder="1"/>
    <xf numFmtId="176" fontId="0" fillId="12" borderId="42" xfId="0" applyNumberFormat="1" applyFill="1" applyBorder="1"/>
    <xf numFmtId="0" fontId="0" fillId="12" borderId="43" xfId="0" applyFill="1" applyBorder="1"/>
    <xf numFmtId="0" fontId="34" fillId="43" borderId="43" xfId="0" quotePrefix="1" applyFont="1" applyFill="1" applyBorder="1"/>
    <xf numFmtId="0" fontId="34" fillId="43" borderId="43" xfId="0" applyFont="1" applyFill="1" applyBorder="1"/>
    <xf numFmtId="0" fontId="73" fillId="12" borderId="54" xfId="0" applyFont="1" applyFill="1" applyBorder="1" applyAlignment="1">
      <alignment horizontal="center"/>
    </xf>
    <xf numFmtId="0" fontId="0" fillId="12" borderId="46" xfId="0" applyFill="1" applyBorder="1"/>
    <xf numFmtId="0" fontId="0" fillId="41" borderId="54" xfId="0" applyFill="1" applyBorder="1" applyAlignment="1">
      <alignment vertical="center"/>
    </xf>
    <xf numFmtId="0" fontId="0" fillId="41" borderId="46" xfId="0" applyFill="1" applyBorder="1"/>
    <xf numFmtId="0" fontId="0" fillId="41" borderId="46" xfId="0" applyFill="1" applyBorder="1" applyAlignment="1">
      <alignment horizontal="center"/>
    </xf>
    <xf numFmtId="0" fontId="0" fillId="41" borderId="47" xfId="0" applyFill="1" applyBorder="1"/>
    <xf numFmtId="2" fontId="0" fillId="41" borderId="47" xfId="0" applyNumberFormat="1" applyFill="1" applyBorder="1"/>
    <xf numFmtId="176" fontId="0" fillId="41" borderId="47" xfId="0" applyNumberFormat="1" applyFill="1" applyBorder="1"/>
    <xf numFmtId="0" fontId="0" fillId="41" borderId="40" xfId="0" applyFill="1" applyBorder="1"/>
    <xf numFmtId="0" fontId="34" fillId="24" borderId="43" xfId="0" applyFont="1" applyFill="1" applyBorder="1"/>
    <xf numFmtId="0" fontId="0" fillId="24" borderId="54" xfId="0" applyFill="1" applyBorder="1" applyAlignment="1">
      <alignment vertical="center"/>
    </xf>
    <xf numFmtId="176" fontId="0" fillId="24" borderId="40" xfId="0" applyNumberFormat="1" applyFill="1" applyBorder="1"/>
    <xf numFmtId="165" fontId="0" fillId="24" borderId="47" xfId="285" applyFont="1" applyFill="1" applyBorder="1"/>
    <xf numFmtId="0" fontId="0" fillId="33" borderId="32" xfId="0" applyFill="1" applyBorder="1" applyAlignment="1" applyProtection="1">
      <alignment horizontal="center" vertical="center"/>
      <protection locked="0"/>
    </xf>
    <xf numFmtId="0" fontId="0" fillId="0" borderId="47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46" xfId="0" applyBorder="1" applyAlignment="1">
      <alignment horizontal="center"/>
    </xf>
    <xf numFmtId="2" fontId="0" fillId="24" borderId="46" xfId="0" applyNumberFormat="1" applyFill="1" applyBorder="1" applyAlignment="1">
      <alignment horizontal="center"/>
    </xf>
    <xf numFmtId="0" fontId="17" fillId="0" borderId="12" xfId="0" applyFont="1" applyBorder="1" applyAlignment="1" applyProtection="1">
      <alignment horizontal="right"/>
      <protection locked="0"/>
    </xf>
    <xf numFmtId="176" fontId="17" fillId="0" borderId="14" xfId="0" applyNumberFormat="1" applyFont="1" applyBorder="1" applyProtection="1">
      <protection locked="0"/>
    </xf>
    <xf numFmtId="0" fontId="34" fillId="0" borderId="0" xfId="0" applyFont="1" applyAlignment="1">
      <alignment horizontal="left"/>
    </xf>
    <xf numFmtId="0" fontId="46" fillId="24" borderId="51" xfId="0" applyFont="1" applyFill="1" applyBorder="1"/>
    <xf numFmtId="3" fontId="61" fillId="36" borderId="14" xfId="0" applyNumberFormat="1" applyFont="1" applyFill="1" applyBorder="1" applyAlignment="1" applyProtection="1">
      <alignment horizontal="right"/>
      <protection locked="0"/>
    </xf>
    <xf numFmtId="37" fontId="62" fillId="36" borderId="15" xfId="0" applyNumberFormat="1" applyFont="1" applyFill="1" applyBorder="1" applyProtection="1">
      <protection locked="0"/>
    </xf>
    <xf numFmtId="0" fontId="0" fillId="26" borderId="7" xfId="0" applyFill="1" applyBorder="1" applyAlignment="1">
      <alignment horizontal="center"/>
    </xf>
    <xf numFmtId="0" fontId="17" fillId="38" borderId="7" xfId="0" applyFont="1" applyFill="1" applyBorder="1" applyAlignment="1">
      <alignment horizontal="center"/>
    </xf>
    <xf numFmtId="0" fontId="17" fillId="29" borderId="7" xfId="0" applyFont="1" applyFill="1" applyBorder="1" applyAlignment="1">
      <alignment horizontal="center"/>
    </xf>
    <xf numFmtId="0" fontId="17" fillId="26" borderId="7" xfId="0" applyFont="1" applyFill="1" applyBorder="1" applyAlignment="1">
      <alignment horizontal="center"/>
    </xf>
    <xf numFmtId="0" fontId="17" fillId="38" borderId="28" xfId="0" applyFont="1" applyFill="1" applyBorder="1" applyAlignment="1" applyProtection="1">
      <alignment horizontal="center"/>
      <protection locked="0"/>
    </xf>
    <xf numFmtId="0" fontId="17" fillId="29" borderId="28" xfId="0" applyFont="1" applyFill="1" applyBorder="1" applyAlignment="1" applyProtection="1">
      <alignment horizontal="center"/>
      <protection locked="0"/>
    </xf>
    <xf numFmtId="0" fontId="17" fillId="26" borderId="28" xfId="0" applyFont="1" applyFill="1" applyBorder="1" applyAlignment="1" applyProtection="1">
      <alignment horizontal="center"/>
      <protection locked="0"/>
    </xf>
    <xf numFmtId="37" fontId="0" fillId="0" borderId="0" xfId="0" applyNumberFormat="1" applyProtection="1">
      <protection locked="0"/>
    </xf>
    <xf numFmtId="37" fontId="0" fillId="0" borderId="0" xfId="0" applyNumberFormat="1" applyAlignment="1" applyProtection="1">
      <alignment horizontal="left"/>
      <protection locked="0"/>
    </xf>
    <xf numFmtId="0" fontId="11" fillId="19" borderId="0" xfId="0" applyFont="1" applyFill="1" applyAlignment="1">
      <alignment horizontal="left"/>
    </xf>
    <xf numFmtId="0" fontId="0" fillId="19" borderId="0" xfId="0" applyFill="1" applyAlignment="1">
      <alignment horizontal="left"/>
    </xf>
    <xf numFmtId="165" fontId="0" fillId="19" borderId="0" xfId="285" applyFont="1" applyFill="1" applyAlignment="1">
      <alignment horizontal="left"/>
    </xf>
    <xf numFmtId="165" fontId="79" fillId="40" borderId="0" xfId="285" applyFont="1" applyFill="1" applyAlignment="1" applyProtection="1">
      <alignment horizontal="center"/>
      <protection locked="0"/>
    </xf>
    <xf numFmtId="0" fontId="0" fillId="40" borderId="0" xfId="0" applyFill="1" applyAlignment="1" applyProtection="1">
      <alignment horizontal="left"/>
      <protection locked="0"/>
    </xf>
    <xf numFmtId="0" fontId="0" fillId="40" borderId="0" xfId="0" applyFill="1" applyAlignment="1">
      <alignment horizontal="left"/>
    </xf>
    <xf numFmtId="166" fontId="11" fillId="41" borderId="0" xfId="285" applyNumberFormat="1" applyFont="1" applyFill="1" applyBorder="1" applyAlignment="1" applyProtection="1">
      <alignment horizontal="center"/>
      <protection locked="0"/>
    </xf>
    <xf numFmtId="165" fontId="0" fillId="26" borderId="0" xfId="285" applyFont="1" applyFill="1" applyBorder="1" applyProtection="1">
      <protection locked="0"/>
    </xf>
    <xf numFmtId="165" fontId="0" fillId="41" borderId="0" xfId="285" applyFont="1" applyFill="1" applyBorder="1" applyProtection="1">
      <protection locked="0"/>
    </xf>
    <xf numFmtId="0" fontId="0" fillId="24" borderId="46" xfId="0" applyFill="1" applyBorder="1" applyAlignment="1">
      <alignment horizontal="left"/>
    </xf>
    <xf numFmtId="0" fontId="78" fillId="26" borderId="0" xfId="285" applyNumberFormat="1" applyFont="1" applyFill="1" applyBorder="1" applyAlignment="1" applyProtection="1">
      <alignment horizontal="right"/>
      <protection locked="0"/>
    </xf>
    <xf numFmtId="0" fontId="78" fillId="41" borderId="0" xfId="285" applyNumberFormat="1" applyFont="1" applyFill="1" applyBorder="1" applyAlignment="1" applyProtection="1">
      <alignment horizontal="center"/>
      <protection locked="0"/>
    </xf>
    <xf numFmtId="0" fontId="78" fillId="26" borderId="0" xfId="285" applyNumberFormat="1" applyFont="1" applyFill="1" applyBorder="1" applyAlignment="1" applyProtection="1">
      <alignment horizontal="center"/>
      <protection locked="0"/>
    </xf>
    <xf numFmtId="0" fontId="20" fillId="4" borderId="0" xfId="0" applyFont="1" applyFill="1" applyAlignment="1" applyProtection="1">
      <alignment horizontal="center"/>
      <protection locked="0"/>
    </xf>
    <xf numFmtId="0" fontId="0" fillId="41" borderId="22" xfId="0" applyFill="1" applyBorder="1" applyAlignment="1" applyProtection="1">
      <alignment horizontal="right"/>
      <protection locked="0"/>
    </xf>
    <xf numFmtId="166" fontId="0" fillId="41" borderId="23" xfId="0" applyNumberFormat="1" applyFill="1" applyBorder="1" applyProtection="1">
      <protection locked="0"/>
    </xf>
    <xf numFmtId="166" fontId="0" fillId="41" borderId="24" xfId="0" applyNumberFormat="1" applyFill="1" applyBorder="1" applyProtection="1">
      <protection locked="0"/>
    </xf>
    <xf numFmtId="0" fontId="0" fillId="26" borderId="27" xfId="0" applyFill="1" applyBorder="1" applyAlignment="1" applyProtection="1">
      <alignment horizontal="right"/>
      <protection locked="0"/>
    </xf>
    <xf numFmtId="166" fontId="0" fillId="26" borderId="28" xfId="0" applyNumberFormat="1" applyFill="1" applyBorder="1" applyProtection="1">
      <protection locked="0"/>
    </xf>
    <xf numFmtId="166" fontId="0" fillId="26" borderId="29" xfId="0" applyNumberFormat="1" applyFill="1" applyBorder="1" applyProtection="1">
      <protection locked="0"/>
    </xf>
    <xf numFmtId="0" fontId="48" fillId="0" borderId="0" xfId="0" applyFont="1" applyAlignment="1" applyProtection="1">
      <alignment horizontal="right" vertical="center"/>
      <protection locked="0"/>
    </xf>
    <xf numFmtId="0" fontId="0" fillId="24" borderId="46" xfId="0" applyFill="1" applyBorder="1"/>
    <xf numFmtId="176" fontId="0" fillId="24" borderId="47" xfId="0" applyNumberFormat="1" applyFill="1" applyBorder="1"/>
    <xf numFmtId="0" fontId="0" fillId="24" borderId="40" xfId="0" applyFill="1" applyBorder="1"/>
    <xf numFmtId="0" fontId="2" fillId="41" borderId="40" xfId="0" applyFont="1" applyFill="1" applyBorder="1"/>
    <xf numFmtId="39" fontId="0" fillId="24" borderId="41" xfId="0" applyNumberFormat="1" applyFill="1" applyBorder="1" applyAlignment="1">
      <alignment horizontal="center"/>
    </xf>
    <xf numFmtId="0" fontId="34" fillId="41" borderId="40" xfId="0" applyFont="1" applyFill="1" applyBorder="1"/>
    <xf numFmtId="176" fontId="34" fillId="41" borderId="47" xfId="0" applyNumberFormat="1" applyFont="1" applyFill="1" applyBorder="1"/>
    <xf numFmtId="176" fontId="0" fillId="41" borderId="0" xfId="0" applyNumberFormat="1" applyFill="1" applyProtection="1">
      <protection locked="0"/>
    </xf>
    <xf numFmtId="0" fontId="20" fillId="26" borderId="0" xfId="0" applyFont="1" applyFill="1" applyAlignment="1" applyProtection="1">
      <alignment horizontal="center"/>
      <protection locked="0"/>
    </xf>
    <xf numFmtId="0" fontId="20" fillId="41" borderId="55" xfId="0" applyFont="1" applyFill="1" applyBorder="1" applyAlignment="1" applyProtection="1">
      <alignment horizontal="center"/>
      <protection locked="0"/>
    </xf>
    <xf numFmtId="176" fontId="17" fillId="41" borderId="53" xfId="0" applyNumberFormat="1" applyFont="1" applyFill="1" applyBorder="1" applyAlignment="1" applyProtection="1">
      <alignment horizontal="center"/>
      <protection locked="0"/>
    </xf>
    <xf numFmtId="0" fontId="11" fillId="41" borderId="0" xfId="0" applyFont="1" applyFill="1" applyAlignment="1" applyProtection="1">
      <alignment horizontal="right"/>
      <protection locked="0"/>
    </xf>
    <xf numFmtId="0" fontId="14" fillId="41" borderId="4" xfId="0" applyFont="1" applyFill="1" applyBorder="1" applyAlignment="1" applyProtection="1">
      <alignment horizontal="left"/>
      <protection locked="0"/>
    </xf>
    <xf numFmtId="0" fontId="48" fillId="41" borderId="15" xfId="0" applyFont="1" applyFill="1" applyBorder="1" applyProtection="1">
      <protection locked="0"/>
    </xf>
    <xf numFmtId="0" fontId="81" fillId="4" borderId="0" xfId="0" applyFont="1" applyFill="1" applyAlignment="1" applyProtection="1">
      <alignment horizontal="right"/>
      <protection locked="0"/>
    </xf>
    <xf numFmtId="37" fontId="0" fillId="0" borderId="0" xfId="0" applyNumberFormat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3" fontId="17" fillId="0" borderId="0" xfId="1184" applyNumberFormat="1" applyFont="1" applyFill="1" applyBorder="1" applyProtection="1">
      <protection locked="0"/>
    </xf>
    <xf numFmtId="3" fontId="0" fillId="0" borderId="0" xfId="1184" applyNumberFormat="1" applyFont="1" applyFill="1" applyBorder="1" applyProtection="1">
      <protection locked="0"/>
    </xf>
    <xf numFmtId="0" fontId="0" fillId="16" borderId="7" xfId="0" applyFill="1" applyBorder="1" applyProtection="1">
      <protection locked="0"/>
    </xf>
    <xf numFmtId="0" fontId="0" fillId="23" borderId="7" xfId="0" applyFill="1" applyBorder="1" applyAlignment="1" applyProtection="1">
      <alignment horizontal="right"/>
      <protection locked="0"/>
    </xf>
    <xf numFmtId="4" fontId="17" fillId="0" borderId="0" xfId="0" applyNumberFormat="1" applyFont="1" applyProtection="1">
      <protection locked="0"/>
    </xf>
    <xf numFmtId="39" fontId="0" fillId="16" borderId="0" xfId="0" applyNumberFormat="1" applyFill="1" applyAlignment="1" applyProtection="1">
      <alignment horizontal="right"/>
      <protection locked="0"/>
    </xf>
    <xf numFmtId="39" fontId="0" fillId="16" borderId="7" xfId="0" applyNumberFormat="1" applyFill="1" applyBorder="1" applyAlignment="1" applyProtection="1">
      <alignment horizontal="right"/>
      <protection locked="0"/>
    </xf>
    <xf numFmtId="0" fontId="36" fillId="0" borderId="0" xfId="0" applyFont="1" applyAlignment="1" applyProtection="1">
      <alignment horizontal="left"/>
      <protection locked="0"/>
    </xf>
    <xf numFmtId="0" fontId="36" fillId="0" borderId="0" xfId="0" applyFont="1" applyAlignment="1" applyProtection="1">
      <alignment horizontal="center"/>
      <protection locked="0"/>
    </xf>
    <xf numFmtId="0" fontId="51" fillId="37" borderId="0" xfId="0" applyFont="1" applyFill="1" applyAlignment="1" applyProtection="1">
      <alignment horizontal="left"/>
      <protection locked="0"/>
    </xf>
    <xf numFmtId="0" fontId="36" fillId="2" borderId="0" xfId="0" applyFont="1" applyFill="1" applyAlignment="1" applyProtection="1">
      <alignment horizontal="left"/>
      <protection locked="0"/>
    </xf>
    <xf numFmtId="0" fontId="36" fillId="5" borderId="0" xfId="0" applyFont="1" applyFill="1" applyAlignment="1" applyProtection="1">
      <alignment horizontal="left"/>
      <protection locked="0"/>
    </xf>
    <xf numFmtId="9" fontId="34" fillId="2" borderId="0" xfId="647" applyFont="1" applyFill="1" applyAlignment="1" applyProtection="1">
      <alignment horizontal="right"/>
      <protection locked="0"/>
    </xf>
    <xf numFmtId="9" fontId="48" fillId="37" borderId="0" xfId="647" applyFont="1" applyFill="1" applyAlignment="1" applyProtection="1">
      <alignment horizontal="right"/>
      <protection locked="0"/>
    </xf>
    <xf numFmtId="9" fontId="34" fillId="5" borderId="0" xfId="647" applyFont="1" applyFill="1" applyAlignment="1" applyProtection="1">
      <alignment horizontal="right"/>
      <protection locked="0"/>
    </xf>
    <xf numFmtId="9" fontId="0" fillId="0" borderId="0" xfId="1183" applyNumberFormat="1" applyFont="1" applyFill="1" applyBorder="1" applyProtection="1">
      <protection locked="0"/>
    </xf>
    <xf numFmtId="9" fontId="34" fillId="0" borderId="0" xfId="647" applyFont="1" applyAlignment="1" applyProtection="1">
      <alignment horizontal="right"/>
      <protection locked="0"/>
    </xf>
    <xf numFmtId="37" fontId="17" fillId="2" borderId="0" xfId="0" applyNumberFormat="1" applyFont="1" applyFill="1" applyAlignment="1" applyProtection="1">
      <alignment horizontal="center"/>
      <protection locked="0"/>
    </xf>
    <xf numFmtId="37" fontId="17" fillId="37" borderId="0" xfId="0" applyNumberFormat="1" applyFont="1" applyFill="1" applyAlignment="1" applyProtection="1">
      <alignment horizontal="center"/>
      <protection locked="0"/>
    </xf>
    <xf numFmtId="37" fontId="17" fillId="5" borderId="0" xfId="0" applyNumberFormat="1" applyFont="1" applyFill="1" applyAlignment="1" applyProtection="1">
      <alignment horizontal="center"/>
      <protection locked="0"/>
    </xf>
    <xf numFmtId="3" fontId="17" fillId="2" borderId="19" xfId="0" applyNumberFormat="1" applyFont="1" applyFill="1" applyBorder="1" applyAlignment="1" applyProtection="1">
      <alignment horizontal="center"/>
      <protection locked="0"/>
    </xf>
    <xf numFmtId="3" fontId="17" fillId="37" borderId="19" xfId="0" applyNumberFormat="1" applyFont="1" applyFill="1" applyBorder="1" applyAlignment="1" applyProtection="1">
      <alignment horizontal="center"/>
      <protection locked="0"/>
    </xf>
    <xf numFmtId="3" fontId="17" fillId="5" borderId="19" xfId="0" applyNumberFormat="1" applyFont="1" applyFill="1" applyBorder="1" applyAlignment="1" applyProtection="1">
      <alignment horizontal="center"/>
      <protection locked="0"/>
    </xf>
    <xf numFmtId="1" fontId="14" fillId="37" borderId="15" xfId="0" applyNumberFormat="1" applyFont="1" applyFill="1" applyBorder="1" applyAlignment="1" applyProtection="1">
      <alignment horizontal="center"/>
      <protection locked="0"/>
    </xf>
    <xf numFmtId="1" fontId="19" fillId="26" borderId="0" xfId="0" applyNumberFormat="1" applyFont="1" applyFill="1"/>
    <xf numFmtId="1" fontId="19" fillId="23" borderId="0" xfId="0" applyNumberFormat="1" applyFont="1" applyFill="1"/>
    <xf numFmtId="0" fontId="14" fillId="45" borderId="4" xfId="0" applyFont="1" applyFill="1" applyBorder="1" applyAlignment="1" applyProtection="1">
      <alignment horizontal="left"/>
      <protection locked="0"/>
    </xf>
    <xf numFmtId="166" fontId="11" fillId="45" borderId="0" xfId="285" applyNumberFormat="1" applyFont="1" applyFill="1" applyBorder="1" applyAlignment="1" applyProtection="1">
      <alignment horizontal="center"/>
      <protection locked="0"/>
    </xf>
    <xf numFmtId="0" fontId="11" fillId="45" borderId="0" xfId="0" applyFont="1" applyFill="1" applyAlignment="1" applyProtection="1">
      <alignment horizontal="right"/>
      <protection locked="0"/>
    </xf>
    <xf numFmtId="0" fontId="48" fillId="45" borderId="15" xfId="0" applyFont="1" applyFill="1" applyBorder="1" applyProtection="1">
      <protection locked="0"/>
    </xf>
    <xf numFmtId="0" fontId="14" fillId="45" borderId="15" xfId="0" applyFont="1" applyFill="1" applyBorder="1" applyProtection="1">
      <protection locked="0"/>
    </xf>
    <xf numFmtId="0" fontId="14" fillId="41" borderId="15" xfId="0" applyFont="1" applyFill="1" applyBorder="1" applyProtection="1">
      <protection locked="0"/>
    </xf>
    <xf numFmtId="166" fontId="15" fillId="2" borderId="15" xfId="285" applyNumberFormat="1" applyFont="1" applyFill="1" applyBorder="1" applyProtection="1">
      <protection locked="0"/>
    </xf>
    <xf numFmtId="0" fontId="38" fillId="41" borderId="0" xfId="0" applyFont="1" applyFill="1" applyProtection="1">
      <protection locked="0"/>
    </xf>
    <xf numFmtId="0" fontId="38" fillId="45" borderId="0" xfId="0" applyFont="1" applyFill="1" applyProtection="1">
      <protection locked="0"/>
    </xf>
    <xf numFmtId="44" fontId="11" fillId="45" borderId="5" xfId="0" applyNumberFormat="1" applyFont="1" applyFill="1" applyBorder="1" applyProtection="1">
      <protection locked="0"/>
    </xf>
    <xf numFmtId="44" fontId="11" fillId="41" borderId="5" xfId="0" applyNumberFormat="1" applyFont="1" applyFill="1" applyBorder="1" applyProtection="1">
      <protection locked="0"/>
    </xf>
    <xf numFmtId="164" fontId="34" fillId="2" borderId="0" xfId="286" applyFont="1" applyFill="1" applyBorder="1" applyProtection="1">
      <protection locked="0"/>
    </xf>
    <xf numFmtId="0" fontId="48" fillId="28" borderId="0" xfId="0" applyFont="1" applyFill="1" applyAlignment="1">
      <alignment horizontal="left"/>
    </xf>
    <xf numFmtId="176" fontId="0" fillId="0" borderId="0" xfId="1080" applyNumberFormat="1" applyFont="1" applyFill="1" applyProtection="1">
      <protection locked="0"/>
    </xf>
    <xf numFmtId="176" fontId="17" fillId="26" borderId="0" xfId="1080" applyNumberFormat="1" applyFont="1" applyFill="1" applyProtection="1">
      <protection locked="0"/>
    </xf>
    <xf numFmtId="0" fontId="17" fillId="26" borderId="0" xfId="0" applyFont="1" applyFill="1" applyAlignment="1" applyProtection="1">
      <alignment horizontal="right"/>
      <protection locked="0"/>
    </xf>
    <xf numFmtId="9" fontId="17" fillId="26" borderId="0" xfId="0" applyNumberFormat="1" applyFont="1" applyFill="1" applyProtection="1">
      <protection locked="0"/>
    </xf>
    <xf numFmtId="0" fontId="17" fillId="26" borderId="0" xfId="0" applyFont="1" applyFill="1" applyProtection="1">
      <protection locked="0"/>
    </xf>
    <xf numFmtId="9" fontId="19" fillId="26" borderId="0" xfId="0" applyNumberFormat="1" applyFont="1" applyFill="1" applyAlignment="1" applyProtection="1">
      <alignment horizontal="center"/>
      <protection locked="0"/>
    </xf>
    <xf numFmtId="0" fontId="0" fillId="34" borderId="0" xfId="0" applyFill="1" applyAlignment="1" applyProtection="1">
      <alignment vertical="center"/>
      <protection locked="0"/>
    </xf>
    <xf numFmtId="0" fontId="17" fillId="0" borderId="7" xfId="0" applyFont="1" applyBorder="1" applyAlignment="1" applyProtection="1">
      <alignment horizontal="right"/>
      <protection locked="0"/>
    </xf>
    <xf numFmtId="0" fontId="0" fillId="23" borderId="7" xfId="0" applyFill="1" applyBorder="1" applyProtection="1">
      <protection locked="0"/>
    </xf>
    <xf numFmtId="9" fontId="0" fillId="23" borderId="0" xfId="0" applyNumberFormat="1" applyFill="1" applyProtection="1">
      <protection locked="0"/>
    </xf>
    <xf numFmtId="0" fontId="20" fillId="4" borderId="0" xfId="0" applyFont="1" applyFill="1" applyAlignment="1" applyProtection="1">
      <alignment horizontal="left"/>
      <protection locked="0"/>
    </xf>
    <xf numFmtId="0" fontId="17" fillId="28" borderId="0" xfId="0" applyFont="1" applyFill="1" applyProtection="1">
      <protection locked="0"/>
    </xf>
    <xf numFmtId="0" fontId="46" fillId="0" borderId="0" xfId="0" applyFont="1" applyProtection="1">
      <protection locked="0"/>
    </xf>
    <xf numFmtId="0" fontId="19" fillId="23" borderId="0" xfId="0" applyFont="1" applyFill="1" applyAlignment="1">
      <alignment horizontal="right"/>
    </xf>
    <xf numFmtId="172" fontId="11" fillId="23" borderId="0" xfId="647" applyNumberFormat="1" applyFont="1" applyFill="1"/>
    <xf numFmtId="0" fontId="19" fillId="23" borderId="0" xfId="0" quotePrefix="1" applyFont="1" applyFill="1" applyAlignment="1">
      <alignment horizontal="right"/>
    </xf>
    <xf numFmtId="0" fontId="11" fillId="23" borderId="0" xfId="0" applyFont="1" applyFill="1"/>
    <xf numFmtId="0" fontId="39" fillId="0" borderId="2" xfId="0" applyFont="1" applyBorder="1" applyAlignment="1" applyProtection="1">
      <alignment horizontal="center"/>
      <protection locked="0"/>
    </xf>
    <xf numFmtId="39" fontId="14" fillId="26" borderId="15" xfId="0" applyNumberFormat="1" applyFont="1" applyFill="1" applyBorder="1" applyProtection="1">
      <protection locked="0"/>
    </xf>
    <xf numFmtId="0" fontId="38" fillId="23" borderId="11" xfId="0" quotePrefix="1" applyFont="1" applyFill="1" applyBorder="1" applyAlignment="1" applyProtection="1">
      <alignment horizontal="center"/>
      <protection locked="0"/>
    </xf>
    <xf numFmtId="0" fontId="34" fillId="41" borderId="0" xfId="0" applyFont="1" applyFill="1" applyProtection="1">
      <protection locked="0"/>
    </xf>
    <xf numFmtId="3" fontId="0" fillId="28" borderId="12" xfId="0" applyNumberFormat="1" applyFill="1" applyBorder="1" applyProtection="1">
      <protection locked="0"/>
    </xf>
    <xf numFmtId="3" fontId="0" fillId="16" borderId="0" xfId="0" applyNumberFormat="1" applyFill="1" applyProtection="1">
      <protection locked="0"/>
    </xf>
    <xf numFmtId="3" fontId="0" fillId="38" borderId="0" xfId="0" applyNumberFormat="1" applyFill="1" applyAlignment="1" applyProtection="1">
      <alignment horizontal="right"/>
      <protection locked="0"/>
    </xf>
    <xf numFmtId="3" fontId="0" fillId="29" borderId="0" xfId="0" applyNumberFormat="1" applyFill="1" applyAlignment="1" applyProtection="1">
      <alignment horizontal="right"/>
      <protection locked="0"/>
    </xf>
    <xf numFmtId="3" fontId="0" fillId="26" borderId="0" xfId="0" applyNumberFormat="1" applyFill="1" applyAlignment="1" applyProtection="1">
      <alignment horizontal="right"/>
      <protection locked="0"/>
    </xf>
    <xf numFmtId="3" fontId="0" fillId="16" borderId="0" xfId="0" applyNumberFormat="1" applyFill="1" applyAlignment="1" applyProtection="1">
      <alignment horizontal="right"/>
      <protection locked="0"/>
    </xf>
    <xf numFmtId="3" fontId="0" fillId="16" borderId="7" xfId="0" applyNumberFormat="1" applyFill="1" applyBorder="1" applyProtection="1">
      <protection locked="0"/>
    </xf>
    <xf numFmtId="3" fontId="0" fillId="16" borderId="7" xfId="0" applyNumberFormat="1" applyFill="1" applyBorder="1" applyAlignment="1" applyProtection="1">
      <alignment horizontal="right"/>
      <protection locked="0"/>
    </xf>
    <xf numFmtId="3" fontId="0" fillId="0" borderId="0" xfId="0" applyNumberFormat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44" fontId="0" fillId="0" borderId="0" xfId="0" applyNumberFormat="1" applyAlignment="1" applyProtection="1">
      <alignment horizontal="center"/>
      <protection locked="0"/>
    </xf>
    <xf numFmtId="3" fontId="0" fillId="0" borderId="0" xfId="0" applyNumberFormat="1" applyProtection="1">
      <protection locked="0"/>
    </xf>
    <xf numFmtId="39" fontId="19" fillId="0" borderId="0" xfId="285" applyNumberFormat="1" applyFont="1" applyAlignment="1" applyProtection="1">
      <alignment horizontal="center"/>
      <protection locked="0"/>
    </xf>
    <xf numFmtId="0" fontId="11" fillId="19" borderId="0" xfId="0" applyFont="1" applyFill="1" applyProtection="1">
      <protection locked="0"/>
    </xf>
    <xf numFmtId="0" fontId="19" fillId="19" borderId="0" xfId="0" applyFont="1" applyFill="1" applyProtection="1">
      <protection locked="0"/>
    </xf>
    <xf numFmtId="0" fontId="0" fillId="19" borderId="0" xfId="0" applyFill="1" applyProtection="1">
      <protection locked="0"/>
    </xf>
    <xf numFmtId="44" fontId="11" fillId="19" borderId="0" xfId="0" applyNumberFormat="1" applyFont="1" applyFill="1" applyProtection="1">
      <protection locked="0"/>
    </xf>
    <xf numFmtId="0" fontId="11" fillId="26" borderId="15" xfId="0" applyFont="1" applyFill="1" applyBorder="1" applyProtection="1">
      <protection locked="0"/>
    </xf>
    <xf numFmtId="39" fontId="11" fillId="26" borderId="15" xfId="1184" applyNumberFormat="1" applyFont="1" applyFill="1" applyBorder="1" applyProtection="1">
      <protection locked="0"/>
    </xf>
    <xf numFmtId="0" fontId="34" fillId="24" borderId="0" xfId="0" applyFont="1" applyFill="1" applyAlignment="1" applyProtection="1">
      <alignment horizontal="center"/>
      <protection locked="0"/>
    </xf>
    <xf numFmtId="0" fontId="34" fillId="33" borderId="0" xfId="0" applyFont="1" applyFill="1" applyProtection="1">
      <protection locked="0"/>
    </xf>
    <xf numFmtId="0" fontId="0" fillId="33" borderId="0" xfId="0" applyFill="1" applyProtection="1">
      <protection locked="0"/>
    </xf>
    <xf numFmtId="0" fontId="85" fillId="42" borderId="0" xfId="0" applyFont="1" applyFill="1" applyProtection="1">
      <protection locked="0"/>
    </xf>
    <xf numFmtId="0" fontId="21" fillId="42" borderId="0" xfId="0" applyFont="1" applyFill="1" applyProtection="1">
      <protection locked="0"/>
    </xf>
    <xf numFmtId="0" fontId="19" fillId="24" borderId="0" xfId="0" quotePrefix="1" applyFont="1" applyFill="1" applyProtection="1">
      <protection locked="0"/>
    </xf>
    <xf numFmtId="9" fontId="19" fillId="24" borderId="0" xfId="0" applyNumberFormat="1" applyFont="1" applyFill="1" applyAlignment="1" applyProtection="1">
      <alignment horizontal="center"/>
      <protection locked="0"/>
    </xf>
    <xf numFmtId="0" fontId="19" fillId="24" borderId="4" xfId="0" applyFont="1" applyFill="1" applyBorder="1" applyProtection="1">
      <protection locked="0"/>
    </xf>
    <xf numFmtId="44" fontId="19" fillId="24" borderId="5" xfId="0" applyNumberFormat="1" applyFont="1" applyFill="1" applyBorder="1" applyProtection="1">
      <protection locked="0"/>
    </xf>
    <xf numFmtId="44" fontId="19" fillId="24" borderId="7" xfId="0" applyNumberFormat="1" applyFont="1" applyFill="1" applyBorder="1" applyProtection="1">
      <protection locked="0"/>
    </xf>
    <xf numFmtId="44" fontId="19" fillId="24" borderId="0" xfId="0" applyNumberFormat="1" applyFont="1" applyFill="1" applyProtection="1">
      <protection locked="0"/>
    </xf>
    <xf numFmtId="0" fontId="19" fillId="41" borderId="0" xfId="0" applyFont="1" applyFill="1" applyProtection="1">
      <protection locked="0"/>
    </xf>
    <xf numFmtId="0" fontId="13" fillId="0" borderId="0" xfId="0" applyFont="1" applyAlignment="1" applyProtection="1">
      <alignment horizontal="right"/>
      <protection locked="0"/>
    </xf>
    <xf numFmtId="0" fontId="17" fillId="0" borderId="7" xfId="0" applyFont="1" applyBorder="1" applyAlignment="1" applyProtection="1">
      <alignment horizontal="center"/>
      <protection locked="0"/>
    </xf>
    <xf numFmtId="0" fontId="10" fillId="0" borderId="1" xfId="0" applyFont="1" applyBorder="1" applyAlignment="1" applyProtection="1">
      <alignment horizontal="left"/>
      <protection locked="0"/>
    </xf>
    <xf numFmtId="0" fontId="10" fillId="0" borderId="2" xfId="0" applyFont="1" applyBorder="1" applyAlignment="1" applyProtection="1">
      <alignment horizontal="left"/>
      <protection locked="0"/>
    </xf>
    <xf numFmtId="0" fontId="10" fillId="0" borderId="3" xfId="0" applyFont="1" applyBorder="1" applyAlignment="1" applyProtection="1">
      <alignment horizontal="left"/>
      <protection locked="0"/>
    </xf>
    <xf numFmtId="0" fontId="11" fillId="0" borderId="6" xfId="0" applyFont="1" applyBorder="1" applyAlignment="1" applyProtection="1">
      <alignment horizontal="left"/>
      <protection locked="0"/>
    </xf>
    <xf numFmtId="0" fontId="11" fillId="0" borderId="7" xfId="0" applyFont="1" applyBorder="1" applyAlignment="1" applyProtection="1">
      <alignment horizontal="left"/>
      <protection locked="0"/>
    </xf>
    <xf numFmtId="0" fontId="11" fillId="0" borderId="8" xfId="0" applyFont="1" applyBorder="1" applyAlignment="1" applyProtection="1">
      <alignment horizontal="left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48" fillId="0" borderId="7" xfId="0" applyFont="1" applyBorder="1" applyAlignment="1" applyProtection="1">
      <alignment horizontal="center"/>
      <protection locked="0"/>
    </xf>
    <xf numFmtId="0" fontId="48" fillId="0" borderId="7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1" fillId="41" borderId="11" xfId="0" applyFont="1" applyFill="1" applyBorder="1" applyProtection="1">
      <protection locked="0"/>
    </xf>
    <xf numFmtId="0" fontId="19" fillId="16" borderId="0" xfId="0" applyFont="1" applyFill="1" applyAlignment="1" applyProtection="1">
      <alignment horizontal="right"/>
      <protection locked="0"/>
    </xf>
    <xf numFmtId="0" fontId="19" fillId="27" borderId="15" xfId="0" applyFont="1" applyFill="1" applyBorder="1" applyProtection="1">
      <protection locked="0"/>
    </xf>
    <xf numFmtId="39" fontId="19" fillId="27" borderId="15" xfId="1184" applyNumberFormat="1" applyFont="1" applyFill="1" applyBorder="1" applyProtection="1">
      <protection locked="0"/>
    </xf>
    <xf numFmtId="39" fontId="19" fillId="0" borderId="15" xfId="1184" applyNumberFormat="1" applyFont="1" applyFill="1" applyBorder="1" applyProtection="1">
      <protection locked="0"/>
    </xf>
    <xf numFmtId="0" fontId="19" fillId="0" borderId="0" xfId="0" quotePrefix="1" applyFont="1" applyProtection="1">
      <protection locked="0"/>
    </xf>
    <xf numFmtId="0" fontId="15" fillId="0" borderId="4" xfId="0" applyFont="1" applyBorder="1" applyAlignment="1" applyProtection="1">
      <alignment horizontal="right"/>
      <protection locked="0"/>
    </xf>
    <xf numFmtId="3" fontId="15" fillId="0" borderId="9" xfId="0" applyNumberFormat="1" applyFont="1" applyBorder="1" applyAlignment="1" applyProtection="1">
      <alignment horizontal="right"/>
      <protection locked="0"/>
    </xf>
    <xf numFmtId="0" fontId="35" fillId="0" borderId="9" xfId="0" applyFont="1" applyBorder="1" applyAlignment="1" applyProtection="1">
      <alignment horizontal="right"/>
      <protection locked="0"/>
    </xf>
    <xf numFmtId="165" fontId="19" fillId="0" borderId="15" xfId="285" applyFont="1" applyBorder="1" applyAlignment="1" applyProtection="1">
      <alignment horizontal="right"/>
      <protection locked="0"/>
    </xf>
    <xf numFmtId="44" fontId="11" fillId="16" borderId="15" xfId="0" applyNumberFormat="1" applyFont="1" applyFill="1" applyBorder="1" applyProtection="1">
      <protection locked="0"/>
    </xf>
    <xf numFmtId="0" fontId="11" fillId="16" borderId="11" xfId="0" applyFont="1" applyFill="1" applyBorder="1" applyProtection="1">
      <protection locked="0"/>
    </xf>
    <xf numFmtId="0" fontId="19" fillId="0" borderId="15" xfId="0" quotePrefix="1" applyFont="1" applyBorder="1" applyAlignment="1" applyProtection="1">
      <alignment horizontal="center"/>
      <protection locked="0"/>
    </xf>
    <xf numFmtId="177" fontId="11" fillId="0" borderId="0" xfId="0" applyNumberFormat="1" applyFont="1"/>
    <xf numFmtId="0" fontId="25" fillId="0" borderId="0" xfId="0" applyFont="1" applyAlignment="1">
      <alignment horizontal="center"/>
    </xf>
    <xf numFmtId="10" fontId="34" fillId="0" borderId="8" xfId="647" applyNumberFormat="1" applyFont="1" applyBorder="1" applyAlignment="1" applyProtection="1">
      <alignment horizontal="center"/>
      <protection locked="0"/>
    </xf>
    <xf numFmtId="166" fontId="19" fillId="0" borderId="11" xfId="285" applyNumberFormat="1" applyFont="1" applyBorder="1" applyProtection="1">
      <protection locked="0"/>
    </xf>
    <xf numFmtId="0" fontId="48" fillId="0" borderId="9" xfId="0" applyFont="1" applyBorder="1" applyAlignment="1" applyProtection="1">
      <alignment horizontal="right"/>
      <protection locked="0"/>
    </xf>
    <xf numFmtId="166" fontId="15" fillId="0" borderId="11" xfId="285" applyNumberFormat="1" applyFont="1" applyBorder="1" applyProtection="1">
      <protection locked="0"/>
    </xf>
    <xf numFmtId="42" fontId="51" fillId="0" borderId="0" xfId="0" applyNumberFormat="1" applyFont="1" applyAlignment="1" applyProtection="1">
      <alignment horizontal="left"/>
      <protection locked="0"/>
    </xf>
    <xf numFmtId="0" fontId="25" fillId="0" borderId="15" xfId="0" applyFont="1" applyBorder="1" applyAlignment="1" applyProtection="1">
      <alignment horizontal="right"/>
      <protection locked="0"/>
    </xf>
    <xf numFmtId="0" fontId="0" fillId="0" borderId="20" xfId="0" applyBorder="1" applyAlignment="1" applyProtection="1">
      <alignment horizontal="right"/>
      <protection locked="0"/>
    </xf>
    <xf numFmtId="0" fontId="0" fillId="0" borderId="19" xfId="0" applyBorder="1" applyAlignment="1" applyProtection="1">
      <alignment horizontal="right"/>
      <protection locked="0"/>
    </xf>
    <xf numFmtId="0" fontId="17" fillId="0" borderId="11" xfId="0" applyFont="1" applyBorder="1" applyProtection="1">
      <protection locked="0"/>
    </xf>
    <xf numFmtId="166" fontId="14" fillId="0" borderId="9" xfId="285" applyNumberFormat="1" applyFont="1" applyBorder="1" applyAlignment="1" applyProtection="1">
      <protection locked="0"/>
    </xf>
    <xf numFmtId="166" fontId="11" fillId="0" borderId="9" xfId="285" applyNumberFormat="1" applyFont="1" applyBorder="1" applyAlignment="1" applyProtection="1">
      <protection locked="0"/>
    </xf>
    <xf numFmtId="10" fontId="34" fillId="0" borderId="9" xfId="647" applyNumberFormat="1" applyFont="1" applyBorder="1" applyProtection="1">
      <protection locked="0"/>
    </xf>
    <xf numFmtId="0" fontId="64" fillId="0" borderId="0" xfId="0" applyFont="1" applyAlignment="1" applyProtection="1">
      <alignment horizontal="right"/>
      <protection locked="0"/>
    </xf>
    <xf numFmtId="0" fontId="64" fillId="19" borderId="0" xfId="0" applyFont="1" applyFill="1"/>
    <xf numFmtId="0" fontId="34" fillId="0" borderId="7" xfId="0" applyFont="1" applyBorder="1" applyProtection="1">
      <protection locked="0"/>
    </xf>
    <xf numFmtId="0" fontId="48" fillId="0" borderId="7" xfId="0" applyFont="1" applyBorder="1"/>
    <xf numFmtId="0" fontId="17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 applyProtection="1">
      <alignment horizontal="right" vertical="center"/>
      <protection locked="0"/>
    </xf>
    <xf numFmtId="0" fontId="1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1" fillId="0" borderId="0" xfId="0" applyFont="1" applyAlignment="1" applyProtection="1">
      <alignment horizontal="right" vertical="center"/>
      <protection locked="0"/>
    </xf>
    <xf numFmtId="0" fontId="0" fillId="19" borderId="7" xfId="0" applyFill="1" applyBorder="1" applyProtection="1">
      <protection locked="0"/>
    </xf>
    <xf numFmtId="0" fontId="34" fillId="4" borderId="7" xfId="0" applyFont="1" applyFill="1" applyBorder="1" applyAlignment="1" applyProtection="1">
      <alignment horizontal="center"/>
      <protection locked="0"/>
    </xf>
    <xf numFmtId="0" fontId="0" fillId="4" borderId="7" xfId="0" applyFill="1" applyBorder="1" applyProtection="1">
      <protection locked="0"/>
    </xf>
    <xf numFmtId="0" fontId="0" fillId="38" borderId="0" xfId="0" applyFill="1" applyProtection="1">
      <protection locked="0"/>
    </xf>
    <xf numFmtId="0" fontId="17" fillId="28" borderId="0" xfId="0" applyFont="1" applyFill="1" applyAlignment="1" applyProtection="1">
      <alignment horizontal="center"/>
      <protection locked="0"/>
    </xf>
    <xf numFmtId="0" fontId="17" fillId="26" borderId="0" xfId="0" applyFont="1" applyFill="1" applyAlignment="1" applyProtection="1">
      <alignment horizontal="center"/>
      <protection locked="0"/>
    </xf>
    <xf numFmtId="0" fontId="17" fillId="27" borderId="0" xfId="0" applyFont="1" applyFill="1" applyAlignment="1" applyProtection="1">
      <alignment horizontal="center"/>
      <protection locked="0"/>
    </xf>
    <xf numFmtId="0" fontId="17" fillId="4" borderId="15" xfId="0" applyFont="1" applyFill="1" applyBorder="1" applyProtection="1">
      <protection locked="0"/>
    </xf>
    <xf numFmtId="0" fontId="17" fillId="23" borderId="21" xfId="0" applyFont="1" applyFill="1" applyBorder="1" applyAlignment="1" applyProtection="1">
      <alignment horizontal="center"/>
      <protection locked="0"/>
    </xf>
    <xf numFmtId="164" fontId="0" fillId="0" borderId="7" xfId="286" applyFont="1" applyBorder="1" applyProtection="1">
      <protection locked="0"/>
    </xf>
    <xf numFmtId="0" fontId="17" fillId="27" borderId="7" xfId="0" applyFont="1" applyFill="1" applyBorder="1" applyAlignment="1" applyProtection="1">
      <alignment horizontal="right"/>
      <protection locked="0"/>
    </xf>
    <xf numFmtId="0" fontId="0" fillId="24" borderId="21" xfId="0" applyFill="1" applyBorder="1"/>
    <xf numFmtId="0" fontId="0" fillId="24" borderId="21" xfId="0" applyFill="1" applyBorder="1" applyAlignment="1">
      <alignment horizontal="center"/>
    </xf>
    <xf numFmtId="0" fontId="0" fillId="24" borderId="1" xfId="0" applyFill="1" applyBorder="1"/>
    <xf numFmtId="2" fontId="0" fillId="24" borderId="1" xfId="0" applyNumberFormat="1" applyFill="1" applyBorder="1"/>
    <xf numFmtId="176" fontId="17" fillId="24" borderId="56" xfId="0" applyNumberFormat="1" applyFont="1" applyFill="1" applyBorder="1"/>
    <xf numFmtId="0" fontId="46" fillId="24" borderId="57" xfId="0" applyFont="1" applyFill="1" applyBorder="1"/>
    <xf numFmtId="0" fontId="0" fillId="27" borderId="41" xfId="0" applyFill="1" applyBorder="1"/>
    <xf numFmtId="0" fontId="0" fillId="27" borderId="41" xfId="0" applyFill="1" applyBorder="1" applyAlignment="1">
      <alignment horizontal="center"/>
    </xf>
    <xf numFmtId="0" fontId="0" fillId="27" borderId="42" xfId="0" applyFill="1" applyBorder="1"/>
    <xf numFmtId="2" fontId="0" fillId="27" borderId="42" xfId="0" applyNumberFormat="1" applyFill="1" applyBorder="1"/>
    <xf numFmtId="176" fontId="17" fillId="27" borderId="32" xfId="0" applyNumberFormat="1" applyFont="1" applyFill="1" applyBorder="1"/>
    <xf numFmtId="0" fontId="34" fillId="27" borderId="50" xfId="0" quotePrefix="1" applyFont="1" applyFill="1" applyBorder="1"/>
    <xf numFmtId="0" fontId="0" fillId="27" borderId="34" xfId="0" applyFill="1" applyBorder="1"/>
    <xf numFmtId="0" fontId="0" fillId="27" borderId="34" xfId="0" applyFill="1" applyBorder="1" applyAlignment="1">
      <alignment horizontal="center"/>
    </xf>
    <xf numFmtId="0" fontId="0" fillId="27" borderId="36" xfId="0" applyFill="1" applyBorder="1"/>
    <xf numFmtId="2" fontId="0" fillId="27" borderId="36" xfId="0" applyNumberFormat="1" applyFill="1" applyBorder="1"/>
    <xf numFmtId="176" fontId="17" fillId="27" borderId="53" xfId="0" applyNumberFormat="1" applyFont="1" applyFill="1" applyBorder="1"/>
    <xf numFmtId="0" fontId="34" fillId="27" borderId="51" xfId="0" applyFont="1" applyFill="1" applyBorder="1"/>
    <xf numFmtId="0" fontId="34" fillId="41" borderId="43" xfId="0" applyFont="1" applyFill="1" applyBorder="1"/>
    <xf numFmtId="176" fontId="0" fillId="0" borderId="0" xfId="285" applyNumberFormat="1" applyFont="1" applyAlignment="1">
      <alignment horizontal="left"/>
    </xf>
    <xf numFmtId="176" fontId="0" fillId="0" borderId="0" xfId="0" applyNumberFormat="1" applyProtection="1">
      <protection locked="0"/>
    </xf>
    <xf numFmtId="0" fontId="48" fillId="27" borderId="22" xfId="0" applyFont="1" applyFill="1" applyBorder="1" applyAlignment="1">
      <alignment horizontal="center"/>
    </xf>
    <xf numFmtId="0" fontId="34" fillId="27" borderId="27" xfId="0" applyFont="1" applyFill="1" applyBorder="1" applyAlignment="1">
      <alignment horizontal="center" vertical="top"/>
    </xf>
    <xf numFmtId="165" fontId="17" fillId="26" borderId="0" xfId="285" applyFont="1" applyFill="1" applyAlignment="1">
      <alignment horizontal="center"/>
    </xf>
    <xf numFmtId="0" fontId="0" fillId="0" borderId="7" xfId="0" applyBorder="1" applyAlignment="1" applyProtection="1">
      <alignment horizontal="center"/>
      <protection locked="0"/>
    </xf>
    <xf numFmtId="0" fontId="34" fillId="16" borderId="7" xfId="0" applyFont="1" applyFill="1" applyBorder="1" applyAlignment="1" applyProtection="1">
      <alignment horizontal="center"/>
      <protection locked="0"/>
    </xf>
    <xf numFmtId="164" fontId="17" fillId="0" borderId="0" xfId="1183" applyFont="1" applyFill="1"/>
    <xf numFmtId="0" fontId="10" fillId="41" borderId="0" xfId="0" applyFont="1" applyFill="1"/>
    <xf numFmtId="0" fontId="0" fillId="41" borderId="0" xfId="0" applyFill="1"/>
    <xf numFmtId="0" fontId="17" fillId="41" borderId="0" xfId="0" applyFont="1" applyFill="1" applyAlignment="1">
      <alignment horizontal="center"/>
    </xf>
    <xf numFmtId="166" fontId="11" fillId="41" borderId="0" xfId="85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76" fontId="17" fillId="0" borderId="0" xfId="0" applyNumberFormat="1" applyFont="1"/>
    <xf numFmtId="164" fontId="0" fillId="26" borderId="0" xfId="286" applyFont="1" applyFill="1" applyProtection="1">
      <protection locked="0"/>
    </xf>
    <xf numFmtId="0" fontId="34" fillId="0" borderId="0" xfId="0" quotePrefix="1" applyFont="1" applyAlignment="1" applyProtection="1">
      <alignment horizontal="right"/>
      <protection locked="0"/>
    </xf>
    <xf numFmtId="0" fontId="10" fillId="26" borderId="0" xfId="1184" applyNumberFormat="1" applyFont="1" applyFill="1" applyBorder="1" applyAlignment="1" applyProtection="1">
      <alignment horizont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1" fillId="0" borderId="4" xfId="0" applyFont="1" applyBorder="1" applyAlignment="1" applyProtection="1">
      <alignment horizontal="left" vertical="center"/>
      <protection locked="0"/>
    </xf>
    <xf numFmtId="0" fontId="47" fillId="28" borderId="1" xfId="0" applyFont="1" applyFill="1" applyBorder="1" applyAlignment="1">
      <alignment horizontal="center"/>
    </xf>
    <xf numFmtId="4" fontId="11" fillId="28" borderId="6" xfId="0" applyNumberFormat="1" applyFont="1" applyFill="1" applyBorder="1" applyAlignment="1">
      <alignment horizontal="center"/>
    </xf>
    <xf numFmtId="164" fontId="17" fillId="0" borderId="0" xfId="0" applyNumberFormat="1" applyFont="1" applyProtection="1">
      <protection locked="0"/>
    </xf>
    <xf numFmtId="2" fontId="14" fillId="0" borderId="0" xfId="0" applyNumberFormat="1" applyFont="1" applyProtection="1">
      <protection locked="0"/>
    </xf>
    <xf numFmtId="0" fontId="14" fillId="16" borderId="1" xfId="0" applyFont="1" applyFill="1" applyBorder="1" applyAlignment="1" applyProtection="1">
      <alignment horizontal="right"/>
      <protection locked="0"/>
    </xf>
    <xf numFmtId="0" fontId="11" fillId="16" borderId="2" xfId="0" applyFont="1" applyFill="1" applyBorder="1" applyProtection="1">
      <protection locked="0"/>
    </xf>
    <xf numFmtId="164" fontId="17" fillId="16" borderId="11" xfId="286" applyFont="1" applyFill="1" applyBorder="1" applyProtection="1">
      <protection locked="0"/>
    </xf>
    <xf numFmtId="164" fontId="17" fillId="16" borderId="11" xfId="1183" applyFont="1" applyFill="1" applyBorder="1" applyProtection="1">
      <protection locked="0"/>
    </xf>
    <xf numFmtId="2" fontId="14" fillId="0" borderId="0" xfId="0" applyNumberFormat="1" applyFont="1"/>
    <xf numFmtId="3" fontId="14" fillId="0" borderId="0" xfId="0" applyNumberFormat="1" applyFont="1" applyAlignment="1">
      <alignment horizontal="left"/>
    </xf>
    <xf numFmtId="0" fontId="19" fillId="16" borderId="2" xfId="0" applyFont="1" applyFill="1" applyBorder="1" applyAlignment="1" applyProtection="1">
      <alignment horizontal="center"/>
      <protection locked="0"/>
    </xf>
    <xf numFmtId="0" fontId="14" fillId="32" borderId="9" xfId="0" quotePrefix="1" applyFont="1" applyFill="1" applyBorder="1" applyProtection="1">
      <protection locked="0"/>
    </xf>
    <xf numFmtId="0" fontId="34" fillId="27" borderId="0" xfId="0" applyFont="1" applyFill="1" applyAlignment="1" applyProtection="1">
      <alignment horizontal="right"/>
      <protection locked="0"/>
    </xf>
    <xf numFmtId="39" fontId="15" fillId="0" borderId="15" xfId="1184" applyNumberFormat="1" applyFont="1" applyFill="1" applyBorder="1" applyProtection="1">
      <protection locked="0"/>
    </xf>
    <xf numFmtId="0" fontId="15" fillId="0" borderId="15" xfId="0" quotePrefix="1" applyFont="1" applyBorder="1" applyAlignment="1" applyProtection="1">
      <alignment horizontal="center"/>
      <protection locked="0"/>
    </xf>
    <xf numFmtId="9" fontId="17" fillId="25" borderId="0" xfId="0" applyNumberFormat="1" applyFont="1" applyFill="1" applyProtection="1">
      <protection locked="0"/>
    </xf>
    <xf numFmtId="0" fontId="17" fillId="0" borderId="0" xfId="0" applyFont="1" applyAlignment="1" applyProtection="1">
      <alignment horizontal="right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11" fillId="0" borderId="11" xfId="0" applyFont="1" applyBorder="1" applyAlignment="1" applyProtection="1">
      <alignment horizontal="center"/>
      <protection locked="0"/>
    </xf>
    <xf numFmtId="0" fontId="0" fillId="16" borderId="7" xfId="0" applyFill="1" applyBorder="1" applyAlignment="1" applyProtection="1">
      <alignment horizontal="center"/>
      <protection locked="0"/>
    </xf>
    <xf numFmtId="0" fontId="17" fillId="34" borderId="0" xfId="0" applyFont="1" applyFill="1" applyAlignment="1" applyProtection="1">
      <alignment horizontal="center"/>
      <protection locked="0"/>
    </xf>
    <xf numFmtId="0" fontId="11" fillId="47" borderId="0" xfId="0" applyFont="1" applyFill="1" applyAlignment="1">
      <alignment horizontal="right"/>
    </xf>
    <xf numFmtId="176" fontId="11" fillId="47" borderId="0" xfId="0" applyNumberFormat="1" applyFont="1" applyFill="1"/>
    <xf numFmtId="176" fontId="11" fillId="0" borderId="0" xfId="0" applyNumberFormat="1" applyFont="1" applyAlignment="1">
      <alignment horizontal="center"/>
    </xf>
    <xf numFmtId="0" fontId="11" fillId="47" borderId="0" xfId="0" applyFont="1" applyFill="1" applyAlignment="1">
      <alignment horizontal="left"/>
    </xf>
    <xf numFmtId="9" fontId="14" fillId="47" borderId="0" xfId="647" applyFont="1" applyFill="1" applyAlignment="1">
      <alignment horizontal="right"/>
    </xf>
    <xf numFmtId="9" fontId="14" fillId="47" borderId="0" xfId="647" applyFont="1" applyFill="1" applyAlignment="1">
      <alignment horizontal="center"/>
    </xf>
    <xf numFmtId="176" fontId="11" fillId="26" borderId="0" xfId="0" applyNumberFormat="1" applyFont="1" applyFill="1"/>
    <xf numFmtId="176" fontId="11" fillId="26" borderId="17" xfId="0" applyNumberFormat="1" applyFont="1" applyFill="1" applyBorder="1"/>
    <xf numFmtId="0" fontId="11" fillId="47" borderId="0" xfId="0" applyFont="1" applyFill="1" applyAlignment="1">
      <alignment horizontal="center"/>
    </xf>
    <xf numFmtId="0" fontId="92" fillId="26" borderId="0" xfId="0" applyFont="1" applyFill="1" applyAlignment="1" applyProtection="1">
      <alignment horizontal="center" vertical="center"/>
      <protection locked="0"/>
    </xf>
    <xf numFmtId="0" fontId="92" fillId="34" borderId="0" xfId="0" applyFont="1" applyFill="1" applyAlignment="1" applyProtection="1">
      <alignment horizontal="center" vertical="center"/>
      <protection locked="0"/>
    </xf>
    <xf numFmtId="9" fontId="11" fillId="41" borderId="10" xfId="1079" applyFont="1" applyFill="1" applyBorder="1" applyProtection="1">
      <protection locked="0"/>
    </xf>
    <xf numFmtId="0" fontId="19" fillId="41" borderId="0" xfId="0" quotePrefix="1" applyFont="1" applyFill="1" applyProtection="1">
      <protection locked="0"/>
    </xf>
    <xf numFmtId="9" fontId="11" fillId="41" borderId="10" xfId="647" applyFont="1" applyFill="1" applyBorder="1" applyProtection="1">
      <protection locked="0"/>
    </xf>
    <xf numFmtId="0" fontId="11" fillId="41" borderId="0" xfId="0" applyFont="1" applyFill="1" applyProtection="1">
      <protection locked="0"/>
    </xf>
    <xf numFmtId="0" fontId="10" fillId="26" borderId="4" xfId="0" applyFont="1" applyFill="1" applyBorder="1" applyAlignment="1" applyProtection="1">
      <alignment horizontal="center"/>
      <protection locked="0"/>
    </xf>
    <xf numFmtId="0" fontId="10" fillId="34" borderId="4" xfId="0" applyFont="1" applyFill="1" applyBorder="1" applyAlignment="1" applyProtection="1">
      <alignment horizontal="center"/>
      <protection locked="0"/>
    </xf>
    <xf numFmtId="164" fontId="11" fillId="0" borderId="0" xfId="286" applyFont="1" applyFill="1" applyBorder="1" applyProtection="1">
      <protection locked="0"/>
    </xf>
    <xf numFmtId="164" fontId="34" fillId="0" borderId="0" xfId="286" applyFont="1" applyFill="1" applyBorder="1" applyProtection="1">
      <protection locked="0"/>
    </xf>
    <xf numFmtId="44" fontId="10" fillId="7" borderId="7" xfId="0" applyNumberFormat="1" applyFont="1" applyFill="1" applyBorder="1" applyProtection="1">
      <protection locked="0"/>
    </xf>
    <xf numFmtId="44" fontId="0" fillId="0" borderId="5" xfId="0" applyNumberFormat="1" applyBorder="1" applyProtection="1">
      <protection locked="0"/>
    </xf>
    <xf numFmtId="0" fontId="14" fillId="10" borderId="9" xfId="0" applyFont="1" applyFill="1" applyBorder="1" applyProtection="1">
      <protection locked="0"/>
    </xf>
    <xf numFmtId="0" fontId="15" fillId="10" borderId="10" xfId="0" applyFont="1" applyFill="1" applyBorder="1" applyAlignment="1" applyProtection="1">
      <alignment horizontal="center"/>
      <protection locked="0"/>
    </xf>
    <xf numFmtId="44" fontId="15" fillId="10" borderId="10" xfId="0" applyNumberFormat="1" applyFont="1" applyFill="1" applyBorder="1" applyProtection="1">
      <protection locked="0"/>
    </xf>
    <xf numFmtId="44" fontId="15" fillId="10" borderId="11" xfId="0" applyNumberFormat="1" applyFont="1" applyFill="1" applyBorder="1" applyProtection="1">
      <protection locked="0"/>
    </xf>
    <xf numFmtId="44" fontId="10" fillId="16" borderId="0" xfId="0" applyNumberFormat="1" applyFont="1" applyFill="1" applyProtection="1">
      <protection locked="0"/>
    </xf>
    <xf numFmtId="0" fontId="14" fillId="10" borderId="9" xfId="0" applyFont="1" applyFill="1" applyBorder="1"/>
    <xf numFmtId="0" fontId="15" fillId="10" borderId="10" xfId="0" applyFont="1" applyFill="1" applyBorder="1" applyAlignment="1">
      <alignment horizontal="center"/>
    </xf>
    <xf numFmtId="44" fontId="15" fillId="10" borderId="10" xfId="0" applyNumberFormat="1" applyFont="1" applyFill="1" applyBorder="1"/>
    <xf numFmtId="44" fontId="15" fillId="10" borderId="11" xfId="0" applyNumberFormat="1" applyFont="1" applyFill="1" applyBorder="1"/>
    <xf numFmtId="44" fontId="19" fillId="7" borderId="8" xfId="0" applyNumberFormat="1" applyFont="1" applyFill="1" applyBorder="1" applyProtection="1">
      <protection locked="0"/>
    </xf>
    <xf numFmtId="10" fontId="19" fillId="7" borderId="7" xfId="0" quotePrefix="1" applyNumberFormat="1" applyFont="1" applyFill="1" applyBorder="1" applyAlignment="1" applyProtection="1">
      <alignment horizontal="center"/>
      <protection locked="0"/>
    </xf>
    <xf numFmtId="0" fontId="0" fillId="2" borderId="58" xfId="0" applyFill="1" applyBorder="1" applyAlignment="1" applyProtection="1">
      <alignment horizontal="center"/>
      <protection locked="0"/>
    </xf>
    <xf numFmtId="176" fontId="17" fillId="34" borderId="59" xfId="286" applyNumberFormat="1" applyFont="1" applyFill="1" applyBorder="1" applyProtection="1">
      <protection locked="0"/>
    </xf>
    <xf numFmtId="0" fontId="19" fillId="0" borderId="25" xfId="0" applyFont="1" applyBorder="1" applyAlignment="1" applyProtection="1">
      <alignment horizontal="right"/>
      <protection locked="0"/>
    </xf>
    <xf numFmtId="176" fontId="3" fillId="0" borderId="26" xfId="286" applyNumberFormat="1" applyFont="1" applyBorder="1" applyProtection="1">
      <protection locked="0"/>
    </xf>
    <xf numFmtId="0" fontId="19" fillId="0" borderId="58" xfId="0" quotePrefix="1" applyFont="1" applyBorder="1" applyAlignment="1" applyProtection="1">
      <alignment horizontal="right"/>
      <protection locked="0"/>
    </xf>
    <xf numFmtId="176" fontId="11" fillId="0" borderId="59" xfId="286" applyNumberFormat="1" applyFont="1" applyFill="1" applyBorder="1" applyProtection="1">
      <protection locked="0"/>
    </xf>
    <xf numFmtId="164" fontId="11" fillId="0" borderId="26" xfId="286" applyFont="1" applyFill="1" applyBorder="1" applyProtection="1">
      <protection locked="0"/>
    </xf>
    <xf numFmtId="0" fontId="34" fillId="0" borderId="27" xfId="0" applyFont="1" applyBorder="1" applyProtection="1">
      <protection locked="0"/>
    </xf>
    <xf numFmtId="44" fontId="11" fillId="0" borderId="29" xfId="0" applyNumberFormat="1" applyFont="1" applyBorder="1" applyProtection="1">
      <protection locked="0"/>
    </xf>
    <xf numFmtId="3" fontId="11" fillId="45" borderId="60" xfId="0" applyNumberFormat="1" applyFont="1" applyFill="1" applyBorder="1" applyAlignment="1" applyProtection="1">
      <alignment horizontal="left"/>
      <protection locked="0"/>
    </xf>
    <xf numFmtId="3" fontId="11" fillId="45" borderId="50" xfId="0" applyNumberFormat="1" applyFont="1" applyFill="1" applyBorder="1" applyAlignment="1" applyProtection="1">
      <alignment horizontal="center"/>
      <protection locked="0"/>
    </xf>
    <xf numFmtId="3" fontId="11" fillId="28" borderId="60" xfId="0" applyNumberFormat="1" applyFont="1" applyFill="1" applyBorder="1" applyAlignment="1" applyProtection="1">
      <alignment horizontal="left"/>
      <protection locked="0"/>
    </xf>
    <xf numFmtId="3" fontId="11" fillId="28" borderId="50" xfId="0" applyNumberFormat="1" applyFont="1" applyFill="1" applyBorder="1" applyAlignment="1" applyProtection="1">
      <alignment horizontal="center"/>
      <protection locked="0"/>
    </xf>
    <xf numFmtId="0" fontId="34" fillId="0" borderId="0" xfId="286" applyNumberFormat="1" applyFont="1" applyProtection="1">
      <protection locked="0"/>
    </xf>
    <xf numFmtId="0" fontId="34" fillId="24" borderId="0" xfId="0" applyFont="1" applyFill="1" applyAlignment="1" applyProtection="1">
      <alignment horizontal="left"/>
      <protection locked="0"/>
    </xf>
    <xf numFmtId="164" fontId="34" fillId="48" borderId="14" xfId="286" applyFont="1" applyFill="1" applyBorder="1" applyProtection="1">
      <protection locked="0"/>
    </xf>
    <xf numFmtId="44" fontId="19" fillId="28" borderId="12" xfId="0" applyNumberFormat="1" applyFont="1" applyFill="1" applyBorder="1" applyAlignment="1" applyProtection="1">
      <alignment horizontal="center"/>
      <protection locked="0"/>
    </xf>
    <xf numFmtId="44" fontId="19" fillId="45" borderId="12" xfId="0" applyNumberFormat="1" applyFont="1" applyFill="1" applyBorder="1" applyAlignment="1" applyProtection="1">
      <alignment horizontal="left"/>
      <protection locked="0"/>
    </xf>
    <xf numFmtId="0" fontId="0" fillId="48" borderId="14" xfId="0" applyFill="1" applyBorder="1" applyProtection="1">
      <protection locked="0"/>
    </xf>
    <xf numFmtId="0" fontId="2" fillId="48" borderId="12" xfId="286" applyNumberFormat="1" applyFont="1" applyFill="1" applyBorder="1" applyProtection="1">
      <protection locked="0"/>
    </xf>
    <xf numFmtId="0" fontId="19" fillId="28" borderId="61" xfId="0" applyFont="1" applyFill="1" applyBorder="1" applyAlignment="1" applyProtection="1">
      <alignment horizontal="center"/>
      <protection locked="0"/>
    </xf>
    <xf numFmtId="0" fontId="34" fillId="28" borderId="53" xfId="0" applyFont="1" applyFill="1" applyBorder="1" applyAlignment="1" applyProtection="1">
      <alignment horizontal="center"/>
      <protection locked="0"/>
    </xf>
    <xf numFmtId="0" fontId="19" fillId="45" borderId="61" xfId="0" applyFont="1" applyFill="1" applyBorder="1" applyAlignment="1" applyProtection="1">
      <alignment horizontal="center"/>
      <protection locked="0"/>
    </xf>
    <xf numFmtId="0" fontId="34" fillId="45" borderId="53" xfId="0" applyFont="1" applyFill="1" applyBorder="1" applyAlignment="1" applyProtection="1">
      <alignment horizontal="center"/>
      <protection locked="0"/>
    </xf>
    <xf numFmtId="0" fontId="2" fillId="48" borderId="12" xfId="286" applyNumberFormat="1" applyFont="1" applyFill="1" applyBorder="1" applyAlignment="1" applyProtection="1">
      <alignment horizontal="center"/>
      <protection locked="0"/>
    </xf>
    <xf numFmtId="44" fontId="19" fillId="28" borderId="12" xfId="0" applyNumberFormat="1" applyFont="1" applyFill="1" applyBorder="1" applyAlignment="1" applyProtection="1">
      <alignment horizontal="left"/>
      <protection locked="0"/>
    </xf>
    <xf numFmtId="0" fontId="14" fillId="37" borderId="4" xfId="0" applyFont="1" applyFill="1" applyBorder="1" applyAlignment="1" applyProtection="1">
      <alignment horizontal="right"/>
      <protection locked="0"/>
    </xf>
    <xf numFmtId="0" fontId="15" fillId="37" borderId="4" xfId="0" applyFont="1" applyFill="1" applyBorder="1" applyAlignment="1" applyProtection="1">
      <alignment horizontal="right"/>
      <protection locked="0"/>
    </xf>
    <xf numFmtId="44" fontId="11" fillId="41" borderId="15" xfId="0" applyNumberFormat="1" applyFont="1" applyFill="1" applyBorder="1" applyProtection="1">
      <protection locked="0"/>
    </xf>
    <xf numFmtId="164" fontId="14" fillId="49" borderId="12" xfId="1183" applyFont="1" applyFill="1" applyBorder="1" applyProtection="1">
      <protection locked="0"/>
    </xf>
    <xf numFmtId="0" fontId="14" fillId="49" borderId="14" xfId="0" applyFont="1" applyFill="1" applyBorder="1" applyAlignment="1" applyProtection="1">
      <alignment horizontal="right"/>
      <protection locked="0"/>
    </xf>
    <xf numFmtId="0" fontId="11" fillId="26" borderId="11" xfId="0" applyFont="1" applyFill="1" applyBorder="1" applyProtection="1">
      <protection locked="0"/>
    </xf>
    <xf numFmtId="2" fontId="0" fillId="7" borderId="9" xfId="0" applyNumberFormat="1" applyFill="1" applyBorder="1" applyProtection="1">
      <protection locked="0"/>
    </xf>
    <xf numFmtId="0" fontId="0" fillId="7" borderId="11" xfId="1183" applyNumberFormat="1" applyFont="1" applyFill="1" applyBorder="1" applyAlignment="1" applyProtection="1">
      <alignment horizontal="left"/>
      <protection locked="0"/>
    </xf>
    <xf numFmtId="3" fontId="14" fillId="23" borderId="15" xfId="0" applyNumberFormat="1" applyFont="1" applyFill="1" applyBorder="1" applyAlignment="1" applyProtection="1">
      <alignment horizontal="right"/>
      <protection locked="0"/>
    </xf>
    <xf numFmtId="1" fontId="14" fillId="33" borderId="15" xfId="0" applyNumberFormat="1" applyFont="1" applyFill="1" applyBorder="1" applyAlignment="1" applyProtection="1">
      <alignment horizontal="center"/>
      <protection locked="0"/>
    </xf>
    <xf numFmtId="176" fontId="19" fillId="7" borderId="0" xfId="0" applyNumberFormat="1" applyFont="1" applyFill="1" applyAlignment="1" applyProtection="1">
      <alignment horizontal="center"/>
      <protection locked="0"/>
    </xf>
    <xf numFmtId="0" fontId="34" fillId="4" borderId="0" xfId="0" quotePrefix="1" applyFont="1" applyFill="1" applyAlignment="1" applyProtection="1">
      <alignment vertical="center"/>
      <protection locked="0"/>
    </xf>
    <xf numFmtId="0" fontId="11" fillId="0" borderId="10" xfId="0" applyFont="1" applyBorder="1" applyProtection="1">
      <protection locked="0"/>
    </xf>
    <xf numFmtId="10" fontId="11" fillId="0" borderId="9" xfId="647" quotePrefix="1" applyNumberFormat="1" applyFont="1" applyBorder="1" applyProtection="1">
      <protection locked="0"/>
    </xf>
    <xf numFmtId="44" fontId="0" fillId="0" borderId="9" xfId="0" applyNumberFormat="1" applyBorder="1" applyProtection="1">
      <protection locked="0"/>
    </xf>
    <xf numFmtId="0" fontId="75" fillId="0" borderId="0" xfId="0" applyFont="1" applyAlignment="1" applyProtection="1">
      <alignment horizontal="left"/>
      <protection locked="0"/>
    </xf>
    <xf numFmtId="0" fontId="17" fillId="41" borderId="15" xfId="0" applyFont="1" applyFill="1" applyBorder="1" applyAlignment="1" applyProtection="1">
      <alignment horizontal="right"/>
      <protection locked="0"/>
    </xf>
    <xf numFmtId="176" fontId="0" fillId="41" borderId="20" xfId="0" applyNumberFormat="1" applyFill="1" applyBorder="1" applyProtection="1">
      <protection locked="0"/>
    </xf>
    <xf numFmtId="170" fontId="0" fillId="41" borderId="19" xfId="0" quotePrefix="1" applyNumberFormat="1" applyFill="1" applyBorder="1" applyAlignment="1" applyProtection="1">
      <alignment horizontal="right"/>
      <protection locked="0"/>
    </xf>
    <xf numFmtId="0" fontId="34" fillId="0" borderId="0" xfId="0" applyFont="1" applyAlignment="1" applyProtection="1">
      <alignment horizontal="center"/>
      <protection locked="0"/>
    </xf>
    <xf numFmtId="176" fontId="0" fillId="0" borderId="15" xfId="0" applyNumberFormat="1" applyBorder="1" applyAlignment="1" applyProtection="1">
      <alignment horizontal="center"/>
      <protection locked="0"/>
    </xf>
    <xf numFmtId="176" fontId="11" fillId="0" borderId="20" xfId="0" applyNumberFormat="1" applyFont="1" applyBorder="1" applyAlignment="1" applyProtection="1">
      <alignment horizontal="center"/>
      <protection locked="0"/>
    </xf>
    <xf numFmtId="170" fontId="11" fillId="0" borderId="19" xfId="647" applyNumberFormat="1" applyFont="1" applyBorder="1" applyAlignment="1" applyProtection="1">
      <alignment horizontal="center"/>
      <protection locked="0"/>
    </xf>
    <xf numFmtId="9" fontId="34" fillId="41" borderId="0" xfId="1079" applyFont="1" applyFill="1" applyAlignment="1" applyProtection="1">
      <alignment horizontal="left" vertical="center"/>
      <protection locked="0"/>
    </xf>
    <xf numFmtId="176" fontId="0" fillId="0" borderId="15" xfId="0" applyNumberFormat="1" applyBorder="1" applyAlignment="1">
      <alignment horizontal="center"/>
    </xf>
    <xf numFmtId="176" fontId="11" fillId="0" borderId="20" xfId="0" applyNumberFormat="1" applyFont="1" applyBorder="1" applyAlignment="1">
      <alignment horizontal="center"/>
    </xf>
    <xf numFmtId="170" fontId="11" fillId="0" borderId="19" xfId="647" applyNumberFormat="1" applyFont="1" applyFill="1" applyBorder="1" applyAlignment="1">
      <alignment horizontal="center"/>
    </xf>
    <xf numFmtId="0" fontId="34" fillId="41" borderId="0" xfId="0" applyFont="1" applyFill="1" applyAlignment="1" applyProtection="1">
      <alignment horizontal="left"/>
      <protection locked="0"/>
    </xf>
    <xf numFmtId="170" fontId="11" fillId="0" borderId="19" xfId="1079" applyNumberFormat="1" applyFont="1" applyBorder="1" applyAlignment="1" applyProtection="1">
      <alignment horizontal="center"/>
      <protection locked="0"/>
    </xf>
    <xf numFmtId="0" fontId="34" fillId="0" borderId="0" xfId="1183" applyNumberFormat="1" applyFont="1" applyFill="1" applyAlignment="1" applyProtection="1">
      <alignment horizontal="center"/>
      <protection locked="0"/>
    </xf>
    <xf numFmtId="0" fontId="34" fillId="0" borderId="0" xfId="1183" applyNumberFormat="1" applyFont="1" applyFill="1" applyAlignment="1" applyProtection="1">
      <alignment horizontal="left"/>
      <protection locked="0"/>
    </xf>
    <xf numFmtId="0" fontId="42" fillId="0" borderId="0" xfId="0" applyFont="1" applyAlignment="1" applyProtection="1">
      <alignment horizontal="left"/>
      <protection locked="0"/>
    </xf>
    <xf numFmtId="44" fontId="2" fillId="30" borderId="0" xfId="0" applyNumberFormat="1" applyFont="1" applyFill="1" applyProtection="1">
      <protection locked="0"/>
    </xf>
    <xf numFmtId="44" fontId="2" fillId="39" borderId="0" xfId="0" applyNumberFormat="1" applyFont="1" applyFill="1" applyProtection="1">
      <protection locked="0"/>
    </xf>
    <xf numFmtId="44" fontId="2" fillId="23" borderId="0" xfId="0" applyNumberFormat="1" applyFont="1" applyFill="1" applyProtection="1">
      <protection locked="0"/>
    </xf>
    <xf numFmtId="0" fontId="12" fillId="4" borderId="0" xfId="0" applyFont="1" applyFill="1" applyAlignment="1" applyProtection="1">
      <alignment horizontal="left"/>
      <protection locked="0"/>
    </xf>
    <xf numFmtId="0" fontId="12" fillId="4" borderId="0" xfId="0" applyFont="1" applyFill="1" applyAlignment="1">
      <alignment horizontal="left"/>
    </xf>
    <xf numFmtId="176" fontId="34" fillId="0" borderId="0" xfId="0" applyNumberFormat="1" applyFont="1" applyAlignment="1">
      <alignment horizontal="left"/>
    </xf>
    <xf numFmtId="44" fontId="0" fillId="47" borderId="28" xfId="0" applyNumberFormat="1" applyFill="1" applyBorder="1" applyAlignment="1" applyProtection="1">
      <alignment horizontal="right"/>
      <protection locked="0"/>
    </xf>
    <xf numFmtId="0" fontId="63" fillId="47" borderId="28" xfId="0" applyFont="1" applyFill="1" applyBorder="1" applyProtection="1">
      <protection locked="0"/>
    </xf>
    <xf numFmtId="164" fontId="32" fillId="47" borderId="28" xfId="1183" applyFont="1" applyFill="1" applyBorder="1" applyProtection="1">
      <protection locked="0"/>
    </xf>
    <xf numFmtId="0" fontId="32" fillId="47" borderId="28" xfId="0" applyFont="1" applyFill="1" applyBorder="1" applyProtection="1">
      <protection locked="0"/>
    </xf>
    <xf numFmtId="44" fontId="2" fillId="47" borderId="28" xfId="0" applyNumberFormat="1" applyFont="1" applyFill="1" applyBorder="1" applyProtection="1">
      <protection locked="0"/>
    </xf>
    <xf numFmtId="0" fontId="19" fillId="47" borderId="0" xfId="0" applyFont="1" applyFill="1" applyAlignment="1" applyProtection="1">
      <alignment horizontal="left"/>
      <protection locked="0"/>
    </xf>
    <xf numFmtId="176" fontId="34" fillId="0" borderId="0" xfId="0" applyNumberFormat="1" applyFont="1" applyProtection="1">
      <protection locked="0"/>
    </xf>
    <xf numFmtId="176" fontId="34" fillId="0" borderId="7" xfId="0" applyNumberFormat="1" applyFont="1" applyBorder="1" applyProtection="1">
      <protection locked="0"/>
    </xf>
    <xf numFmtId="165" fontId="19" fillId="47" borderId="0" xfId="285" applyFont="1" applyFill="1" applyAlignment="1" applyProtection="1">
      <alignment horizontal="left"/>
      <protection locked="0"/>
    </xf>
    <xf numFmtId="0" fontId="13" fillId="47" borderId="0" xfId="0" applyFont="1" applyFill="1" applyAlignment="1" applyProtection="1">
      <alignment horizontal="center"/>
      <protection locked="0"/>
    </xf>
    <xf numFmtId="0" fontId="17" fillId="47" borderId="0" xfId="0" applyFont="1" applyFill="1" applyAlignment="1" applyProtection="1">
      <alignment horizontal="right"/>
      <protection locked="0"/>
    </xf>
    <xf numFmtId="37" fontId="17" fillId="47" borderId="0" xfId="0" applyNumberFormat="1" applyFont="1" applyFill="1" applyProtection="1">
      <protection locked="0"/>
    </xf>
    <xf numFmtId="3" fontId="0" fillId="23" borderId="0" xfId="0" applyNumberFormat="1" applyFill="1" applyAlignment="1" applyProtection="1">
      <alignment horizontal="right"/>
      <protection locked="0"/>
    </xf>
    <xf numFmtId="0" fontId="17" fillId="47" borderId="0" xfId="0" applyFont="1" applyFill="1" applyProtection="1">
      <protection locked="0"/>
    </xf>
    <xf numFmtId="0" fontId="12" fillId="4" borderId="0" xfId="0" quotePrefix="1" applyFont="1" applyFill="1" applyProtection="1">
      <protection locked="0"/>
    </xf>
    <xf numFmtId="0" fontId="12" fillId="40" borderId="0" xfId="0" applyFont="1" applyFill="1" applyProtection="1">
      <protection locked="0"/>
    </xf>
    <xf numFmtId="44" fontId="19" fillId="47" borderId="0" xfId="1183" applyNumberFormat="1" applyFont="1" applyFill="1" applyProtection="1">
      <protection locked="0"/>
    </xf>
    <xf numFmtId="0" fontId="46" fillId="47" borderId="0" xfId="0" applyFont="1" applyFill="1" applyProtection="1">
      <protection locked="0"/>
    </xf>
    <xf numFmtId="0" fontId="10" fillId="27" borderId="0" xfId="1184" applyNumberFormat="1" applyFont="1" applyFill="1" applyBorder="1" applyAlignment="1" applyProtection="1">
      <alignment horizontal="center"/>
      <protection locked="0"/>
    </xf>
    <xf numFmtId="0" fontId="12" fillId="27" borderId="0" xfId="0" applyFont="1" applyFill="1" applyAlignment="1" applyProtection="1">
      <alignment horizontal="center"/>
      <protection locked="0"/>
    </xf>
    <xf numFmtId="44" fontId="19" fillId="27" borderId="0" xfId="1183" applyNumberFormat="1" applyFont="1" applyFill="1" applyProtection="1">
      <protection locked="0"/>
    </xf>
    <xf numFmtId="0" fontId="12" fillId="47" borderId="0" xfId="0" applyFont="1" applyFill="1" applyAlignment="1" applyProtection="1">
      <alignment horizontal="center"/>
      <protection locked="0"/>
    </xf>
    <xf numFmtId="0" fontId="12" fillId="29" borderId="0" xfId="0" applyFont="1" applyFill="1" applyAlignment="1" applyProtection="1">
      <alignment horizontal="center"/>
      <protection locked="0"/>
    </xf>
    <xf numFmtId="44" fontId="19" fillId="29" borderId="0" xfId="1183" applyNumberFormat="1" applyFont="1" applyFill="1" applyProtection="1">
      <protection locked="0"/>
    </xf>
    <xf numFmtId="0" fontId="46" fillId="29" borderId="0" xfId="0" applyFont="1" applyFill="1" applyProtection="1">
      <protection locked="0"/>
    </xf>
    <xf numFmtId="0" fontId="13" fillId="28" borderId="0" xfId="0" applyFont="1" applyFill="1" applyAlignment="1" applyProtection="1">
      <alignment horizontal="center"/>
      <protection locked="0"/>
    </xf>
    <xf numFmtId="44" fontId="11" fillId="41" borderId="0" xfId="286" applyNumberFormat="1" applyFont="1" applyFill="1"/>
    <xf numFmtId="173" fontId="11" fillId="41" borderId="0" xfId="286" applyNumberFormat="1" applyFont="1" applyFill="1"/>
    <xf numFmtId="0" fontId="2" fillId="41" borderId="0" xfId="0" applyFont="1" applyFill="1"/>
    <xf numFmtId="0" fontId="11" fillId="41" borderId="4" xfId="0" applyFont="1" applyFill="1" applyBorder="1" applyAlignment="1" applyProtection="1">
      <alignment horizontal="left"/>
      <protection locked="0"/>
    </xf>
    <xf numFmtId="0" fontId="14" fillId="41" borderId="15" xfId="0" applyFont="1" applyFill="1" applyBorder="1"/>
    <xf numFmtId="1" fontId="11" fillId="41" borderId="4" xfId="0" applyNumberFormat="1" applyFont="1" applyFill="1" applyBorder="1" applyAlignment="1">
      <alignment horizontal="right"/>
    </xf>
    <xf numFmtId="2" fontId="11" fillId="41" borderId="0" xfId="0" applyNumberFormat="1" applyFont="1" applyFill="1"/>
    <xf numFmtId="42" fontId="0" fillId="41" borderId="5" xfId="0" applyNumberFormat="1" applyFill="1" applyBorder="1"/>
    <xf numFmtId="0" fontId="95" fillId="41" borderId="0" xfId="0" applyFont="1" applyFill="1"/>
    <xf numFmtId="44" fontId="14" fillId="41" borderId="0" xfId="286" applyNumberFormat="1" applyFont="1" applyFill="1" applyAlignment="1">
      <alignment horizontal="left"/>
    </xf>
    <xf numFmtId="0" fontId="14" fillId="41" borderId="0" xfId="0" applyFont="1" applyFill="1" applyAlignment="1" applyProtection="1">
      <alignment horizontal="left"/>
      <protection locked="0"/>
    </xf>
    <xf numFmtId="4" fontId="11" fillId="0" borderId="2" xfId="0" applyNumberFormat="1" applyFont="1" applyBorder="1" applyAlignment="1">
      <alignment horizontal="left"/>
    </xf>
    <xf numFmtId="4" fontId="11" fillId="0" borderId="0" xfId="0" applyNumberFormat="1" applyFont="1" applyAlignment="1">
      <alignment horizontal="left"/>
    </xf>
    <xf numFmtId="4" fontId="11" fillId="0" borderId="7" xfId="0" applyNumberFormat="1" applyFont="1" applyBorder="1" applyAlignment="1">
      <alignment horizontal="left"/>
    </xf>
    <xf numFmtId="0" fontId="15" fillId="41" borderId="7" xfId="0" applyFont="1" applyFill="1" applyBorder="1" applyAlignment="1">
      <alignment horizontal="center"/>
    </xf>
    <xf numFmtId="0" fontId="19" fillId="45" borderId="6" xfId="0" applyFont="1" applyFill="1" applyBorder="1"/>
    <xf numFmtId="0" fontId="19" fillId="45" borderId="8" xfId="0" applyFont="1" applyFill="1" applyBorder="1" applyAlignment="1">
      <alignment horizontal="left"/>
    </xf>
    <xf numFmtId="0" fontId="51" fillId="4" borderId="21" xfId="0" applyFont="1" applyFill="1" applyBorder="1" applyAlignment="1">
      <alignment horizontal="center"/>
    </xf>
    <xf numFmtId="37" fontId="17" fillId="4" borderId="19" xfId="0" applyNumberFormat="1" applyFont="1" applyFill="1" applyBorder="1" applyAlignment="1">
      <alignment horizontal="center"/>
    </xf>
    <xf numFmtId="4" fontId="15" fillId="41" borderId="7" xfId="0" applyNumberFormat="1" applyFont="1" applyFill="1" applyBorder="1" applyAlignment="1">
      <alignment horizontal="center"/>
    </xf>
    <xf numFmtId="4" fontId="15" fillId="41" borderId="6" xfId="0" applyNumberFormat="1" applyFont="1" applyFill="1" applyBorder="1" applyAlignment="1">
      <alignment horizontal="center"/>
    </xf>
    <xf numFmtId="0" fontId="19" fillId="45" borderId="6" xfId="0" applyFont="1" applyFill="1" applyBorder="1" applyAlignment="1">
      <alignment horizontal="right"/>
    </xf>
    <xf numFmtId="0" fontId="19" fillId="45" borderId="62" xfId="0" applyFont="1" applyFill="1" applyBorder="1" applyAlignment="1">
      <alignment horizontal="right"/>
    </xf>
    <xf numFmtId="4" fontId="15" fillId="41" borderId="63" xfId="0" applyNumberFormat="1" applyFont="1" applyFill="1" applyBorder="1" applyAlignment="1">
      <alignment horizontal="center"/>
    </xf>
    <xf numFmtId="0" fontId="19" fillId="45" borderId="62" xfId="0" applyFont="1" applyFill="1" applyBorder="1"/>
    <xf numFmtId="0" fontId="15" fillId="41" borderId="63" xfId="0" applyFont="1" applyFill="1" applyBorder="1" applyAlignment="1">
      <alignment horizontal="center"/>
    </xf>
    <xf numFmtId="0" fontId="19" fillId="45" borderId="64" xfId="0" applyFont="1" applyFill="1" applyBorder="1" applyAlignment="1">
      <alignment horizontal="left"/>
    </xf>
    <xf numFmtId="0" fontId="19" fillId="45" borderId="65" xfId="0" applyFont="1" applyFill="1" applyBorder="1" applyAlignment="1">
      <alignment horizontal="right"/>
    </xf>
    <xf numFmtId="4" fontId="15" fillId="41" borderId="66" xfId="0" applyNumberFormat="1" applyFont="1" applyFill="1" applyBorder="1" applyAlignment="1">
      <alignment horizontal="center"/>
    </xf>
    <xf numFmtId="0" fontId="19" fillId="45" borderId="65" xfId="0" applyFont="1" applyFill="1" applyBorder="1"/>
    <xf numFmtId="0" fontId="15" fillId="41" borderId="66" xfId="0" applyFont="1" applyFill="1" applyBorder="1" applyAlignment="1">
      <alignment horizontal="center"/>
    </xf>
    <xf numFmtId="0" fontId="19" fillId="45" borderId="67" xfId="0" applyFont="1" applyFill="1" applyBorder="1" applyAlignment="1">
      <alignment horizontal="left"/>
    </xf>
    <xf numFmtId="0" fontId="60" fillId="8" borderId="15" xfId="0" applyFont="1" applyFill="1" applyBorder="1" applyAlignment="1">
      <alignment horizontal="right"/>
    </xf>
    <xf numFmtId="0" fontId="15" fillId="41" borderId="9" xfId="0" applyFont="1" applyFill="1" applyBorder="1" applyAlignment="1">
      <alignment horizontal="center"/>
    </xf>
    <xf numFmtId="0" fontId="15" fillId="41" borderId="10" xfId="0" applyFont="1" applyFill="1" applyBorder="1" applyAlignment="1">
      <alignment horizontal="center"/>
    </xf>
    <xf numFmtId="0" fontId="19" fillId="45" borderId="10" xfId="0" applyFont="1" applyFill="1" applyBorder="1" applyAlignment="1">
      <alignment horizontal="center"/>
    </xf>
    <xf numFmtId="0" fontId="15" fillId="41" borderId="11" xfId="0" applyFont="1" applyFill="1" applyBorder="1" applyAlignment="1">
      <alignment horizontal="center"/>
    </xf>
    <xf numFmtId="0" fontId="14" fillId="25" borderId="15" xfId="0" applyFont="1" applyFill="1" applyBorder="1"/>
    <xf numFmtId="166" fontId="11" fillId="25" borderId="0" xfId="285" applyNumberFormat="1" applyFont="1" applyFill="1" applyBorder="1" applyAlignment="1" applyProtection="1">
      <alignment horizontal="center"/>
      <protection locked="0"/>
    </xf>
    <xf numFmtId="0" fontId="12" fillId="41" borderId="0" xfId="0" applyFont="1" applyFill="1" applyAlignment="1">
      <alignment horizontal="center"/>
    </xf>
    <xf numFmtId="0" fontId="14" fillId="27" borderId="4" xfId="0" applyFont="1" applyFill="1" applyBorder="1" applyAlignment="1" applyProtection="1">
      <alignment horizontal="center"/>
      <protection locked="0"/>
    </xf>
    <xf numFmtId="0" fontId="14" fillId="29" borderId="4" xfId="0" applyFont="1" applyFill="1" applyBorder="1" applyAlignment="1" applyProtection="1">
      <alignment horizontal="center"/>
      <protection locked="0"/>
    </xf>
    <xf numFmtId="0" fontId="14" fillId="37" borderId="4" xfId="0" applyFont="1" applyFill="1" applyBorder="1" applyAlignment="1" applyProtection="1">
      <alignment horizontal="center"/>
      <protection locked="0"/>
    </xf>
    <xf numFmtId="0" fontId="33" fillId="47" borderId="4" xfId="0" applyFont="1" applyFill="1" applyBorder="1" applyAlignment="1" applyProtection="1">
      <alignment horizontal="center"/>
      <protection locked="0"/>
    </xf>
    <xf numFmtId="0" fontId="14" fillId="28" borderId="4" xfId="0" applyFont="1" applyFill="1" applyBorder="1" applyAlignment="1" applyProtection="1">
      <alignment horizontal="center"/>
      <protection locked="0"/>
    </xf>
    <xf numFmtId="0" fontId="17" fillId="28" borderId="0" xfId="0" applyFont="1" applyFill="1" applyAlignment="1" applyProtection="1">
      <alignment horizontal="left"/>
      <protection locked="0"/>
    </xf>
    <xf numFmtId="0" fontId="0" fillId="0" borderId="7" xfId="0" applyBorder="1" applyAlignment="1" applyProtection="1">
      <alignment horizontal="left"/>
      <protection locked="0"/>
    </xf>
    <xf numFmtId="44" fontId="19" fillId="28" borderId="0" xfId="1183" applyNumberFormat="1" applyFont="1" applyFill="1" applyProtection="1">
      <protection locked="0"/>
    </xf>
    <xf numFmtId="166" fontId="14" fillId="28" borderId="0" xfId="1184" applyNumberFormat="1" applyFont="1" applyFill="1" applyAlignment="1" applyProtection="1">
      <alignment horizontal="center"/>
      <protection locked="0"/>
    </xf>
    <xf numFmtId="0" fontId="46" fillId="28" borderId="0" xfId="0" applyFont="1" applyFill="1" applyProtection="1">
      <protection locked="0"/>
    </xf>
    <xf numFmtId="166" fontId="15" fillId="47" borderId="0" xfId="1184" applyNumberFormat="1" applyFont="1" applyFill="1" applyAlignment="1" applyProtection="1">
      <alignment horizontal="center"/>
      <protection locked="0"/>
    </xf>
    <xf numFmtId="166" fontId="15" fillId="29" borderId="0" xfId="1184" applyNumberFormat="1" applyFont="1" applyFill="1" applyAlignment="1" applyProtection="1">
      <alignment horizontal="center"/>
      <protection locked="0"/>
    </xf>
    <xf numFmtId="44" fontId="15" fillId="29" borderId="0" xfId="1183" applyNumberFormat="1" applyFont="1" applyFill="1" applyAlignment="1" applyProtection="1">
      <alignment horizontal="center"/>
      <protection locked="0"/>
    </xf>
    <xf numFmtId="44" fontId="15" fillId="28" borderId="0" xfId="1183" applyNumberFormat="1" applyFont="1" applyFill="1" applyAlignment="1" applyProtection="1">
      <alignment horizontal="center"/>
      <protection locked="0"/>
    </xf>
    <xf numFmtId="44" fontId="15" fillId="47" borderId="0" xfId="1183" applyNumberFormat="1" applyFont="1" applyFill="1" applyAlignment="1" applyProtection="1">
      <alignment horizontal="center"/>
      <protection locked="0"/>
    </xf>
    <xf numFmtId="166" fontId="14" fillId="27" borderId="0" xfId="1184" applyNumberFormat="1" applyFont="1" applyFill="1" applyAlignment="1" applyProtection="1">
      <alignment horizontal="center"/>
      <protection locked="0"/>
    </xf>
    <xf numFmtId="0" fontId="34" fillId="34" borderId="0" xfId="0" applyFont="1" applyFill="1" applyProtection="1">
      <protection locked="0"/>
    </xf>
    <xf numFmtId="0" fontId="0" fillId="44" borderId="0" xfId="0" applyFill="1" applyAlignment="1" applyProtection="1">
      <alignment horizontal="left" vertical="center"/>
      <protection locked="0"/>
    </xf>
    <xf numFmtId="176" fontId="17" fillId="41" borderId="0" xfId="1080" applyNumberFormat="1" applyFont="1" applyFill="1" applyProtection="1">
      <protection locked="0"/>
    </xf>
    <xf numFmtId="176" fontId="17" fillId="0" borderId="0" xfId="1080" applyNumberFormat="1" applyFont="1" applyFill="1" applyProtection="1">
      <protection locked="0"/>
    </xf>
    <xf numFmtId="176" fontId="17" fillId="41" borderId="0" xfId="286" applyNumberFormat="1" applyFont="1" applyFill="1" applyProtection="1">
      <protection locked="0"/>
    </xf>
    <xf numFmtId="0" fontId="19" fillId="0" borderId="0" xfId="0" applyFont="1" applyAlignment="1">
      <alignment horizontal="left" vertical="center"/>
    </xf>
    <xf numFmtId="0" fontId="19" fillId="0" borderId="0" xfId="0" applyFont="1" applyAlignment="1" applyProtection="1">
      <alignment horizontal="left" vertical="center"/>
      <protection locked="0"/>
    </xf>
    <xf numFmtId="3" fontId="11" fillId="0" borderId="0" xfId="0" applyNumberFormat="1" applyFont="1" applyAlignment="1" applyProtection="1">
      <alignment horizontal="right"/>
      <protection locked="0"/>
    </xf>
    <xf numFmtId="0" fontId="34" fillId="0" borderId="3" xfId="0" applyFont="1" applyBorder="1" applyProtection="1">
      <protection locked="0"/>
    </xf>
    <xf numFmtId="0" fontId="34" fillId="0" borderId="11" xfId="0" applyFont="1" applyBorder="1" applyAlignment="1" applyProtection="1">
      <alignment horizontal="center"/>
      <protection locked="0"/>
    </xf>
    <xf numFmtId="0" fontId="34" fillId="4" borderId="53" xfId="0" applyFont="1" applyFill="1" applyBorder="1" applyAlignment="1" applyProtection="1">
      <alignment horizontal="center"/>
      <protection locked="0"/>
    </xf>
    <xf numFmtId="0" fontId="34" fillId="4" borderId="22" xfId="0" applyFont="1" applyFill="1" applyBorder="1" applyAlignment="1" applyProtection="1">
      <alignment horizontal="right"/>
      <protection locked="0"/>
    </xf>
    <xf numFmtId="0" fontId="34" fillId="4" borderId="25" xfId="0" applyFont="1" applyFill="1" applyBorder="1" applyAlignment="1" applyProtection="1">
      <alignment horizontal="right"/>
      <protection locked="0"/>
    </xf>
    <xf numFmtId="176" fontId="48" fillId="4" borderId="26" xfId="0" applyNumberFormat="1" applyFont="1" applyFill="1" applyBorder="1" applyProtection="1">
      <protection locked="0"/>
    </xf>
    <xf numFmtId="0" fontId="34" fillId="4" borderId="27" xfId="0" applyFont="1" applyFill="1" applyBorder="1" applyAlignment="1" applyProtection="1">
      <alignment horizontal="right"/>
      <protection locked="0"/>
    </xf>
    <xf numFmtId="176" fontId="17" fillId="4" borderId="24" xfId="1080" applyNumberFormat="1" applyFont="1" applyFill="1" applyBorder="1" applyProtection="1">
      <protection locked="0"/>
    </xf>
    <xf numFmtId="176" fontId="17" fillId="4" borderId="26" xfId="1080" applyNumberFormat="1" applyFont="1" applyFill="1" applyBorder="1" applyProtection="1">
      <protection locked="0"/>
    </xf>
    <xf numFmtId="176" fontId="17" fillId="4" borderId="29" xfId="1080" applyNumberFormat="1" applyFont="1" applyFill="1" applyBorder="1" applyProtection="1">
      <protection locked="0"/>
    </xf>
    <xf numFmtId="0" fontId="0" fillId="41" borderId="22" xfId="0" applyFill="1" applyBorder="1" applyProtection="1">
      <protection locked="0"/>
    </xf>
    <xf numFmtId="0" fontId="0" fillId="41" borderId="25" xfId="0" applyFill="1" applyBorder="1" applyProtection="1">
      <protection locked="0"/>
    </xf>
    <xf numFmtId="0" fontId="0" fillId="41" borderId="27" xfId="0" applyFill="1" applyBorder="1" applyProtection="1">
      <protection locked="0"/>
    </xf>
    <xf numFmtId="0" fontId="0" fillId="41" borderId="12" xfId="0" applyFill="1" applyBorder="1" applyAlignment="1" applyProtection="1">
      <alignment horizontal="right"/>
      <protection locked="0"/>
    </xf>
    <xf numFmtId="176" fontId="17" fillId="4" borderId="14" xfId="1080" applyNumberFormat="1" applyFont="1" applyFill="1" applyBorder="1" applyProtection="1">
      <protection locked="0"/>
    </xf>
    <xf numFmtId="0" fontId="34" fillId="4" borderId="12" xfId="0" applyFont="1" applyFill="1" applyBorder="1" applyProtection="1">
      <protection locked="0"/>
    </xf>
    <xf numFmtId="176" fontId="48" fillId="4" borderId="14" xfId="0" applyNumberFormat="1" applyFont="1" applyFill="1" applyBorder="1" applyProtection="1">
      <protection locked="0"/>
    </xf>
    <xf numFmtId="0" fontId="48" fillId="0" borderId="32" xfId="0" applyFont="1" applyBorder="1" applyProtection="1">
      <protection locked="0"/>
    </xf>
    <xf numFmtId="0" fontId="99" fillId="46" borderId="19" xfId="0" applyFont="1" applyFill="1" applyBorder="1" applyProtection="1">
      <protection locked="0"/>
    </xf>
    <xf numFmtId="0" fontId="0" fillId="41" borderId="1" xfId="0" applyFill="1" applyBorder="1" applyAlignment="1" applyProtection="1">
      <alignment horizontal="right"/>
      <protection locked="0"/>
    </xf>
    <xf numFmtId="176" fontId="0" fillId="41" borderId="2" xfId="1080" applyNumberFormat="1" applyFont="1" applyFill="1" applyBorder="1" applyProtection="1">
      <protection locked="0"/>
    </xf>
    <xf numFmtId="0" fontId="0" fillId="41" borderId="4" xfId="0" applyFill="1" applyBorder="1" applyAlignment="1" applyProtection="1">
      <alignment horizontal="right"/>
      <protection locked="0"/>
    </xf>
    <xf numFmtId="176" fontId="0" fillId="41" borderId="0" xfId="1080" applyNumberFormat="1" applyFont="1" applyFill="1" applyBorder="1" applyProtection="1">
      <protection locked="0"/>
    </xf>
    <xf numFmtId="0" fontId="0" fillId="41" borderId="6" xfId="0" applyFill="1" applyBorder="1" applyAlignment="1" applyProtection="1">
      <alignment horizontal="right"/>
      <protection locked="0"/>
    </xf>
    <xf numFmtId="176" fontId="0" fillId="41" borderId="7" xfId="1080" applyNumberFormat="1" applyFont="1" applyFill="1" applyBorder="1" applyProtection="1">
      <protection locked="0"/>
    </xf>
    <xf numFmtId="0" fontId="0" fillId="26" borderId="0" xfId="0" applyFill="1" applyAlignment="1" applyProtection="1">
      <alignment horizontal="right"/>
      <protection locked="0"/>
    </xf>
    <xf numFmtId="0" fontId="20" fillId="26" borderId="12" xfId="0" applyFont="1" applyFill="1" applyBorder="1" applyAlignment="1" applyProtection="1">
      <alignment horizontal="right"/>
      <protection locked="0"/>
    </xf>
    <xf numFmtId="176" fontId="100" fillId="0" borderId="3" xfId="0" applyNumberFormat="1" applyFont="1" applyBorder="1" applyAlignment="1" applyProtection="1">
      <alignment horizontal="center"/>
      <protection locked="0"/>
    </xf>
    <xf numFmtId="176" fontId="100" fillId="0" borderId="68" xfId="0" applyNumberFormat="1" applyFont="1" applyBorder="1" applyAlignment="1" applyProtection="1">
      <alignment horizontal="center"/>
      <protection locked="0"/>
    </xf>
    <xf numFmtId="176" fontId="100" fillId="0" borderId="69" xfId="0" applyNumberFormat="1" applyFont="1" applyBorder="1" applyProtection="1">
      <protection locked="0"/>
    </xf>
    <xf numFmtId="0" fontId="100" fillId="0" borderId="8" xfId="0" applyFont="1" applyBorder="1" applyAlignment="1" applyProtection="1">
      <alignment horizontal="center"/>
      <protection locked="0"/>
    </xf>
    <xf numFmtId="0" fontId="100" fillId="0" borderId="0" xfId="0" applyFont="1" applyAlignment="1" applyProtection="1">
      <alignment horizontal="center"/>
      <protection locked="0"/>
    </xf>
    <xf numFmtId="176" fontId="64" fillId="48" borderId="0" xfId="0" applyNumberFormat="1" applyFont="1" applyFill="1" applyAlignment="1" applyProtection="1">
      <alignment horizontal="left"/>
      <protection locked="0"/>
    </xf>
    <xf numFmtId="0" fontId="64" fillId="48" borderId="0" xfId="0" applyFont="1" applyFill="1" applyAlignment="1" applyProtection="1">
      <alignment vertical="center"/>
      <protection locked="0"/>
    </xf>
    <xf numFmtId="176" fontId="48" fillId="4" borderId="32" xfId="0" applyNumberFormat="1" applyFont="1" applyFill="1" applyBorder="1" applyProtection="1">
      <protection locked="0"/>
    </xf>
    <xf numFmtId="0" fontId="34" fillId="4" borderId="12" xfId="0" applyFont="1" applyFill="1" applyBorder="1" applyAlignment="1" applyProtection="1">
      <alignment horizontal="left"/>
      <protection locked="0"/>
    </xf>
    <xf numFmtId="0" fontId="0" fillId="4" borderId="14" xfId="0" applyFill="1" applyBorder="1" applyProtection="1">
      <protection locked="0"/>
    </xf>
    <xf numFmtId="0" fontId="36" fillId="4" borderId="12" xfId="0" applyFont="1" applyFill="1" applyBorder="1" applyAlignment="1" applyProtection="1">
      <alignment horizontal="left" vertical="center"/>
      <protection locked="0"/>
    </xf>
    <xf numFmtId="0" fontId="0" fillId="4" borderId="14" xfId="0" applyFill="1" applyBorder="1" applyAlignment="1" applyProtection="1">
      <alignment vertical="center"/>
      <protection locked="0"/>
    </xf>
    <xf numFmtId="0" fontId="36" fillId="4" borderId="0" xfId="0" applyFont="1" applyFill="1" applyProtection="1">
      <protection locked="0"/>
    </xf>
    <xf numFmtId="176" fontId="48" fillId="4" borderId="24" xfId="0" applyNumberFormat="1" applyFont="1" applyFill="1" applyBorder="1" applyProtection="1">
      <protection locked="0"/>
    </xf>
    <xf numFmtId="176" fontId="48" fillId="4" borderId="29" xfId="0" applyNumberFormat="1" applyFont="1" applyFill="1" applyBorder="1" applyProtection="1">
      <protection locked="0"/>
    </xf>
    <xf numFmtId="0" fontId="11" fillId="25" borderId="0" xfId="0" applyFont="1" applyFill="1" applyProtection="1">
      <protection locked="0"/>
    </xf>
    <xf numFmtId="0" fontId="11" fillId="25" borderId="0" xfId="0" applyFont="1" applyFill="1"/>
    <xf numFmtId="0" fontId="92" fillId="27" borderId="0" xfId="0" applyFont="1" applyFill="1" applyAlignment="1" applyProtection="1">
      <alignment horizontal="center" vertical="center"/>
      <protection locked="0"/>
    </xf>
    <xf numFmtId="0" fontId="11" fillId="4" borderId="7" xfId="0" applyFont="1" applyFill="1" applyBorder="1" applyProtection="1">
      <protection locked="0"/>
    </xf>
    <xf numFmtId="0" fontId="11" fillId="40" borderId="0" xfId="0" applyFont="1" applyFill="1" applyProtection="1">
      <protection locked="0"/>
    </xf>
    <xf numFmtId="0" fontId="11" fillId="0" borderId="7" xfId="0" applyFont="1" applyBorder="1" applyProtection="1">
      <protection locked="0"/>
    </xf>
    <xf numFmtId="0" fontId="19" fillId="0" borderId="4" xfId="0" applyFont="1" applyBorder="1" applyAlignment="1" applyProtection="1">
      <alignment horizontal="right" vertical="center"/>
      <protection locked="0"/>
    </xf>
    <xf numFmtId="44" fontId="11" fillId="16" borderId="0" xfId="0" applyNumberFormat="1" applyFont="1" applyFill="1" applyAlignment="1" applyProtection="1">
      <alignment horizontal="center"/>
      <protection locked="0"/>
    </xf>
    <xf numFmtId="44" fontId="11" fillId="16" borderId="17" xfId="0" applyNumberFormat="1" applyFont="1" applyFill="1" applyBorder="1" applyProtection="1">
      <protection locked="0"/>
    </xf>
    <xf numFmtId="0" fontId="10" fillId="16" borderId="0" xfId="0" applyFont="1" applyFill="1" applyAlignment="1" applyProtection="1">
      <alignment horizontal="center"/>
      <protection locked="0"/>
    </xf>
    <xf numFmtId="44" fontId="19" fillId="16" borderId="2" xfId="0" applyNumberFormat="1" applyFont="1" applyFill="1" applyBorder="1" applyProtection="1">
      <protection locked="0"/>
    </xf>
    <xf numFmtId="0" fontId="19" fillId="16" borderId="1" xfId="0" applyFont="1" applyFill="1" applyBorder="1" applyProtection="1">
      <protection locked="0"/>
    </xf>
    <xf numFmtId="44" fontId="19" fillId="16" borderId="10" xfId="0" applyNumberFormat="1" applyFont="1" applyFill="1" applyBorder="1" applyProtection="1">
      <protection locked="0"/>
    </xf>
    <xf numFmtId="0" fontId="82" fillId="16" borderId="2" xfId="0" applyFont="1" applyFill="1" applyBorder="1" applyAlignment="1" applyProtection="1">
      <alignment horizontal="center"/>
      <protection locked="0"/>
    </xf>
    <xf numFmtId="0" fontId="19" fillId="16" borderId="1" xfId="0" applyFont="1" applyFill="1" applyBorder="1"/>
    <xf numFmtId="0" fontId="19" fillId="16" borderId="2" xfId="0" applyFont="1" applyFill="1" applyBorder="1" applyAlignment="1">
      <alignment horizontal="center"/>
    </xf>
    <xf numFmtId="44" fontId="19" fillId="16" borderId="2" xfId="0" applyNumberFormat="1" applyFont="1" applyFill="1" applyBorder="1"/>
    <xf numFmtId="44" fontId="19" fillId="16" borderId="10" xfId="0" applyNumberFormat="1" applyFont="1" applyFill="1" applyBorder="1"/>
    <xf numFmtId="44" fontId="19" fillId="16" borderId="0" xfId="0" applyNumberFormat="1" applyFont="1" applyFill="1"/>
    <xf numFmtId="0" fontId="17" fillId="41" borderId="28" xfId="0" applyFont="1" applyFill="1" applyBorder="1" applyAlignment="1" applyProtection="1">
      <alignment horizontal="right"/>
      <protection locked="0"/>
    </xf>
    <xf numFmtId="0" fontId="17" fillId="41" borderId="23" xfId="0" applyFont="1" applyFill="1" applyBorder="1" applyAlignment="1" applyProtection="1">
      <alignment horizontal="right"/>
      <protection locked="0"/>
    </xf>
    <xf numFmtId="44" fontId="19" fillId="0" borderId="8" xfId="0" applyNumberFormat="1" applyFont="1" applyBorder="1" applyProtection="1">
      <protection locked="0"/>
    </xf>
    <xf numFmtId="44" fontId="98" fillId="46" borderId="32" xfId="0" applyNumberFormat="1" applyFont="1" applyFill="1" applyBorder="1" applyAlignment="1" applyProtection="1">
      <alignment horizontal="center" vertical="center"/>
      <protection locked="0"/>
    </xf>
    <xf numFmtId="176" fontId="0" fillId="41" borderId="3" xfId="0" applyNumberFormat="1" applyFill="1" applyBorder="1" applyProtection="1">
      <protection locked="0"/>
    </xf>
    <xf numFmtId="176" fontId="0" fillId="41" borderId="5" xfId="0" applyNumberFormat="1" applyFill="1" applyBorder="1" applyProtection="1">
      <protection locked="0"/>
    </xf>
    <xf numFmtId="176" fontId="0" fillId="41" borderId="8" xfId="0" applyNumberFormat="1" applyFill="1" applyBorder="1" applyProtection="1">
      <protection locked="0"/>
    </xf>
    <xf numFmtId="176" fontId="0" fillId="41" borderId="11" xfId="1080" applyNumberFormat="1" applyFont="1" applyFill="1" applyBorder="1" applyProtection="1">
      <protection locked="0"/>
    </xf>
    <xf numFmtId="0" fontId="17" fillId="25" borderId="0" xfId="0" applyFont="1" applyFill="1" applyAlignment="1" applyProtection="1">
      <alignment horizontal="right"/>
      <protection locked="0"/>
    </xf>
    <xf numFmtId="0" fontId="34" fillId="25" borderId="0" xfId="0" applyFont="1" applyFill="1" applyAlignment="1" applyProtection="1">
      <alignment horizontal="left"/>
      <protection locked="0"/>
    </xf>
    <xf numFmtId="14" fontId="36" fillId="25" borderId="0" xfId="0" applyNumberFormat="1" applyFont="1" applyFill="1" applyProtection="1">
      <protection locked="0"/>
    </xf>
    <xf numFmtId="176" fontId="0" fillId="41" borderId="0" xfId="0" applyNumberFormat="1" applyFill="1" applyAlignment="1" applyProtection="1">
      <alignment horizontal="left"/>
      <protection locked="0"/>
    </xf>
    <xf numFmtId="176" fontId="3" fillId="47" borderId="0" xfId="1080" applyNumberFormat="1" applyFont="1" applyFill="1" applyProtection="1">
      <protection locked="0"/>
    </xf>
    <xf numFmtId="0" fontId="34" fillId="0" borderId="0" xfId="0" quotePrefix="1" applyFont="1" applyProtection="1">
      <protection locked="0"/>
    </xf>
    <xf numFmtId="0" fontId="0" fillId="0" borderId="0" xfId="0" quotePrefix="1" applyProtection="1">
      <protection locked="0"/>
    </xf>
    <xf numFmtId="0" fontId="48" fillId="47" borderId="0" xfId="0" applyFont="1" applyFill="1" applyAlignment="1" applyProtection="1">
      <alignment horizontal="center"/>
      <protection locked="0"/>
    </xf>
    <xf numFmtId="0" fontId="48" fillId="47" borderId="19" xfId="0" applyFont="1" applyFill="1" applyBorder="1" applyProtection="1">
      <protection locked="0"/>
    </xf>
    <xf numFmtId="0" fontId="89" fillId="47" borderId="0" xfId="0" applyFont="1" applyFill="1" applyAlignment="1" applyProtection="1">
      <alignment horizontal="left"/>
      <protection locked="0"/>
    </xf>
    <xf numFmtId="164" fontId="3" fillId="47" borderId="0" xfId="286" applyFont="1" applyFill="1" applyProtection="1">
      <protection locked="0"/>
    </xf>
    <xf numFmtId="9" fontId="34" fillId="40" borderId="0" xfId="647" applyFont="1" applyFill="1" applyAlignment="1" applyProtection="1">
      <alignment horizontal="left"/>
      <protection locked="0"/>
    </xf>
    <xf numFmtId="176" fontId="17" fillId="40" borderId="0" xfId="286" applyNumberFormat="1" applyFont="1" applyFill="1" applyProtection="1">
      <protection locked="0"/>
    </xf>
    <xf numFmtId="0" fontId="34" fillId="40" borderId="0" xfId="0" applyFont="1" applyFill="1" applyProtection="1">
      <protection locked="0"/>
    </xf>
    <xf numFmtId="0" fontId="34" fillId="40" borderId="0" xfId="0" applyFont="1" applyFill="1" applyAlignment="1" applyProtection="1">
      <alignment horizontal="right"/>
      <protection locked="0"/>
    </xf>
    <xf numFmtId="176" fontId="3" fillId="40" borderId="0" xfId="1080" applyNumberFormat="1" applyFont="1" applyFill="1" applyProtection="1">
      <protection locked="0"/>
    </xf>
    <xf numFmtId="0" fontId="34" fillId="47" borderId="0" xfId="0" applyFont="1" applyFill="1" applyProtection="1">
      <protection locked="0"/>
    </xf>
    <xf numFmtId="0" fontId="105" fillId="28" borderId="0" xfId="0" applyFont="1" applyFill="1" applyAlignment="1" applyProtection="1">
      <alignment horizontal="center"/>
      <protection locked="0"/>
    </xf>
    <xf numFmtId="0" fontId="106" fillId="28" borderId="0" xfId="0" applyFont="1" applyFill="1" applyProtection="1">
      <protection locked="0"/>
    </xf>
    <xf numFmtId="9" fontId="106" fillId="28" borderId="0" xfId="647" applyFont="1" applyFill="1" applyProtection="1">
      <protection locked="0"/>
    </xf>
    <xf numFmtId="0" fontId="0" fillId="4" borderId="13" xfId="0" applyFill="1" applyBorder="1" applyProtection="1">
      <protection locked="0"/>
    </xf>
    <xf numFmtId="0" fontId="34" fillId="4" borderId="0" xfId="0" applyFont="1" applyFill="1" applyAlignment="1" applyProtection="1">
      <alignment horizontal="center"/>
      <protection locked="0"/>
    </xf>
    <xf numFmtId="0" fontId="107" fillId="0" borderId="0" xfId="0" applyFont="1" applyProtection="1">
      <protection locked="0"/>
    </xf>
    <xf numFmtId="176" fontId="46" fillId="27" borderId="0" xfId="0" applyNumberFormat="1" applyFont="1" applyFill="1" applyProtection="1">
      <protection locked="0"/>
    </xf>
    <xf numFmtId="0" fontId="107" fillId="0" borderId="0" xfId="0" applyFont="1" applyAlignment="1" applyProtection="1">
      <alignment horizontal="right"/>
      <protection locked="0"/>
    </xf>
    <xf numFmtId="9" fontId="19" fillId="25" borderId="0" xfId="0" applyNumberFormat="1" applyFont="1" applyFill="1" applyAlignment="1" applyProtection="1">
      <alignment horizontal="center"/>
      <protection locked="0"/>
    </xf>
    <xf numFmtId="0" fontId="19" fillId="47" borderId="0" xfId="0" quotePrefix="1" applyFont="1" applyFill="1" applyAlignment="1" applyProtection="1">
      <alignment vertical="center"/>
      <protection locked="0"/>
    </xf>
    <xf numFmtId="0" fontId="109" fillId="25" borderId="0" xfId="0" quotePrefix="1" applyFont="1" applyFill="1" applyAlignment="1" applyProtection="1">
      <alignment vertical="center"/>
      <protection locked="0"/>
    </xf>
    <xf numFmtId="0" fontId="48" fillId="40" borderId="0" xfId="0" applyFont="1" applyFill="1" applyProtection="1">
      <protection locked="0"/>
    </xf>
    <xf numFmtId="9" fontId="48" fillId="40" borderId="0" xfId="0" applyNumberFormat="1" applyFont="1" applyFill="1" applyProtection="1">
      <protection locked="0"/>
    </xf>
    <xf numFmtId="0" fontId="19" fillId="40" borderId="0" xfId="0" quotePrefix="1" applyFont="1" applyFill="1" applyAlignment="1" applyProtection="1">
      <alignment vertical="center"/>
      <protection locked="0"/>
    </xf>
    <xf numFmtId="44" fontId="19" fillId="40" borderId="0" xfId="0" applyNumberFormat="1" applyFont="1" applyFill="1" applyProtection="1">
      <protection locked="0"/>
    </xf>
    <xf numFmtId="176" fontId="48" fillId="4" borderId="55" xfId="0" applyNumberFormat="1" applyFont="1" applyFill="1" applyBorder="1" applyProtection="1">
      <protection locked="0"/>
    </xf>
    <xf numFmtId="176" fontId="48" fillId="4" borderId="61" xfId="0" applyNumberFormat="1" applyFont="1" applyFill="1" applyBorder="1" applyProtection="1">
      <protection locked="0"/>
    </xf>
    <xf numFmtId="176" fontId="48" fillId="4" borderId="53" xfId="0" applyNumberFormat="1" applyFont="1" applyFill="1" applyBorder="1" applyProtection="1">
      <protection locked="0"/>
    </xf>
    <xf numFmtId="0" fontId="64" fillId="4" borderId="0" xfId="0" applyFont="1" applyFill="1" applyAlignment="1" applyProtection="1">
      <alignment horizontal="right" vertical="center"/>
      <protection locked="0"/>
    </xf>
    <xf numFmtId="0" fontId="48" fillId="40" borderId="0" xfId="0" quotePrefix="1" applyFont="1" applyFill="1" applyProtection="1">
      <protection locked="0"/>
    </xf>
    <xf numFmtId="14" fontId="48" fillId="40" borderId="0" xfId="0" applyNumberFormat="1" applyFont="1" applyFill="1" applyAlignment="1" applyProtection="1">
      <alignment horizontal="center"/>
      <protection locked="0"/>
    </xf>
    <xf numFmtId="0" fontId="48" fillId="40" borderId="3" xfId="0" applyFont="1" applyFill="1" applyBorder="1" applyProtection="1">
      <protection locked="0"/>
    </xf>
    <xf numFmtId="0" fontId="34" fillId="40" borderId="5" xfId="0" applyFont="1" applyFill="1" applyBorder="1" applyProtection="1">
      <protection locked="0"/>
    </xf>
    <xf numFmtId="0" fontId="34" fillId="40" borderId="8" xfId="0" applyFont="1" applyFill="1" applyBorder="1" applyProtection="1">
      <protection locked="0"/>
    </xf>
    <xf numFmtId="0" fontId="20" fillId="27" borderId="0" xfId="0" applyFont="1" applyFill="1" applyAlignment="1" applyProtection="1">
      <alignment horizontal="right"/>
      <protection locked="0"/>
    </xf>
    <xf numFmtId="0" fontId="20" fillId="27" borderId="0" xfId="0" applyFont="1" applyFill="1" applyAlignment="1" applyProtection="1">
      <alignment horizontal="left"/>
      <protection locked="0"/>
    </xf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12" xfId="0" applyFill="1" applyBorder="1" applyAlignment="1" applyProtection="1">
      <alignment horizontal="center"/>
      <protection locked="0"/>
    </xf>
    <xf numFmtId="0" fontId="0" fillId="7" borderId="13" xfId="0" applyFill="1" applyBorder="1" applyAlignment="1" applyProtection="1">
      <alignment horizontal="center"/>
      <protection locked="0"/>
    </xf>
    <xf numFmtId="0" fontId="0" fillId="7" borderId="14" xfId="0" applyFill="1" applyBorder="1" applyAlignment="1" applyProtection="1">
      <alignment horizontal="center"/>
      <protection locked="0"/>
    </xf>
    <xf numFmtId="0" fontId="76" fillId="41" borderId="25" xfId="0" applyFont="1" applyFill="1" applyBorder="1" applyAlignment="1">
      <alignment horizontal="center"/>
    </xf>
    <xf numFmtId="0" fontId="76" fillId="41" borderId="0" xfId="0" applyFont="1" applyFill="1" applyAlignment="1">
      <alignment horizontal="center"/>
    </xf>
    <xf numFmtId="0" fontId="76" fillId="34" borderId="0" xfId="0" applyFont="1" applyFill="1" applyAlignment="1">
      <alignment horizontal="center"/>
    </xf>
    <xf numFmtId="0" fontId="76" fillId="34" borderId="0" xfId="0" applyFont="1" applyFill="1" applyAlignment="1" applyProtection="1">
      <alignment horizontal="center"/>
      <protection locked="0"/>
    </xf>
    <xf numFmtId="0" fontId="76" fillId="27" borderId="0" xfId="0" applyFont="1" applyFill="1" applyAlignment="1">
      <alignment horizontal="center"/>
    </xf>
    <xf numFmtId="0" fontId="76" fillId="27" borderId="0" xfId="0" applyFont="1" applyFill="1" applyAlignment="1" applyProtection="1">
      <alignment horizontal="center"/>
      <protection locked="0"/>
    </xf>
    <xf numFmtId="0" fontId="76" fillId="25" borderId="0" xfId="0" applyFont="1" applyFill="1" applyAlignment="1">
      <alignment horizontal="center"/>
    </xf>
    <xf numFmtId="0" fontId="76" fillId="25" borderId="0" xfId="0" applyFont="1" applyFill="1" applyAlignment="1" applyProtection="1">
      <alignment horizontal="center"/>
      <protection locked="0"/>
    </xf>
    <xf numFmtId="0" fontId="76" fillId="26" borderId="0" xfId="0" applyFont="1" applyFill="1" applyAlignment="1">
      <alignment horizontal="center"/>
    </xf>
    <xf numFmtId="0" fontId="76" fillId="26" borderId="0" xfId="0" applyFont="1" applyFill="1" applyAlignment="1" applyProtection="1">
      <alignment horizontal="center"/>
      <protection locked="0"/>
    </xf>
    <xf numFmtId="0" fontId="76" fillId="23" borderId="0" xfId="0" applyFont="1" applyFill="1" applyAlignment="1">
      <alignment horizontal="center"/>
    </xf>
    <xf numFmtId="0" fontId="76" fillId="23" borderId="0" xfId="0" applyFont="1" applyFill="1" applyAlignment="1" applyProtection="1">
      <alignment horizontal="center"/>
      <protection locked="0"/>
    </xf>
    <xf numFmtId="0" fontId="0" fillId="24" borderId="37" xfId="0" applyFill="1" applyBorder="1" applyAlignment="1">
      <alignment horizontal="center" vertical="center"/>
    </xf>
    <xf numFmtId="0" fontId="0" fillId="24" borderId="44" xfId="0" applyFill="1" applyBorder="1" applyAlignment="1">
      <alignment horizontal="center" vertical="center"/>
    </xf>
    <xf numFmtId="0" fontId="76" fillId="23" borderId="25" xfId="0" applyFont="1" applyFill="1" applyBorder="1" applyAlignment="1">
      <alignment horizontal="center"/>
    </xf>
    <xf numFmtId="0" fontId="0" fillId="24" borderId="45" xfId="0" applyFill="1" applyBorder="1" applyAlignment="1">
      <alignment horizontal="center" vertical="center"/>
    </xf>
    <xf numFmtId="0" fontId="76" fillId="28" borderId="0" xfId="0" applyFont="1" applyFill="1" applyAlignment="1">
      <alignment horizontal="center"/>
    </xf>
    <xf numFmtId="0" fontId="76" fillId="28" borderId="0" xfId="0" applyFont="1" applyFill="1" applyAlignment="1" applyProtection="1">
      <alignment horizontal="center"/>
      <protection locked="0"/>
    </xf>
    <xf numFmtId="0" fontId="76" fillId="27" borderId="25" xfId="0" applyFont="1" applyFill="1" applyBorder="1" applyAlignment="1">
      <alignment horizontal="center"/>
    </xf>
    <xf numFmtId="0" fontId="76" fillId="34" borderId="25" xfId="0" applyFont="1" applyFill="1" applyBorder="1" applyAlignment="1">
      <alignment horizontal="center"/>
    </xf>
    <xf numFmtId="0" fontId="76" fillId="26" borderId="25" xfId="0" applyFont="1" applyFill="1" applyBorder="1" applyAlignment="1">
      <alignment horizontal="center"/>
    </xf>
    <xf numFmtId="0" fontId="76" fillId="25" borderId="25" xfId="0" applyFont="1" applyFill="1" applyBorder="1" applyAlignment="1">
      <alignment horizontal="center"/>
    </xf>
    <xf numFmtId="0" fontId="76" fillId="28" borderId="25" xfId="0" applyFont="1" applyFill="1" applyBorder="1" applyAlignment="1">
      <alignment horizontal="center"/>
    </xf>
    <xf numFmtId="0" fontId="53" fillId="0" borderId="1" xfId="0" applyFont="1" applyBorder="1" applyAlignment="1" applyProtection="1">
      <alignment horizontal="center" vertical="center"/>
      <protection locked="0"/>
    </xf>
    <xf numFmtId="0" fontId="53" fillId="0" borderId="2" xfId="0" applyFont="1" applyBorder="1" applyAlignment="1" applyProtection="1">
      <alignment horizontal="center" vertical="center"/>
      <protection locked="0"/>
    </xf>
    <xf numFmtId="0" fontId="53" fillId="0" borderId="3" xfId="0" applyFon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11" fillId="0" borderId="26" xfId="0" applyFont="1" applyBorder="1" applyAlignment="1" applyProtection="1">
      <alignment horizontal="center"/>
      <protection locked="0"/>
    </xf>
    <xf numFmtId="0" fontId="11" fillId="26" borderId="9" xfId="0" applyFont="1" applyFill="1" applyBorder="1" applyAlignment="1" applyProtection="1">
      <alignment horizontal="center"/>
      <protection locked="0"/>
    </xf>
    <xf numFmtId="0" fontId="11" fillId="26" borderId="11" xfId="0" applyFont="1" applyFill="1" applyBorder="1" applyAlignment="1" applyProtection="1">
      <alignment horizontal="center"/>
      <protection locked="0"/>
    </xf>
    <xf numFmtId="14" fontId="14" fillId="0" borderId="12" xfId="0" applyNumberFormat="1" applyFont="1" applyBorder="1" applyAlignment="1" applyProtection="1">
      <alignment horizontal="center"/>
      <protection locked="0"/>
    </xf>
    <xf numFmtId="14" fontId="14" fillId="0" borderId="14" xfId="0" applyNumberFormat="1" applyFont="1" applyBorder="1" applyAlignment="1" applyProtection="1">
      <alignment horizontal="center"/>
      <protection locked="0"/>
    </xf>
    <xf numFmtId="0" fontId="14" fillId="0" borderId="12" xfId="0" applyFont="1" applyBorder="1" applyAlignment="1" applyProtection="1">
      <alignment horizontal="center"/>
      <protection locked="0"/>
    </xf>
    <xf numFmtId="0" fontId="14" fillId="0" borderId="14" xfId="0" applyFont="1" applyBorder="1" applyAlignment="1" applyProtection="1">
      <alignment horizontal="center"/>
      <protection locked="0"/>
    </xf>
    <xf numFmtId="0" fontId="17" fillId="0" borderId="12" xfId="0" applyFont="1" applyBorder="1" applyAlignment="1" applyProtection="1">
      <alignment horizontal="center"/>
      <protection locked="0"/>
    </xf>
    <xf numFmtId="0" fontId="17" fillId="0" borderId="14" xfId="0" applyFont="1" applyBorder="1" applyAlignment="1" applyProtection="1">
      <alignment horizontal="center"/>
      <protection locked="0"/>
    </xf>
    <xf numFmtId="0" fontId="33" fillId="5" borderId="21" xfId="0" applyFont="1" applyFill="1" applyBorder="1" applyAlignment="1" applyProtection="1">
      <alignment horizontal="center" wrapText="1"/>
      <protection locked="0"/>
    </xf>
    <xf numFmtId="0" fontId="33" fillId="5" borderId="19" xfId="0" applyFont="1" applyFill="1" applyBorder="1" applyAlignment="1" applyProtection="1">
      <alignment horizontal="center" wrapText="1"/>
      <protection locked="0"/>
    </xf>
    <xf numFmtId="2" fontId="17" fillId="0" borderId="4" xfId="0" applyNumberFormat="1" applyFont="1" applyBorder="1" applyAlignment="1" applyProtection="1">
      <alignment horizontal="left"/>
      <protection locked="0"/>
    </xf>
    <xf numFmtId="2" fontId="17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11" fillId="0" borderId="26" xfId="0" applyFont="1" applyBorder="1" applyAlignment="1">
      <alignment horizontal="center"/>
    </xf>
    <xf numFmtId="3" fontId="19" fillId="4" borderId="9" xfId="0" applyNumberFormat="1" applyFont="1" applyFill="1" applyBorder="1" applyAlignment="1">
      <alignment horizontal="center"/>
    </xf>
    <xf numFmtId="3" fontId="19" fillId="4" borderId="10" xfId="0" applyNumberFormat="1" applyFont="1" applyFill="1" applyBorder="1" applyAlignment="1">
      <alignment horizontal="center"/>
    </xf>
    <xf numFmtId="3" fontId="19" fillId="4" borderId="11" xfId="0" applyNumberFormat="1" applyFont="1" applyFill="1" applyBorder="1" applyAlignment="1">
      <alignment horizontal="center"/>
    </xf>
    <xf numFmtId="0" fontId="14" fillId="12" borderId="9" xfId="0" applyFont="1" applyFill="1" applyBorder="1" applyAlignment="1">
      <alignment horizontal="center"/>
    </xf>
    <xf numFmtId="0" fontId="14" fillId="12" borderId="10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22" fillId="15" borderId="9" xfId="0" applyFont="1" applyFill="1" applyBorder="1" applyAlignment="1">
      <alignment horizontal="center"/>
    </xf>
    <xf numFmtId="0" fontId="22" fillId="15" borderId="10" xfId="0" applyFont="1" applyFill="1" applyBorder="1" applyAlignment="1">
      <alignment horizontal="center"/>
    </xf>
    <xf numFmtId="0" fontId="22" fillId="15" borderId="31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/>
    </xf>
    <xf numFmtId="0" fontId="14" fillId="4" borderId="10" xfId="0" applyFont="1" applyFill="1" applyBorder="1" applyAlignment="1">
      <alignment horizontal="center"/>
    </xf>
    <xf numFmtId="0" fontId="14" fillId="4" borderId="11" xfId="0" applyFont="1" applyFill="1" applyBorder="1" applyAlignment="1">
      <alignment horizontal="center"/>
    </xf>
    <xf numFmtId="0" fontId="22" fillId="15" borderId="11" xfId="0" applyFont="1" applyFill="1" applyBorder="1" applyAlignment="1">
      <alignment horizontal="center"/>
    </xf>
    <xf numFmtId="0" fontId="14" fillId="23" borderId="9" xfId="0" applyFont="1" applyFill="1" applyBorder="1" applyAlignment="1">
      <alignment horizontal="center"/>
    </xf>
    <xf numFmtId="0" fontId="14" fillId="23" borderId="10" xfId="0" applyFont="1" applyFill="1" applyBorder="1" applyAlignment="1">
      <alignment horizontal="center"/>
    </xf>
    <xf numFmtId="0" fontId="14" fillId="23" borderId="11" xfId="0" applyFont="1" applyFill="1" applyBorder="1" applyAlignment="1">
      <alignment horizontal="center"/>
    </xf>
    <xf numFmtId="0" fontId="14" fillId="29" borderId="9" xfId="0" applyFont="1" applyFill="1" applyBorder="1" applyAlignment="1">
      <alignment horizontal="center"/>
    </xf>
    <xf numFmtId="0" fontId="14" fillId="29" borderId="10" xfId="0" applyFont="1" applyFill="1" applyBorder="1" applyAlignment="1">
      <alignment horizontal="center"/>
    </xf>
    <xf numFmtId="0" fontId="14" fillId="29" borderId="11" xfId="0" applyFont="1" applyFill="1" applyBorder="1" applyAlignment="1">
      <alignment horizontal="center"/>
    </xf>
    <xf numFmtId="0" fontId="14" fillId="26" borderId="9" xfId="0" applyFont="1" applyFill="1" applyBorder="1" applyAlignment="1">
      <alignment horizontal="center"/>
    </xf>
    <xf numFmtId="0" fontId="14" fillId="26" borderId="10" xfId="0" applyFont="1" applyFill="1" applyBorder="1" applyAlignment="1">
      <alignment horizontal="center"/>
    </xf>
    <xf numFmtId="0" fontId="14" fillId="26" borderId="1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52" fillId="0" borderId="7" xfId="0" applyFont="1" applyBorder="1" applyAlignment="1">
      <alignment horizontal="center" vertical="center"/>
    </xf>
    <xf numFmtId="0" fontId="22" fillId="3" borderId="9" xfId="0" applyFont="1" applyFill="1" applyBorder="1" applyAlignment="1">
      <alignment horizontal="center"/>
    </xf>
    <xf numFmtId="0" fontId="22" fillId="3" borderId="10" xfId="0" applyFont="1" applyFill="1" applyBorder="1" applyAlignment="1">
      <alignment horizontal="center"/>
    </xf>
    <xf numFmtId="0" fontId="22" fillId="3" borderId="11" xfId="0" applyFont="1" applyFill="1" applyBorder="1" applyAlignment="1">
      <alignment horizontal="center"/>
    </xf>
    <xf numFmtId="0" fontId="21" fillId="0" borderId="9" xfId="0" applyFont="1" applyBorder="1" applyAlignment="1">
      <alignment horizontal="left" wrapText="1"/>
    </xf>
    <xf numFmtId="0" fontId="21" fillId="0" borderId="10" xfId="0" applyFont="1" applyBorder="1" applyAlignment="1">
      <alignment horizontal="left" wrapText="1"/>
    </xf>
    <xf numFmtId="0" fontId="21" fillId="0" borderId="11" xfId="0" applyFont="1" applyBorder="1" applyAlignment="1">
      <alignment horizontal="left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185">
    <cellStyle name="Comma" xfId="285" builtinId="3"/>
    <cellStyle name="Comma 2" xfId="555" xr:uid="{00000000-0005-0000-0000-000001000000}"/>
    <cellStyle name="Comma 3" xfId="852" xr:uid="{00000000-0005-0000-0000-000002000000}"/>
    <cellStyle name="Comma 4" xfId="1184" xr:uid="{68B0F39E-22CC-5846-8B06-C783F3241ACF}"/>
    <cellStyle name="Currency" xfId="286" builtinId="4"/>
    <cellStyle name="Currency 2" xfId="556" xr:uid="{00000000-0005-0000-0000-000004000000}"/>
    <cellStyle name="Currency 3" xfId="854" xr:uid="{00000000-0005-0000-0000-000005000000}"/>
    <cellStyle name="Currency 4" xfId="1080" xr:uid="{00000000-0005-0000-0000-000006000000}"/>
    <cellStyle name="Currency 5" xfId="1183" xr:uid="{6F677549-112F-4348-82C7-B270B8A61976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49" builtinId="9" hidden="1"/>
    <cellStyle name="Followed Hyperlink" xfId="650" builtinId="9" hidden="1"/>
    <cellStyle name="Followed Hyperlink" xfId="651" builtinId="9" hidden="1"/>
    <cellStyle name="Followed Hyperlink" xfId="652" builtinId="9" hidden="1"/>
    <cellStyle name="Followed Hyperlink" xfId="653" builtinId="9" hidden="1"/>
    <cellStyle name="Followed Hyperlink" xfId="654" builtinId="9" hidden="1"/>
    <cellStyle name="Followed Hyperlink" xfId="655" builtinId="9" hidden="1"/>
    <cellStyle name="Followed Hyperlink" xfId="656" builtinId="9" hidden="1"/>
    <cellStyle name="Followed Hyperlink" xfId="657" builtinId="9" hidden="1"/>
    <cellStyle name="Followed Hyperlink" xfId="658" builtinId="9" hidden="1"/>
    <cellStyle name="Followed Hyperlink" xfId="659" builtinId="9" hidden="1"/>
    <cellStyle name="Followed Hyperlink" xfId="660" builtinId="9" hidden="1"/>
    <cellStyle name="Followed Hyperlink" xfId="661" builtinId="9" hidden="1"/>
    <cellStyle name="Followed Hyperlink" xfId="662" builtinId="9" hidden="1"/>
    <cellStyle name="Followed Hyperlink" xfId="663" builtinId="9" hidden="1"/>
    <cellStyle name="Followed Hyperlink" xfId="664" builtinId="9" hidden="1"/>
    <cellStyle name="Followed Hyperlink" xfId="665" builtinId="9" hidden="1"/>
    <cellStyle name="Followed Hyperlink" xfId="666" builtinId="9" hidden="1"/>
    <cellStyle name="Followed Hyperlink" xfId="667" builtinId="9" hidden="1"/>
    <cellStyle name="Followed Hyperlink" xfId="668" builtinId="9" hidden="1"/>
    <cellStyle name="Followed Hyperlink" xfId="669" builtinId="9" hidden="1"/>
    <cellStyle name="Followed Hyperlink" xfId="670" builtinId="9" hidden="1"/>
    <cellStyle name="Followed Hyperlink" xfId="671" builtinId="9" hidden="1"/>
    <cellStyle name="Followed Hyperlink" xfId="672" builtinId="9" hidden="1"/>
    <cellStyle name="Followed Hyperlink" xfId="673" builtinId="9" hidden="1"/>
    <cellStyle name="Followed Hyperlink" xfId="674" builtinId="9" hidden="1"/>
    <cellStyle name="Followed Hyperlink" xfId="675" builtinId="9" hidden="1"/>
    <cellStyle name="Followed Hyperlink" xfId="676" builtinId="9" hidden="1"/>
    <cellStyle name="Followed Hyperlink" xfId="677" builtinId="9" hidden="1"/>
    <cellStyle name="Followed Hyperlink" xfId="678" builtinId="9" hidden="1"/>
    <cellStyle name="Followed Hyperlink" xfId="679" builtinId="9" hidden="1"/>
    <cellStyle name="Followed Hyperlink" xfId="680" builtinId="9" hidden="1"/>
    <cellStyle name="Followed Hyperlink" xfId="681" builtinId="9" hidden="1"/>
    <cellStyle name="Followed Hyperlink" xfId="682" builtinId="9" hidden="1"/>
    <cellStyle name="Followed Hyperlink" xfId="683" builtinId="9" hidden="1"/>
    <cellStyle name="Followed Hyperlink" xfId="684" builtinId="9" hidden="1"/>
    <cellStyle name="Followed Hyperlink" xfId="685" builtinId="9" hidden="1"/>
    <cellStyle name="Followed Hyperlink" xfId="686" builtinId="9" hidden="1"/>
    <cellStyle name="Followed Hyperlink" xfId="687" builtinId="9" hidden="1"/>
    <cellStyle name="Followed Hyperlink" xfId="688" builtinId="9" hidden="1"/>
    <cellStyle name="Followed Hyperlink" xfId="689" builtinId="9" hidden="1"/>
    <cellStyle name="Followed Hyperlink" xfId="690" builtinId="9" hidden="1"/>
    <cellStyle name="Followed Hyperlink" xfId="691" builtinId="9" hidden="1"/>
    <cellStyle name="Followed Hyperlink" xfId="692" builtinId="9" hidden="1"/>
    <cellStyle name="Followed Hyperlink" xfId="693" builtinId="9" hidden="1"/>
    <cellStyle name="Followed Hyperlink" xfId="694" builtinId="9" hidden="1"/>
    <cellStyle name="Followed Hyperlink" xfId="695" builtinId="9" hidden="1"/>
    <cellStyle name="Followed Hyperlink" xfId="696" builtinId="9" hidden="1"/>
    <cellStyle name="Followed Hyperlink" xfId="697" builtinId="9" hidden="1"/>
    <cellStyle name="Followed Hyperlink" xfId="698" builtinId="9" hidden="1"/>
    <cellStyle name="Followed Hyperlink" xfId="699" builtinId="9" hidden="1"/>
    <cellStyle name="Followed Hyperlink" xfId="700" builtinId="9" hidden="1"/>
    <cellStyle name="Followed Hyperlink" xfId="701" builtinId="9" hidden="1"/>
    <cellStyle name="Followed Hyperlink" xfId="702" builtinId="9" hidden="1"/>
    <cellStyle name="Followed Hyperlink" xfId="703" builtinId="9" hidden="1"/>
    <cellStyle name="Followed Hyperlink" xfId="704" builtinId="9" hidden="1"/>
    <cellStyle name="Followed Hyperlink" xfId="705" builtinId="9" hidden="1"/>
    <cellStyle name="Followed Hyperlink" xfId="706" builtinId="9" hidden="1"/>
    <cellStyle name="Followed Hyperlink" xfId="707" builtinId="9" hidden="1"/>
    <cellStyle name="Followed Hyperlink" xfId="708" builtinId="9" hidden="1"/>
    <cellStyle name="Followed Hyperlink" xfId="709" builtinId="9" hidden="1"/>
    <cellStyle name="Followed Hyperlink" xfId="710" builtinId="9" hidden="1"/>
    <cellStyle name="Followed Hyperlink" xfId="711" builtinId="9" hidden="1"/>
    <cellStyle name="Followed Hyperlink" xfId="712" builtinId="9" hidden="1"/>
    <cellStyle name="Followed Hyperlink" xfId="713" builtinId="9" hidden="1"/>
    <cellStyle name="Followed Hyperlink" xfId="714" builtinId="9" hidden="1"/>
    <cellStyle name="Followed Hyperlink" xfId="715" builtinId="9" hidden="1"/>
    <cellStyle name="Followed Hyperlink" xfId="716" builtinId="9" hidden="1"/>
    <cellStyle name="Followed Hyperlink" xfId="717" builtinId="9" hidden="1"/>
    <cellStyle name="Followed Hyperlink" xfId="718" builtinId="9" hidden="1"/>
    <cellStyle name="Followed Hyperlink" xfId="719" builtinId="9" hidden="1"/>
    <cellStyle name="Followed Hyperlink" xfId="720" builtinId="9" hidden="1"/>
    <cellStyle name="Followed Hyperlink" xfId="721" builtinId="9" hidden="1"/>
    <cellStyle name="Followed Hyperlink" xfId="722" builtinId="9" hidden="1"/>
    <cellStyle name="Followed Hyperlink" xfId="723" builtinId="9" hidden="1"/>
    <cellStyle name="Followed Hyperlink" xfId="724" builtinId="9" hidden="1"/>
    <cellStyle name="Followed Hyperlink" xfId="725" builtinId="9" hidden="1"/>
    <cellStyle name="Followed Hyperlink" xfId="726" builtinId="9" hidden="1"/>
    <cellStyle name="Followed Hyperlink" xfId="727" builtinId="9" hidden="1"/>
    <cellStyle name="Followed Hyperlink" xfId="728" builtinId="9" hidden="1"/>
    <cellStyle name="Followed Hyperlink" xfId="729" builtinId="9" hidden="1"/>
    <cellStyle name="Followed Hyperlink" xfId="730" builtinId="9" hidden="1"/>
    <cellStyle name="Followed Hyperlink" xfId="731" builtinId="9" hidden="1"/>
    <cellStyle name="Followed Hyperlink" xfId="732" builtinId="9" hidden="1"/>
    <cellStyle name="Followed Hyperlink" xfId="733" builtinId="9" hidden="1"/>
    <cellStyle name="Followed Hyperlink" xfId="734" builtinId="9" hidden="1"/>
    <cellStyle name="Followed Hyperlink" xfId="735" builtinId="9" hidden="1"/>
    <cellStyle name="Followed Hyperlink" xfId="736" builtinId="9" hidden="1"/>
    <cellStyle name="Followed Hyperlink" xfId="737" builtinId="9" hidden="1"/>
    <cellStyle name="Followed Hyperlink" xfId="738" builtinId="9" hidden="1"/>
    <cellStyle name="Followed Hyperlink" xfId="739" builtinId="9" hidden="1"/>
    <cellStyle name="Followed Hyperlink" xfId="740" builtinId="9" hidden="1"/>
    <cellStyle name="Followed Hyperlink" xfId="741" builtinId="9" hidden="1"/>
    <cellStyle name="Followed Hyperlink" xfId="742" builtinId="9" hidden="1"/>
    <cellStyle name="Followed Hyperlink" xfId="743" builtinId="9" hidden="1"/>
    <cellStyle name="Followed Hyperlink" xfId="744" builtinId="9" hidden="1"/>
    <cellStyle name="Followed Hyperlink" xfId="745" builtinId="9" hidden="1"/>
    <cellStyle name="Followed Hyperlink" xfId="746" builtinId="9" hidden="1"/>
    <cellStyle name="Followed Hyperlink" xfId="747" builtinId="9" hidden="1"/>
    <cellStyle name="Followed Hyperlink" xfId="748" builtinId="9" hidden="1"/>
    <cellStyle name="Followed Hyperlink" xfId="749" builtinId="9" hidden="1"/>
    <cellStyle name="Followed Hyperlink" xfId="750" builtinId="9" hidden="1"/>
    <cellStyle name="Followed Hyperlink" xfId="751" builtinId="9" hidden="1"/>
    <cellStyle name="Followed Hyperlink" xfId="752" builtinId="9" hidden="1"/>
    <cellStyle name="Followed Hyperlink" xfId="753" builtinId="9" hidden="1"/>
    <cellStyle name="Followed Hyperlink" xfId="754" builtinId="9" hidden="1"/>
    <cellStyle name="Followed Hyperlink" xfId="755" builtinId="9" hidden="1"/>
    <cellStyle name="Followed Hyperlink" xfId="756" builtinId="9" hidden="1"/>
    <cellStyle name="Followed Hyperlink" xfId="757" builtinId="9" hidden="1"/>
    <cellStyle name="Followed Hyperlink" xfId="758" builtinId="9" hidden="1"/>
    <cellStyle name="Followed Hyperlink" xfId="759" builtinId="9" hidden="1"/>
    <cellStyle name="Followed Hyperlink" xfId="760" builtinId="9" hidden="1"/>
    <cellStyle name="Followed Hyperlink" xfId="761" builtinId="9" hidden="1"/>
    <cellStyle name="Followed Hyperlink" xfId="762" builtinId="9" hidden="1"/>
    <cellStyle name="Followed Hyperlink" xfId="763" builtinId="9" hidden="1"/>
    <cellStyle name="Followed Hyperlink" xfId="764" builtinId="9" hidden="1"/>
    <cellStyle name="Followed Hyperlink" xfId="765" builtinId="9" hidden="1"/>
    <cellStyle name="Followed Hyperlink" xfId="766" builtinId="9" hidden="1"/>
    <cellStyle name="Followed Hyperlink" xfId="767" builtinId="9" hidden="1"/>
    <cellStyle name="Followed Hyperlink" xfId="768" builtinId="9" hidden="1"/>
    <cellStyle name="Followed Hyperlink" xfId="769" builtinId="9" hidden="1"/>
    <cellStyle name="Followed Hyperlink" xfId="770" builtinId="9" hidden="1"/>
    <cellStyle name="Followed Hyperlink" xfId="771" builtinId="9" hidden="1"/>
    <cellStyle name="Followed Hyperlink" xfId="772" builtinId="9" hidden="1"/>
    <cellStyle name="Followed Hyperlink" xfId="773" builtinId="9" hidden="1"/>
    <cellStyle name="Followed Hyperlink" xfId="774" builtinId="9" hidden="1"/>
    <cellStyle name="Followed Hyperlink" xfId="775" builtinId="9" hidden="1"/>
    <cellStyle name="Followed Hyperlink" xfId="776" builtinId="9" hidden="1"/>
    <cellStyle name="Followed Hyperlink" xfId="777" builtinId="9" hidden="1"/>
    <cellStyle name="Followed Hyperlink" xfId="778" builtinId="9" hidden="1"/>
    <cellStyle name="Followed Hyperlink" xfId="779" builtinId="9" hidden="1"/>
    <cellStyle name="Followed Hyperlink" xfId="780" builtinId="9" hidden="1"/>
    <cellStyle name="Followed Hyperlink" xfId="781" builtinId="9" hidden="1"/>
    <cellStyle name="Followed Hyperlink" xfId="782" builtinId="9" hidden="1"/>
    <cellStyle name="Followed Hyperlink" xfId="783" builtinId="9" hidden="1"/>
    <cellStyle name="Followed Hyperlink" xfId="784" builtinId="9" hidden="1"/>
    <cellStyle name="Followed Hyperlink" xfId="785" builtinId="9" hidden="1"/>
    <cellStyle name="Followed Hyperlink" xfId="786" builtinId="9" hidden="1"/>
    <cellStyle name="Followed Hyperlink" xfId="787" builtinId="9" hidden="1"/>
    <cellStyle name="Followed Hyperlink" xfId="788" builtinId="9" hidden="1"/>
    <cellStyle name="Followed Hyperlink" xfId="789" builtinId="9" hidden="1"/>
    <cellStyle name="Followed Hyperlink" xfId="790" builtinId="9" hidden="1"/>
    <cellStyle name="Followed Hyperlink" xfId="791" builtinId="9" hidden="1"/>
    <cellStyle name="Followed Hyperlink" xfId="792" builtinId="9" hidden="1"/>
    <cellStyle name="Followed Hyperlink" xfId="793" builtinId="9" hidden="1"/>
    <cellStyle name="Followed Hyperlink" xfId="794" builtinId="9" hidden="1"/>
    <cellStyle name="Followed Hyperlink" xfId="795" builtinId="9" hidden="1"/>
    <cellStyle name="Followed Hyperlink" xfId="796" builtinId="9" hidden="1"/>
    <cellStyle name="Followed Hyperlink" xfId="797" builtinId="9" hidden="1"/>
    <cellStyle name="Followed Hyperlink" xfId="798" builtinId="9" hidden="1"/>
    <cellStyle name="Followed Hyperlink" xfId="799" builtinId="9" hidden="1"/>
    <cellStyle name="Followed Hyperlink" xfId="800" builtinId="9" hidden="1"/>
    <cellStyle name="Followed Hyperlink" xfId="801" builtinId="9" hidden="1"/>
    <cellStyle name="Followed Hyperlink" xfId="802" builtinId="9" hidden="1"/>
    <cellStyle name="Followed Hyperlink" xfId="803" builtinId="9" hidden="1"/>
    <cellStyle name="Followed Hyperlink" xfId="804" builtinId="9" hidden="1"/>
    <cellStyle name="Followed Hyperlink" xfId="805" builtinId="9" hidden="1"/>
    <cellStyle name="Followed Hyperlink" xfId="806" builtinId="9" hidden="1"/>
    <cellStyle name="Followed Hyperlink" xfId="807" builtinId="9" hidden="1"/>
    <cellStyle name="Followed Hyperlink" xfId="808" builtinId="9" hidden="1"/>
    <cellStyle name="Followed Hyperlink" xfId="809" builtinId="9" hidden="1"/>
    <cellStyle name="Followed Hyperlink" xfId="810" builtinId="9" hidden="1"/>
    <cellStyle name="Followed Hyperlink" xfId="811" builtinId="9" hidden="1"/>
    <cellStyle name="Followed Hyperlink" xfId="812" builtinId="9" hidden="1"/>
    <cellStyle name="Followed Hyperlink" xfId="813" builtinId="9" hidden="1"/>
    <cellStyle name="Followed Hyperlink" xfId="814" builtinId="9" hidden="1"/>
    <cellStyle name="Followed Hyperlink" xfId="815" builtinId="9" hidden="1"/>
    <cellStyle name="Followed Hyperlink" xfId="816" builtinId="9" hidden="1"/>
    <cellStyle name="Followed Hyperlink" xfId="817" builtinId="9" hidden="1"/>
    <cellStyle name="Followed Hyperlink" xfId="818" builtinId="9" hidden="1"/>
    <cellStyle name="Followed Hyperlink" xfId="819" builtinId="9" hidden="1"/>
    <cellStyle name="Followed Hyperlink" xfId="820" builtinId="9" hidden="1"/>
    <cellStyle name="Followed Hyperlink" xfId="821" builtinId="9" hidden="1"/>
    <cellStyle name="Followed Hyperlink" xfId="822" builtinId="9" hidden="1"/>
    <cellStyle name="Followed Hyperlink" xfId="823" builtinId="9" hidden="1"/>
    <cellStyle name="Followed Hyperlink" xfId="824" builtinId="9" hidden="1"/>
    <cellStyle name="Followed Hyperlink" xfId="825" builtinId="9" hidden="1"/>
    <cellStyle name="Followed Hyperlink" xfId="826" builtinId="9" hidden="1"/>
    <cellStyle name="Followed Hyperlink" xfId="827" builtinId="9" hidden="1"/>
    <cellStyle name="Followed Hyperlink" xfId="828" builtinId="9" hidden="1"/>
    <cellStyle name="Followed Hyperlink" xfId="829" builtinId="9" hidden="1"/>
    <cellStyle name="Followed Hyperlink" xfId="830" builtinId="9" hidden="1"/>
    <cellStyle name="Followed Hyperlink" xfId="831" builtinId="9" hidden="1"/>
    <cellStyle name="Followed Hyperlink" xfId="832" builtinId="9" hidden="1"/>
    <cellStyle name="Followed Hyperlink" xfId="833" builtinId="9" hidden="1"/>
    <cellStyle name="Followed Hyperlink" xfId="834" builtinId="9" hidden="1"/>
    <cellStyle name="Followed Hyperlink" xfId="835" builtinId="9" hidden="1"/>
    <cellStyle name="Followed Hyperlink" xfId="836" builtinId="9" hidden="1"/>
    <cellStyle name="Followed Hyperlink" xfId="837" builtinId="9" hidden="1"/>
    <cellStyle name="Followed Hyperlink" xfId="838" builtinId="9" hidden="1"/>
    <cellStyle name="Followed Hyperlink" xfId="839" builtinId="9" hidden="1"/>
    <cellStyle name="Followed Hyperlink" xfId="840" builtinId="9" hidden="1"/>
    <cellStyle name="Followed Hyperlink" xfId="841" builtinId="9" hidden="1"/>
    <cellStyle name="Followed Hyperlink" xfId="842" builtinId="9" hidden="1"/>
    <cellStyle name="Followed Hyperlink" xfId="843" builtinId="9" hidden="1"/>
    <cellStyle name="Followed Hyperlink" xfId="844" builtinId="9" hidden="1"/>
    <cellStyle name="Followed Hyperlink" xfId="845" builtinId="9" hidden="1"/>
    <cellStyle name="Followed Hyperlink" xfId="846" builtinId="9" hidden="1"/>
    <cellStyle name="Followed Hyperlink" xfId="847" builtinId="9" hidden="1"/>
    <cellStyle name="Followed Hyperlink" xfId="848" builtinId="9" hidden="1"/>
    <cellStyle name="Followed Hyperlink" xfId="849" builtinId="9" hidden="1"/>
    <cellStyle name="Followed Hyperlink" xfId="850" builtinId="9" hidden="1"/>
    <cellStyle name="Followed Hyperlink" xfId="851" builtinId="9" hidden="1"/>
    <cellStyle name="Followed Hyperlink" xfId="855" builtinId="9" hidden="1"/>
    <cellStyle name="Followed Hyperlink" xfId="856" builtinId="9" hidden="1"/>
    <cellStyle name="Followed Hyperlink" xfId="857" builtinId="9" hidden="1"/>
    <cellStyle name="Followed Hyperlink" xfId="858" builtinId="9" hidden="1"/>
    <cellStyle name="Followed Hyperlink" xfId="859" builtinId="9" hidden="1"/>
    <cellStyle name="Followed Hyperlink" xfId="860" builtinId="9" hidden="1"/>
    <cellStyle name="Followed Hyperlink" xfId="861" builtinId="9" hidden="1"/>
    <cellStyle name="Followed Hyperlink" xfId="862" builtinId="9" hidden="1"/>
    <cellStyle name="Followed Hyperlink" xfId="863" builtinId="9" hidden="1"/>
    <cellStyle name="Followed Hyperlink" xfId="864" builtinId="9" hidden="1"/>
    <cellStyle name="Followed Hyperlink" xfId="865" builtinId="9" hidden="1"/>
    <cellStyle name="Followed Hyperlink" xfId="866" builtinId="9" hidden="1"/>
    <cellStyle name="Followed Hyperlink" xfId="867" builtinId="9" hidden="1"/>
    <cellStyle name="Followed Hyperlink" xfId="868" builtinId="9" hidden="1"/>
    <cellStyle name="Followed Hyperlink" xfId="869" builtinId="9" hidden="1"/>
    <cellStyle name="Followed Hyperlink" xfId="870" builtinId="9" hidden="1"/>
    <cellStyle name="Followed Hyperlink" xfId="871" builtinId="9" hidden="1"/>
    <cellStyle name="Followed Hyperlink" xfId="872" builtinId="9" hidden="1"/>
    <cellStyle name="Followed Hyperlink" xfId="873" builtinId="9" hidden="1"/>
    <cellStyle name="Followed Hyperlink" xfId="874" builtinId="9" hidden="1"/>
    <cellStyle name="Followed Hyperlink" xfId="875" builtinId="9" hidden="1"/>
    <cellStyle name="Followed Hyperlink" xfId="876" builtinId="9" hidden="1"/>
    <cellStyle name="Followed Hyperlink" xfId="877" builtinId="9" hidden="1"/>
    <cellStyle name="Followed Hyperlink" xfId="878" builtinId="9" hidden="1"/>
    <cellStyle name="Followed Hyperlink" xfId="879" builtinId="9" hidden="1"/>
    <cellStyle name="Followed Hyperlink" xfId="880" builtinId="9" hidden="1"/>
    <cellStyle name="Followed Hyperlink" xfId="881" builtinId="9" hidden="1"/>
    <cellStyle name="Followed Hyperlink" xfId="882" builtinId="9" hidden="1"/>
    <cellStyle name="Followed Hyperlink" xfId="883" builtinId="9" hidden="1"/>
    <cellStyle name="Followed Hyperlink" xfId="884" builtinId="9" hidden="1"/>
    <cellStyle name="Followed Hyperlink" xfId="885" builtinId="9" hidden="1"/>
    <cellStyle name="Followed Hyperlink" xfId="886" builtinId="9" hidden="1"/>
    <cellStyle name="Followed Hyperlink" xfId="887" builtinId="9" hidden="1"/>
    <cellStyle name="Followed Hyperlink" xfId="888" builtinId="9" hidden="1"/>
    <cellStyle name="Followed Hyperlink" xfId="889" builtinId="9" hidden="1"/>
    <cellStyle name="Followed Hyperlink" xfId="890" builtinId="9" hidden="1"/>
    <cellStyle name="Followed Hyperlink" xfId="891" builtinId="9" hidden="1"/>
    <cellStyle name="Followed Hyperlink" xfId="892" builtinId="9" hidden="1"/>
    <cellStyle name="Followed Hyperlink" xfId="893" builtinId="9" hidden="1"/>
    <cellStyle name="Followed Hyperlink" xfId="894" builtinId="9" hidden="1"/>
    <cellStyle name="Followed Hyperlink" xfId="895" builtinId="9" hidden="1"/>
    <cellStyle name="Followed Hyperlink" xfId="896" builtinId="9" hidden="1"/>
    <cellStyle name="Followed Hyperlink" xfId="897" builtinId="9" hidden="1"/>
    <cellStyle name="Followed Hyperlink" xfId="898" builtinId="9" hidden="1"/>
    <cellStyle name="Followed Hyperlink" xfId="899" builtinId="9" hidden="1"/>
    <cellStyle name="Followed Hyperlink" xfId="900" builtinId="9" hidden="1"/>
    <cellStyle name="Followed Hyperlink" xfId="901" builtinId="9" hidden="1"/>
    <cellStyle name="Followed Hyperlink" xfId="902" builtinId="9" hidden="1"/>
    <cellStyle name="Followed Hyperlink" xfId="903" builtinId="9" hidden="1"/>
    <cellStyle name="Followed Hyperlink" xfId="904" builtinId="9" hidden="1"/>
    <cellStyle name="Followed Hyperlink" xfId="905" builtinId="9" hidden="1"/>
    <cellStyle name="Followed Hyperlink" xfId="906" builtinId="9" hidden="1"/>
    <cellStyle name="Followed Hyperlink" xfId="907" builtinId="9" hidden="1"/>
    <cellStyle name="Followed Hyperlink" xfId="908" builtinId="9" hidden="1"/>
    <cellStyle name="Followed Hyperlink" xfId="909" builtinId="9" hidden="1"/>
    <cellStyle name="Followed Hyperlink" xfId="910" builtinId="9" hidden="1"/>
    <cellStyle name="Followed Hyperlink" xfId="911" builtinId="9" hidden="1"/>
    <cellStyle name="Followed Hyperlink" xfId="912" builtinId="9" hidden="1"/>
    <cellStyle name="Followed Hyperlink" xfId="913" builtinId="9" hidden="1"/>
    <cellStyle name="Followed Hyperlink" xfId="914" builtinId="9" hidden="1"/>
    <cellStyle name="Followed Hyperlink" xfId="915" builtinId="9" hidden="1"/>
    <cellStyle name="Followed Hyperlink" xfId="916" builtinId="9" hidden="1"/>
    <cellStyle name="Followed Hyperlink" xfId="917" builtinId="9" hidden="1"/>
    <cellStyle name="Followed Hyperlink" xfId="918" builtinId="9" hidden="1"/>
    <cellStyle name="Followed Hyperlink" xfId="919" builtinId="9" hidden="1"/>
    <cellStyle name="Followed Hyperlink" xfId="920" builtinId="9" hidden="1"/>
    <cellStyle name="Followed Hyperlink" xfId="921" builtinId="9" hidden="1"/>
    <cellStyle name="Followed Hyperlink" xfId="922" builtinId="9" hidden="1"/>
    <cellStyle name="Followed Hyperlink" xfId="923" builtinId="9" hidden="1"/>
    <cellStyle name="Followed Hyperlink" xfId="924" builtinId="9" hidden="1"/>
    <cellStyle name="Followed Hyperlink" xfId="925" builtinId="9" hidden="1"/>
    <cellStyle name="Followed Hyperlink" xfId="926" builtinId="9" hidden="1"/>
    <cellStyle name="Followed Hyperlink" xfId="927" builtinId="9" hidden="1"/>
    <cellStyle name="Followed Hyperlink" xfId="928" builtinId="9" hidden="1"/>
    <cellStyle name="Followed Hyperlink" xfId="929" builtinId="9" hidden="1"/>
    <cellStyle name="Followed Hyperlink" xfId="930" builtinId="9" hidden="1"/>
    <cellStyle name="Followed Hyperlink" xfId="931" builtinId="9" hidden="1"/>
    <cellStyle name="Followed Hyperlink" xfId="932" builtinId="9" hidden="1"/>
    <cellStyle name="Followed Hyperlink" xfId="933" builtinId="9" hidden="1"/>
    <cellStyle name="Followed Hyperlink" xfId="934" builtinId="9" hidden="1"/>
    <cellStyle name="Followed Hyperlink" xfId="935" builtinId="9" hidden="1"/>
    <cellStyle name="Followed Hyperlink" xfId="936" builtinId="9" hidden="1"/>
    <cellStyle name="Followed Hyperlink" xfId="937" builtinId="9" hidden="1"/>
    <cellStyle name="Followed Hyperlink" xfId="938" builtinId="9" hidden="1"/>
    <cellStyle name="Followed Hyperlink" xfId="939" builtinId="9" hidden="1"/>
    <cellStyle name="Followed Hyperlink" xfId="940" builtinId="9" hidden="1"/>
    <cellStyle name="Followed Hyperlink" xfId="941" builtinId="9" hidden="1"/>
    <cellStyle name="Followed Hyperlink" xfId="942" builtinId="9" hidden="1"/>
    <cellStyle name="Followed Hyperlink" xfId="943" builtinId="9" hidden="1"/>
    <cellStyle name="Followed Hyperlink" xfId="944" builtinId="9" hidden="1"/>
    <cellStyle name="Followed Hyperlink" xfId="945" builtinId="9" hidden="1"/>
    <cellStyle name="Followed Hyperlink" xfId="946" builtinId="9" hidden="1"/>
    <cellStyle name="Followed Hyperlink" xfId="947" builtinId="9" hidden="1"/>
    <cellStyle name="Followed Hyperlink" xfId="948" builtinId="9" hidden="1"/>
    <cellStyle name="Followed Hyperlink" xfId="949" builtinId="9" hidden="1"/>
    <cellStyle name="Followed Hyperlink" xfId="950" builtinId="9" hidden="1"/>
    <cellStyle name="Followed Hyperlink" xfId="951" builtinId="9" hidden="1"/>
    <cellStyle name="Followed Hyperlink" xfId="952" builtinId="9" hidden="1"/>
    <cellStyle name="Followed Hyperlink" xfId="953" builtinId="9" hidden="1"/>
    <cellStyle name="Followed Hyperlink" xfId="954" builtinId="9" hidden="1"/>
    <cellStyle name="Followed Hyperlink" xfId="955" builtinId="9" hidden="1"/>
    <cellStyle name="Followed Hyperlink" xfId="956" builtinId="9" hidden="1"/>
    <cellStyle name="Followed Hyperlink" xfId="957" builtinId="9" hidden="1"/>
    <cellStyle name="Followed Hyperlink" xfId="958" builtinId="9" hidden="1"/>
    <cellStyle name="Followed Hyperlink" xfId="959" builtinId="9" hidden="1"/>
    <cellStyle name="Followed Hyperlink" xfId="960" builtinId="9" hidden="1"/>
    <cellStyle name="Followed Hyperlink" xfId="961" builtinId="9" hidden="1"/>
    <cellStyle name="Followed Hyperlink" xfId="962" builtinId="9" hidden="1"/>
    <cellStyle name="Followed Hyperlink" xfId="963" builtinId="9" hidden="1"/>
    <cellStyle name="Followed Hyperlink" xfId="964" builtinId="9" hidden="1"/>
    <cellStyle name="Followed Hyperlink" xfId="965" builtinId="9" hidden="1"/>
    <cellStyle name="Followed Hyperlink" xfId="966" builtinId="9" hidden="1"/>
    <cellStyle name="Followed Hyperlink" xfId="967" builtinId="9" hidden="1"/>
    <cellStyle name="Followed Hyperlink" xfId="968" builtinId="9" hidden="1"/>
    <cellStyle name="Followed Hyperlink" xfId="969" builtinId="9" hidden="1"/>
    <cellStyle name="Followed Hyperlink" xfId="970" builtinId="9" hidden="1"/>
    <cellStyle name="Followed Hyperlink" xfId="971" builtinId="9" hidden="1"/>
    <cellStyle name="Followed Hyperlink" xfId="972" builtinId="9" hidden="1"/>
    <cellStyle name="Followed Hyperlink" xfId="973" builtinId="9" hidden="1"/>
    <cellStyle name="Followed Hyperlink" xfId="974" builtinId="9" hidden="1"/>
    <cellStyle name="Followed Hyperlink" xfId="975" builtinId="9" hidden="1"/>
    <cellStyle name="Followed Hyperlink" xfId="976" builtinId="9" hidden="1"/>
    <cellStyle name="Followed Hyperlink" xfId="977" builtinId="9" hidden="1"/>
    <cellStyle name="Followed Hyperlink" xfId="978" builtinId="9" hidden="1"/>
    <cellStyle name="Followed Hyperlink" xfId="979" builtinId="9" hidden="1"/>
    <cellStyle name="Followed Hyperlink" xfId="980" builtinId="9" hidden="1"/>
    <cellStyle name="Followed Hyperlink" xfId="981" builtinId="9" hidden="1"/>
    <cellStyle name="Followed Hyperlink" xfId="982" builtinId="9" hidden="1"/>
    <cellStyle name="Followed Hyperlink" xfId="983" builtinId="9" hidden="1"/>
    <cellStyle name="Followed Hyperlink" xfId="984" builtinId="9" hidden="1"/>
    <cellStyle name="Followed Hyperlink" xfId="985" builtinId="9" hidden="1"/>
    <cellStyle name="Followed Hyperlink" xfId="986" builtinId="9" hidden="1"/>
    <cellStyle name="Followed Hyperlink" xfId="987" builtinId="9" hidden="1"/>
    <cellStyle name="Followed Hyperlink" xfId="988" builtinId="9" hidden="1"/>
    <cellStyle name="Followed Hyperlink" xfId="989" builtinId="9" hidden="1"/>
    <cellStyle name="Followed Hyperlink" xfId="990" builtinId="9" hidden="1"/>
    <cellStyle name="Followed Hyperlink" xfId="991" builtinId="9" hidden="1"/>
    <cellStyle name="Followed Hyperlink" xfId="992" builtinId="9" hidden="1"/>
    <cellStyle name="Followed Hyperlink" xfId="993" builtinId="9" hidden="1"/>
    <cellStyle name="Followed Hyperlink" xfId="994" builtinId="9" hidden="1"/>
    <cellStyle name="Followed Hyperlink" xfId="995" builtinId="9" hidden="1"/>
    <cellStyle name="Followed Hyperlink" xfId="996" builtinId="9" hidden="1"/>
    <cellStyle name="Followed Hyperlink" xfId="997" builtinId="9" hidden="1"/>
    <cellStyle name="Followed Hyperlink" xfId="998" builtinId="9" hidden="1"/>
    <cellStyle name="Followed Hyperlink" xfId="999" builtinId="9" hidden="1"/>
    <cellStyle name="Followed Hyperlink" xfId="1000" builtinId="9" hidden="1"/>
    <cellStyle name="Followed Hyperlink" xfId="1001" builtinId="9" hidden="1"/>
    <cellStyle name="Followed Hyperlink" xfId="1002" builtinId="9" hidden="1"/>
    <cellStyle name="Followed Hyperlink" xfId="1003" builtinId="9" hidden="1"/>
    <cellStyle name="Followed Hyperlink" xfId="1004" builtinId="9" hidden="1"/>
    <cellStyle name="Followed Hyperlink" xfId="1005" builtinId="9" hidden="1"/>
    <cellStyle name="Followed Hyperlink" xfId="1006" builtinId="9" hidden="1"/>
    <cellStyle name="Followed Hyperlink" xfId="1007" builtinId="9" hidden="1"/>
    <cellStyle name="Followed Hyperlink" xfId="1008" builtinId="9" hidden="1"/>
    <cellStyle name="Followed Hyperlink" xfId="1009" builtinId="9" hidden="1"/>
    <cellStyle name="Followed Hyperlink" xfId="1010" builtinId="9" hidden="1"/>
    <cellStyle name="Followed Hyperlink" xfId="1011" builtinId="9" hidden="1"/>
    <cellStyle name="Followed Hyperlink" xfId="1012" builtinId="9" hidden="1"/>
    <cellStyle name="Followed Hyperlink" xfId="1013" builtinId="9" hidden="1"/>
    <cellStyle name="Followed Hyperlink" xfId="1014" builtinId="9" hidden="1"/>
    <cellStyle name="Followed Hyperlink" xfId="1015" builtinId="9" hidden="1"/>
    <cellStyle name="Followed Hyperlink" xfId="1016" builtinId="9" hidden="1"/>
    <cellStyle name="Followed Hyperlink" xfId="1017" builtinId="9" hidden="1"/>
    <cellStyle name="Followed Hyperlink" xfId="1018" builtinId="9" hidden="1"/>
    <cellStyle name="Followed Hyperlink" xfId="1019" builtinId="9" hidden="1"/>
    <cellStyle name="Followed Hyperlink" xfId="1020" builtinId="9" hidden="1"/>
    <cellStyle name="Followed Hyperlink" xfId="1021" builtinId="9" hidden="1"/>
    <cellStyle name="Followed Hyperlink" xfId="1022" builtinId="9" hidden="1"/>
    <cellStyle name="Followed Hyperlink" xfId="1023" builtinId="9" hidden="1"/>
    <cellStyle name="Followed Hyperlink" xfId="1024" builtinId="9" hidden="1"/>
    <cellStyle name="Followed Hyperlink" xfId="1025" builtinId="9" hidden="1"/>
    <cellStyle name="Followed Hyperlink" xfId="1026" builtinId="9" hidden="1"/>
    <cellStyle name="Followed Hyperlink" xfId="1027" builtinId="9" hidden="1"/>
    <cellStyle name="Followed Hyperlink" xfId="1028" builtinId="9" hidden="1"/>
    <cellStyle name="Followed Hyperlink" xfId="1029" builtinId="9" hidden="1"/>
    <cellStyle name="Followed Hyperlink" xfId="1030" builtinId="9" hidden="1"/>
    <cellStyle name="Followed Hyperlink" xfId="1031" builtinId="9" hidden="1"/>
    <cellStyle name="Followed Hyperlink" xfId="1032" builtinId="9" hidden="1"/>
    <cellStyle name="Followed Hyperlink" xfId="1033" builtinId="9" hidden="1"/>
    <cellStyle name="Followed Hyperlink" xfId="1034" builtinId="9" hidden="1"/>
    <cellStyle name="Followed Hyperlink" xfId="1035" builtinId="9" hidden="1"/>
    <cellStyle name="Followed Hyperlink" xfId="1036" builtinId="9" hidden="1"/>
    <cellStyle name="Followed Hyperlink" xfId="1037" builtinId="9" hidden="1"/>
    <cellStyle name="Followed Hyperlink" xfId="1038" builtinId="9" hidden="1"/>
    <cellStyle name="Followed Hyperlink" xfId="1039" builtinId="9" hidden="1"/>
    <cellStyle name="Followed Hyperlink" xfId="1040" builtinId="9" hidden="1"/>
    <cellStyle name="Followed Hyperlink" xfId="1041" builtinId="9" hidden="1"/>
    <cellStyle name="Followed Hyperlink" xfId="1042" builtinId="9" hidden="1"/>
    <cellStyle name="Followed Hyperlink" xfId="1043" builtinId="9" hidden="1"/>
    <cellStyle name="Followed Hyperlink" xfId="1044" builtinId="9" hidden="1"/>
    <cellStyle name="Followed Hyperlink" xfId="1045" builtinId="9" hidden="1"/>
    <cellStyle name="Followed Hyperlink" xfId="1046" builtinId="9" hidden="1"/>
    <cellStyle name="Followed Hyperlink" xfId="1047" builtinId="9" hidden="1"/>
    <cellStyle name="Followed Hyperlink" xfId="1048" builtinId="9" hidden="1"/>
    <cellStyle name="Followed Hyperlink" xfId="1049" builtinId="9" hidden="1"/>
    <cellStyle name="Followed Hyperlink" xfId="1050" builtinId="9" hidden="1"/>
    <cellStyle name="Followed Hyperlink" xfId="1051" builtinId="9" hidden="1"/>
    <cellStyle name="Followed Hyperlink" xfId="1052" builtinId="9" hidden="1"/>
    <cellStyle name="Followed Hyperlink" xfId="1053" builtinId="9" hidden="1"/>
    <cellStyle name="Followed Hyperlink" xfId="1054" builtinId="9" hidden="1"/>
    <cellStyle name="Followed Hyperlink" xfId="1055" builtinId="9" hidden="1"/>
    <cellStyle name="Followed Hyperlink" xfId="1056" builtinId="9" hidden="1"/>
    <cellStyle name="Followed Hyperlink" xfId="1057" builtinId="9" hidden="1"/>
    <cellStyle name="Followed Hyperlink" xfId="1058" builtinId="9" hidden="1"/>
    <cellStyle name="Followed Hyperlink" xfId="1059" builtinId="9" hidden="1"/>
    <cellStyle name="Followed Hyperlink" xfId="1060" builtinId="9" hidden="1"/>
    <cellStyle name="Followed Hyperlink" xfId="1061" builtinId="9" hidden="1"/>
    <cellStyle name="Followed Hyperlink" xfId="1062" builtinId="9" hidden="1"/>
    <cellStyle name="Followed Hyperlink" xfId="1063" builtinId="9" hidden="1"/>
    <cellStyle name="Followed Hyperlink" xfId="1064" builtinId="9" hidden="1"/>
    <cellStyle name="Followed Hyperlink" xfId="1065" builtinId="9" hidden="1"/>
    <cellStyle name="Followed Hyperlink" xfId="1066" builtinId="9" hidden="1"/>
    <cellStyle name="Followed Hyperlink" xfId="1067" builtinId="9" hidden="1"/>
    <cellStyle name="Followed Hyperlink" xfId="1068" builtinId="9" hidden="1"/>
    <cellStyle name="Followed Hyperlink" xfId="1069" builtinId="9" hidden="1"/>
    <cellStyle name="Followed Hyperlink" xfId="1070" builtinId="9" hidden="1"/>
    <cellStyle name="Followed Hyperlink" xfId="1071" builtinId="9" hidden="1"/>
    <cellStyle name="Followed Hyperlink" xfId="1072" builtinId="9" hidden="1"/>
    <cellStyle name="Followed Hyperlink" xfId="1073" builtinId="9" hidden="1"/>
    <cellStyle name="Followed Hyperlink" xfId="1074" builtinId="9" hidden="1"/>
    <cellStyle name="Followed Hyperlink" xfId="1075" builtinId="9" hidden="1"/>
    <cellStyle name="Followed Hyperlink" xfId="1076" builtinId="9" hidden="1"/>
    <cellStyle name="Followed Hyperlink" xfId="1077" builtinId="9" hidden="1"/>
    <cellStyle name="Followed Hyperlink" xfId="1078" builtinId="9" hidden="1"/>
    <cellStyle name="Followed Hyperlink" xfId="1081" builtinId="9" hidden="1"/>
    <cellStyle name="Followed Hyperlink" xfId="1082" builtinId="9" hidden="1"/>
    <cellStyle name="Followed Hyperlink" xfId="1083" builtinId="9" hidden="1"/>
    <cellStyle name="Followed Hyperlink" xfId="1084" builtinId="9" hidden="1"/>
    <cellStyle name="Followed Hyperlink" xfId="1085" builtinId="9" hidden="1"/>
    <cellStyle name="Followed Hyperlink" xfId="1086" builtinId="9" hidden="1"/>
    <cellStyle name="Followed Hyperlink" xfId="1087" builtinId="9" hidden="1"/>
    <cellStyle name="Followed Hyperlink" xfId="1088" builtinId="9" hidden="1"/>
    <cellStyle name="Followed Hyperlink" xfId="1089" builtinId="9" hidden="1"/>
    <cellStyle name="Followed Hyperlink" xfId="1090" builtinId="9" hidden="1"/>
    <cellStyle name="Followed Hyperlink" xfId="1091" builtinId="9" hidden="1"/>
    <cellStyle name="Followed Hyperlink" xfId="1092" builtinId="9" hidden="1"/>
    <cellStyle name="Followed Hyperlink" xfId="1093" builtinId="9" hidden="1"/>
    <cellStyle name="Followed Hyperlink" xfId="1094" builtinId="9" hidden="1"/>
    <cellStyle name="Followed Hyperlink" xfId="1095" builtinId="9" hidden="1"/>
    <cellStyle name="Followed Hyperlink" xfId="1096" builtinId="9" hidden="1"/>
    <cellStyle name="Followed Hyperlink" xfId="1097" builtinId="9" hidden="1"/>
    <cellStyle name="Followed Hyperlink" xfId="1098" builtinId="9" hidden="1"/>
    <cellStyle name="Followed Hyperlink" xfId="1099" builtinId="9" hidden="1"/>
    <cellStyle name="Followed Hyperlink" xfId="1100" builtinId="9" hidden="1"/>
    <cellStyle name="Followed Hyperlink" xfId="1101" builtinId="9" hidden="1"/>
    <cellStyle name="Followed Hyperlink" xfId="1102" builtinId="9" hidden="1"/>
    <cellStyle name="Followed Hyperlink" xfId="1103" builtinId="9" hidden="1"/>
    <cellStyle name="Followed Hyperlink" xfId="1104" builtinId="9" hidden="1"/>
    <cellStyle name="Followed Hyperlink" xfId="1105" builtinId="9" hidden="1"/>
    <cellStyle name="Followed Hyperlink" xfId="1106" builtinId="9" hidden="1"/>
    <cellStyle name="Followed Hyperlink" xfId="1107" builtinId="9" hidden="1"/>
    <cellStyle name="Followed Hyperlink" xfId="1108" builtinId="9" hidden="1"/>
    <cellStyle name="Followed Hyperlink" xfId="1109" builtinId="9" hidden="1"/>
    <cellStyle name="Followed Hyperlink" xfId="1110" builtinId="9" hidden="1"/>
    <cellStyle name="Followed Hyperlink" xfId="1111" builtinId="9" hidden="1"/>
    <cellStyle name="Followed Hyperlink" xfId="1112" builtinId="9" hidden="1"/>
    <cellStyle name="Followed Hyperlink" xfId="1113" builtinId="9" hidden="1"/>
    <cellStyle name="Followed Hyperlink" xfId="1114" builtinId="9" hidden="1"/>
    <cellStyle name="Followed Hyperlink" xfId="1115" builtinId="9" hidden="1"/>
    <cellStyle name="Followed Hyperlink" xfId="1116" builtinId="9" hidden="1"/>
    <cellStyle name="Followed Hyperlink" xfId="1117" builtinId="9" hidden="1"/>
    <cellStyle name="Followed Hyperlink" xfId="1118" builtinId="9" hidden="1"/>
    <cellStyle name="Followed Hyperlink" xfId="1119" builtinId="9" hidden="1"/>
    <cellStyle name="Followed Hyperlink" xfId="1120" builtinId="9" hidden="1"/>
    <cellStyle name="Followed Hyperlink" xfId="1121" builtinId="9" hidden="1"/>
    <cellStyle name="Followed Hyperlink" xfId="1122" builtinId="9" hidden="1"/>
    <cellStyle name="Followed Hyperlink" xfId="1123" builtinId="9" hidden="1"/>
    <cellStyle name="Followed Hyperlink" xfId="1124" builtinId="9" hidden="1"/>
    <cellStyle name="Followed Hyperlink" xfId="1125" builtinId="9" hidden="1"/>
    <cellStyle name="Followed Hyperlink" xfId="1126" builtinId="9" hidden="1"/>
    <cellStyle name="Followed Hyperlink" xfId="1127" builtinId="9" hidden="1"/>
    <cellStyle name="Followed Hyperlink" xfId="1128" builtinId="9" hidden="1"/>
    <cellStyle name="Followed Hyperlink" xfId="1129" builtinId="9" hidden="1"/>
    <cellStyle name="Followed Hyperlink" xfId="1130" builtinId="9" hidden="1"/>
    <cellStyle name="Followed Hyperlink" xfId="1131" builtinId="9" hidden="1"/>
    <cellStyle name="Followed Hyperlink" xfId="1132" builtinId="9" hidden="1"/>
    <cellStyle name="Followed Hyperlink" xfId="1133" builtinId="9" hidden="1"/>
    <cellStyle name="Followed Hyperlink" xfId="1134" builtinId="9" hidden="1"/>
    <cellStyle name="Followed Hyperlink" xfId="1135" builtinId="9" hidden="1"/>
    <cellStyle name="Followed Hyperlink" xfId="1136" builtinId="9" hidden="1"/>
    <cellStyle name="Followed Hyperlink" xfId="1137" builtinId="9" hidden="1"/>
    <cellStyle name="Followed Hyperlink" xfId="1138" builtinId="9" hidden="1"/>
    <cellStyle name="Followed Hyperlink" xfId="1139" builtinId="9" hidden="1"/>
    <cellStyle name="Followed Hyperlink" xfId="1140" builtinId="9" hidden="1"/>
    <cellStyle name="Followed Hyperlink" xfId="1141" builtinId="9" hidden="1"/>
    <cellStyle name="Followed Hyperlink" xfId="1142" builtinId="9" hidden="1"/>
    <cellStyle name="Followed Hyperlink" xfId="1143" builtinId="9" hidden="1"/>
    <cellStyle name="Followed Hyperlink" xfId="1144" builtinId="9" hidden="1"/>
    <cellStyle name="Followed Hyperlink" xfId="1145" builtinId="9" hidden="1"/>
    <cellStyle name="Followed Hyperlink" xfId="1146" builtinId="9" hidden="1"/>
    <cellStyle name="Followed Hyperlink" xfId="1147" builtinId="9" hidden="1"/>
    <cellStyle name="Followed Hyperlink" xfId="1148" builtinId="9" hidden="1"/>
    <cellStyle name="Followed Hyperlink" xfId="1149" builtinId="9" hidden="1"/>
    <cellStyle name="Followed Hyperlink" xfId="1150" builtinId="9" hidden="1"/>
    <cellStyle name="Followed Hyperlink" xfId="1151" builtinId="9" hidden="1"/>
    <cellStyle name="Followed Hyperlink" xfId="1152" builtinId="9" hidden="1"/>
    <cellStyle name="Followed Hyperlink" xfId="1153" builtinId="9" hidden="1"/>
    <cellStyle name="Followed Hyperlink" xfId="1154" builtinId="9" hidden="1"/>
    <cellStyle name="Followed Hyperlink" xfId="1155" builtinId="9" hidden="1"/>
    <cellStyle name="Followed Hyperlink" xfId="1156" builtinId="9" hidden="1"/>
    <cellStyle name="Followed Hyperlink" xfId="1157" builtinId="9" hidden="1"/>
    <cellStyle name="Followed Hyperlink" xfId="1158" builtinId="9" hidden="1"/>
    <cellStyle name="Followed Hyperlink" xfId="1159" builtinId="9" hidden="1"/>
    <cellStyle name="Followed Hyperlink" xfId="1160" builtinId="9" hidden="1"/>
    <cellStyle name="Followed Hyperlink" xfId="1161" builtinId="9" hidden="1"/>
    <cellStyle name="Followed Hyperlink" xfId="1162" builtinId="9" hidden="1"/>
    <cellStyle name="Followed Hyperlink" xfId="1163" builtinId="9" hidden="1"/>
    <cellStyle name="Followed Hyperlink" xfId="1164" builtinId="9" hidden="1"/>
    <cellStyle name="Followed Hyperlink" xfId="1165" builtinId="9" hidden="1"/>
    <cellStyle name="Followed Hyperlink" xfId="1166" builtinId="9" hidden="1"/>
    <cellStyle name="Followed Hyperlink" xfId="1167" builtinId="9" hidden="1"/>
    <cellStyle name="Followed Hyperlink" xfId="1168" builtinId="9" hidden="1"/>
    <cellStyle name="Followed Hyperlink" xfId="1169" builtinId="9" hidden="1"/>
    <cellStyle name="Followed Hyperlink" xfId="1170" builtinId="9" hidden="1"/>
    <cellStyle name="Followed Hyperlink" xfId="1171" builtinId="9" hidden="1"/>
    <cellStyle name="Followed Hyperlink" xfId="1172" builtinId="9" hidden="1"/>
    <cellStyle name="Followed Hyperlink" xfId="1173" builtinId="9" hidden="1"/>
    <cellStyle name="Followed Hyperlink" xfId="1174" builtinId="9" hidden="1"/>
    <cellStyle name="Followed Hyperlink" xfId="1175" builtinId="9" hidden="1"/>
    <cellStyle name="Followed Hyperlink" xfId="1176" builtinId="9" hidden="1"/>
    <cellStyle name="Followed Hyperlink" xfId="1177" builtinId="9" hidden="1"/>
    <cellStyle name="Followed Hyperlink" xfId="1178" builtinId="9" hidden="1"/>
    <cellStyle name="Followed Hyperlink" xfId="1179" builtinId="9" hidden="1"/>
    <cellStyle name="Followed Hyperlink" xfId="1180" builtinId="9" hidden="1"/>
    <cellStyle name="Followed Hyperlink" xfId="1181" builtinId="9" hidden="1"/>
    <cellStyle name="Followed Hyperlink" xfId="118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/>
    <cellStyle name="Normal" xfId="0" builtinId="0"/>
    <cellStyle name="Percent" xfId="647" builtinId="5"/>
    <cellStyle name="Percent 2" xfId="853" xr:uid="{00000000-0005-0000-0000-00009D040000}"/>
    <cellStyle name="Percent 3" xfId="1079" xr:uid="{00000000-0005-0000-0000-00009E040000}"/>
  </cellStyles>
  <dxfs count="247"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colors>
    <mruColors>
      <color rgb="FFB3FF00"/>
      <color rgb="FFFFBBDF"/>
      <color rgb="FFFF7BEA"/>
      <color rgb="FF18FFC8"/>
      <color rgb="FFFFF4A3"/>
      <color rgb="FF41ECFF"/>
      <color rgb="FFFF595B"/>
      <color rgb="FF00F749"/>
      <color rgb="FFD4BEFF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kssst.kdor.ks.gov/lookup.cfm?CFID=839049&amp;CFTOKEN=89769083&amp;jsessionid=5e30907b287fb011cb10203a22416a287842" TargetMode="External"/><Relationship Id="rId18" Type="http://schemas.openxmlformats.org/officeDocument/2006/relationships/hyperlink" Target="https://kssst.kdor.ks.gov/lookup.cfm?CFID=839049&amp;CFTOKEN=89769083&amp;jsessionid=5e30907b287fb011cb10203a22416a287842" TargetMode="External"/><Relationship Id="rId26" Type="http://schemas.openxmlformats.org/officeDocument/2006/relationships/hyperlink" Target="https://kssst.kdor.ks.gov/lookup.cfm?CFID=839049&amp;CFTOKEN=89769083&amp;jsessionid=5e30907b287fb011cb10203a22416a287842" TargetMode="External"/><Relationship Id="rId21" Type="http://schemas.openxmlformats.org/officeDocument/2006/relationships/hyperlink" Target="https://kssst.kdor.ks.gov/lookup.cfm?CFID=839049&amp;CFTOKEN=89769083&amp;jsessionid=5e30907b287fb011cb10203a22416a287842" TargetMode="External"/><Relationship Id="rId34" Type="http://schemas.openxmlformats.org/officeDocument/2006/relationships/hyperlink" Target="https://kssst.kdor.ks.gov/lookup.cfm?CFID=839049&amp;CFTOKEN=89769083&amp;jsessionid=5e30907b287fb011cb10203a22416a287842" TargetMode="External"/><Relationship Id="rId7" Type="http://schemas.openxmlformats.org/officeDocument/2006/relationships/hyperlink" Target="https://kssst.kdor.ks.gov/lookup.cfm?CFID=839049&amp;CFTOKEN=89769083&amp;jsessionid=5e30907b287fb011cb10203a22416a287842" TargetMode="External"/><Relationship Id="rId12" Type="http://schemas.openxmlformats.org/officeDocument/2006/relationships/hyperlink" Target="https://kssst.kdor.ks.gov/lookup.cfm?CFID=839049&amp;CFTOKEN=89769083&amp;jsessionid=5e30907b287fb011cb10203a22416a287842" TargetMode="External"/><Relationship Id="rId17" Type="http://schemas.openxmlformats.org/officeDocument/2006/relationships/hyperlink" Target="https://kssst.kdor.ks.gov/lookup.cfm?CFID=839049&amp;CFTOKEN=89769083&amp;jsessionid=5e30907b287fb011cb10203a22416a287842" TargetMode="External"/><Relationship Id="rId25" Type="http://schemas.openxmlformats.org/officeDocument/2006/relationships/hyperlink" Target="https://kssst.kdor.ks.gov/lookup.cfm?CFID=839049&amp;CFTOKEN=89769083&amp;jsessionid=5e30907b287fb011cb10203a22416a287842" TargetMode="External"/><Relationship Id="rId33" Type="http://schemas.openxmlformats.org/officeDocument/2006/relationships/hyperlink" Target="https://kssst.kdor.ks.gov/lookup.cfm?CFID=839049&amp;CFTOKEN=89769083&amp;jsessionid=5e30907b287fb011cb10203a22416a287842" TargetMode="External"/><Relationship Id="rId38" Type="http://schemas.openxmlformats.org/officeDocument/2006/relationships/comments" Target="../comments7.xml"/><Relationship Id="rId2" Type="http://schemas.openxmlformats.org/officeDocument/2006/relationships/hyperlink" Target="https://kssst.kdor.ks.gov/lookup.cfm?CFID=839049&amp;CFTOKEN=89769083&amp;jsessionid=5e30907b287fb011cb10203a22416a287842" TargetMode="External"/><Relationship Id="rId16" Type="http://schemas.openxmlformats.org/officeDocument/2006/relationships/hyperlink" Target="https://kssst.kdor.ks.gov/lookup.cfm?CFID=839049&amp;CFTOKEN=89769083&amp;jsessionid=5e30907b287fb011cb10203a22416a287842" TargetMode="External"/><Relationship Id="rId20" Type="http://schemas.openxmlformats.org/officeDocument/2006/relationships/hyperlink" Target="https://kssst.kdor.ks.gov/lookup.cfm?CFID=839049&amp;CFTOKEN=89769083&amp;jsessionid=5e30907b287fb011cb10203a22416a287842" TargetMode="External"/><Relationship Id="rId29" Type="http://schemas.openxmlformats.org/officeDocument/2006/relationships/hyperlink" Target="https://kssst.kdor.ks.gov/lookup.cfm?CFID=839049&amp;CFTOKEN=89769083&amp;jsessionid=5e30907b287fb011cb10203a22416a287842" TargetMode="External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6" Type="http://schemas.openxmlformats.org/officeDocument/2006/relationships/hyperlink" Target="https://kssst.kdor.ks.gov/lookup.cfm?CFID=839049&amp;CFTOKEN=89769083&amp;jsessionid=5e30907b287fb011cb10203a22416a287842" TargetMode="External"/><Relationship Id="rId11" Type="http://schemas.openxmlformats.org/officeDocument/2006/relationships/hyperlink" Target="https://kssst.kdor.ks.gov/lookup.cfm?CFID=839049&amp;CFTOKEN=89769083&amp;jsessionid=5e30907b287fb011cb10203a22416a287842" TargetMode="External"/><Relationship Id="rId24" Type="http://schemas.openxmlformats.org/officeDocument/2006/relationships/hyperlink" Target="https://kssst.kdor.ks.gov/lookup.cfm?CFID=839049&amp;CFTOKEN=89769083&amp;jsessionid=5e30907b287fb011cb10203a22416a287842" TargetMode="External"/><Relationship Id="rId32" Type="http://schemas.openxmlformats.org/officeDocument/2006/relationships/hyperlink" Target="https://kssst.kdor.ks.gov/lookup.cfm?CFID=839049&amp;CFTOKEN=89769083&amp;jsessionid=5e30907b287fb011cb10203a22416a287842" TargetMode="External"/><Relationship Id="rId37" Type="http://schemas.openxmlformats.org/officeDocument/2006/relationships/vmlDrawing" Target="../drawings/vmlDrawing7.vml"/><Relationship Id="rId5" Type="http://schemas.openxmlformats.org/officeDocument/2006/relationships/hyperlink" Target="https://kssst.kdor.ks.gov/lookup.cfm?CFID=839049&amp;CFTOKEN=89769083&amp;jsessionid=5e30907b287fb011cb10203a22416a287842" TargetMode="External"/><Relationship Id="rId15" Type="http://schemas.openxmlformats.org/officeDocument/2006/relationships/hyperlink" Target="https://kssst.kdor.ks.gov/lookup.cfm?CFID=839049&amp;CFTOKEN=89769083&amp;jsessionid=5e30907b287fb011cb10203a22416a287842" TargetMode="External"/><Relationship Id="rId23" Type="http://schemas.openxmlformats.org/officeDocument/2006/relationships/hyperlink" Target="https://kssst.kdor.ks.gov/lookup.cfm?CFID=839049&amp;CFTOKEN=89769083&amp;jsessionid=5e30907b287fb011cb10203a22416a287842" TargetMode="External"/><Relationship Id="rId28" Type="http://schemas.openxmlformats.org/officeDocument/2006/relationships/hyperlink" Target="https://kssst.kdor.ks.gov/lookup.cfm?CFID=839049&amp;CFTOKEN=89769083&amp;jsessionid=5e30907b287fb011cb10203a22416a287842" TargetMode="External"/><Relationship Id="rId36" Type="http://schemas.openxmlformats.org/officeDocument/2006/relationships/hyperlink" Target="https://kssst.kdor.ks.gov/lookup.cfm?CFID=839049&amp;CFTOKEN=89769083&amp;jsessionid=5e30907b287fb011cb10203a22416a287842" TargetMode="External"/><Relationship Id="rId10" Type="http://schemas.openxmlformats.org/officeDocument/2006/relationships/hyperlink" Target="https://kssst.kdor.ks.gov/lookup.cfm?CFID=839049&amp;CFTOKEN=89769083&amp;jsessionid=5e30907b287fb011cb10203a22416a287842" TargetMode="External"/><Relationship Id="rId19" Type="http://schemas.openxmlformats.org/officeDocument/2006/relationships/hyperlink" Target="https://kssst.kdor.ks.gov/lookup.cfm?CFID=839049&amp;CFTOKEN=89769083&amp;jsessionid=5e30907b287fb011cb10203a22416a287842" TargetMode="External"/><Relationship Id="rId3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hyperlink" Target="https://kssst.kdor.ks.gov/lookup.cfm?CFID=839049&amp;CFTOKEN=89769083&amp;jsessionid=5e30907b287fb011cb10203a22416a287842" TargetMode="External"/><Relationship Id="rId9" Type="http://schemas.openxmlformats.org/officeDocument/2006/relationships/hyperlink" Target="https://kssst.kdor.ks.gov/lookup.cfm?CFID=839049&amp;CFTOKEN=89769083&amp;jsessionid=5e30907b287fb011cb10203a22416a287842" TargetMode="External"/><Relationship Id="rId14" Type="http://schemas.openxmlformats.org/officeDocument/2006/relationships/hyperlink" Target="https://kssst.kdor.ks.gov/lookup.cfm?CFID=839049&amp;CFTOKEN=89769083&amp;jsessionid=5e30907b287fb011cb10203a22416a287842" TargetMode="External"/><Relationship Id="rId22" Type="http://schemas.openxmlformats.org/officeDocument/2006/relationships/hyperlink" Target="https://kssst.kdor.ks.gov/lookup.cfm?CFID=839049&amp;CFTOKEN=89769083&amp;jsessionid=5e30907b287fb011cb10203a22416a287842" TargetMode="External"/><Relationship Id="rId27" Type="http://schemas.openxmlformats.org/officeDocument/2006/relationships/hyperlink" Target="https://kssst.kdor.ks.gov/lookup.cfm?CFID=839049&amp;CFTOKEN=89769083&amp;jsessionid=5e30907b287fb011cb10203a22416a287842" TargetMode="External"/><Relationship Id="rId30" Type="http://schemas.openxmlformats.org/officeDocument/2006/relationships/hyperlink" Target="https://kssst.kdor.ks.gov/lookup.cfm?CFID=839049&amp;CFTOKEN=89769083&amp;jsessionid=5e30907b287fb011cb10203a22416a287842" TargetMode="External"/><Relationship Id="rId35" Type="http://schemas.openxmlformats.org/officeDocument/2006/relationships/hyperlink" Target="https://kssst.kdor.ks.gov/lookup.cfm?CFID=839049&amp;CFTOKEN=89769083&amp;jsessionid=5e30907b287fb011cb10203a22416a287842" TargetMode="External"/><Relationship Id="rId8" Type="http://schemas.openxmlformats.org/officeDocument/2006/relationships/hyperlink" Target="https://kssst.kdor.ks.gov/lookup.cfm?CFID=839049&amp;CFTOKEN=89769083&amp;jsessionid=5e30907b287fb011cb10203a22416a287842" TargetMode="External"/><Relationship Id="rId3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A40B-114D-C747-B280-FAE9C3ACF8FD}">
  <sheetPr>
    <pageSetUpPr fitToPage="1"/>
  </sheetPr>
  <dimension ref="A1:DM649"/>
  <sheetViews>
    <sheetView tabSelected="1" zoomScaleNormal="100" workbookViewId="0">
      <selection activeCell="B1" sqref="B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19921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18" width="13.796875" customWidth="1"/>
    <col min="19" max="19" width="13.69921875" customWidth="1"/>
    <col min="20" max="20" width="13.796875" customWidth="1"/>
    <col min="21" max="21" width="9.19921875" customWidth="1"/>
    <col min="22" max="22" width="16.296875" customWidth="1"/>
    <col min="23" max="23" width="11" customWidth="1"/>
    <col min="24" max="24" width="13.69921875" customWidth="1"/>
    <col min="25" max="25" width="9.296875" customWidth="1"/>
    <col min="26" max="26" width="3.296875" customWidth="1"/>
    <col min="27" max="27" width="15.69921875" bestFit="1" customWidth="1"/>
    <col min="28" max="28" width="22.5" bestFit="1" customWidth="1"/>
    <col min="29" max="29" width="13" bestFit="1" customWidth="1"/>
    <col min="33" max="33" width="18.296875" customWidth="1"/>
    <col min="35" max="35" width="19.69921875" customWidth="1"/>
    <col min="37" max="37" width="21.69921875" bestFit="1" customWidth="1"/>
    <col min="38" max="38" width="14.69921875" customWidth="1"/>
    <col min="40" max="40" width="19" bestFit="1" customWidth="1"/>
    <col min="43" max="43" width="22.5" bestFit="1" customWidth="1"/>
    <col min="45" max="45" width="12.796875" customWidth="1"/>
    <col min="46" max="46" width="22.5" bestFit="1" customWidth="1"/>
    <col min="49" max="49" width="11.69921875" bestFit="1" customWidth="1"/>
    <col min="50" max="50" width="2.296875" customWidth="1"/>
    <col min="51" max="51" width="2.796875" customWidth="1"/>
    <col min="52" max="52" width="11.69921875" bestFit="1" customWidth="1"/>
    <col min="53" max="53" width="3" customWidth="1"/>
    <col min="54" max="54" width="3.296875" customWidth="1"/>
    <col min="55" max="55" width="11.69921875" bestFit="1" customWidth="1"/>
    <col min="56" max="57" width="2.19921875" customWidth="1"/>
    <col min="58" max="58" width="9" bestFit="1" customWidth="1"/>
    <col min="59" max="59" width="14.796875" bestFit="1" customWidth="1"/>
    <col min="60" max="60" width="9" bestFit="1" customWidth="1"/>
    <col min="61" max="61" width="2.796875" customWidth="1"/>
    <col min="62" max="62" width="12.5" bestFit="1" customWidth="1"/>
    <col min="63" max="63" width="7.69921875" bestFit="1" customWidth="1"/>
    <col min="64" max="64" width="3.296875" customWidth="1"/>
    <col min="65" max="65" width="13.69921875" bestFit="1" customWidth="1"/>
    <col min="66" max="66" width="9" bestFit="1" customWidth="1"/>
    <col min="67" max="67" width="3.296875" customWidth="1"/>
    <col min="68" max="68" width="15.69921875" bestFit="1" customWidth="1"/>
    <col min="79" max="79" width="21.69921875" bestFit="1" customWidth="1"/>
    <col min="82" max="82" width="19" bestFit="1" customWidth="1"/>
    <col min="85" max="85" width="22.5" bestFit="1" customWidth="1"/>
    <col min="88" max="88" width="22.5" bestFit="1" customWidth="1"/>
    <col min="91" max="91" width="11.69921875" bestFit="1" customWidth="1"/>
    <col min="92" max="92" width="2.296875" customWidth="1"/>
    <col min="93" max="93" width="2.796875" customWidth="1"/>
    <col min="94" max="94" width="11.69921875" bestFit="1" customWidth="1"/>
    <col min="95" max="95" width="3" customWidth="1"/>
    <col min="96" max="96" width="3.296875" customWidth="1"/>
    <col min="97" max="97" width="11.69921875" bestFit="1" customWidth="1"/>
    <col min="98" max="99" width="2.19921875" customWidth="1"/>
    <col min="100" max="100" width="9" bestFit="1" customWidth="1"/>
    <col min="101" max="101" width="14.796875" bestFit="1" customWidth="1"/>
    <col min="102" max="102" width="9" bestFit="1" customWidth="1"/>
    <col min="103" max="103" width="2.796875" customWidth="1"/>
    <col min="104" max="104" width="12.5" bestFit="1" customWidth="1"/>
    <col min="105" max="105" width="7.69921875" bestFit="1" customWidth="1"/>
    <col min="106" max="106" width="3.296875" customWidth="1"/>
    <col min="107" max="107" width="13.69921875" bestFit="1" customWidth="1"/>
    <col min="108" max="108" width="9" bestFit="1" customWidth="1"/>
    <col min="109" max="109" width="3.296875" customWidth="1"/>
    <col min="110" max="110" width="15.69921875" bestFit="1" customWidth="1"/>
  </cols>
  <sheetData>
    <row r="1" spans="1:105" s="585" customFormat="1">
      <c r="A1" s="584" t="s">
        <v>221</v>
      </c>
      <c r="G1" s="586" t="s">
        <v>471</v>
      </c>
      <c r="L1" s="1068" t="s">
        <v>659</v>
      </c>
      <c r="M1" s="718"/>
    </row>
    <row r="2" spans="1:105" s="585" customFormat="1">
      <c r="A2" s="584" t="s">
        <v>220</v>
      </c>
      <c r="B2" s="587"/>
      <c r="C2" s="587"/>
      <c r="D2" s="587"/>
      <c r="G2" s="588"/>
      <c r="L2" s="1069">
        <v>3</v>
      </c>
      <c r="M2" s="1070" t="s">
        <v>658</v>
      </c>
    </row>
    <row r="3" spans="1:105" s="585" customFormat="1">
      <c r="A3" s="584" t="s">
        <v>207</v>
      </c>
      <c r="F3" s="834"/>
      <c r="G3" s="588"/>
      <c r="H3" s="593"/>
      <c r="L3" s="777">
        <v>3.25</v>
      </c>
      <c r="M3" s="590" t="s">
        <v>661</v>
      </c>
      <c r="N3" s="590" t="s">
        <v>663</v>
      </c>
    </row>
    <row r="4" spans="1:105" s="585" customFormat="1">
      <c r="A4" s="1637" t="s">
        <v>76</v>
      </c>
      <c r="B4" s="585" t="s">
        <v>78</v>
      </c>
      <c r="C4" s="590" t="s">
        <v>202</v>
      </c>
      <c r="D4" s="591"/>
      <c r="F4" s="834"/>
      <c r="G4" s="588"/>
      <c r="H4" s="593"/>
      <c r="I4" s="594"/>
      <c r="J4" s="594"/>
      <c r="K4" s="594"/>
      <c r="L4" s="1071">
        <v>2.75</v>
      </c>
      <c r="M4" s="1072" t="s">
        <v>662</v>
      </c>
      <c r="N4" s="674" t="s">
        <v>660</v>
      </c>
      <c r="AK4" s="595">
        <v>1000</v>
      </c>
      <c r="AL4" s="595"/>
      <c r="AM4" s="595"/>
      <c r="AN4" s="595">
        <f>AK4</f>
        <v>1000</v>
      </c>
      <c r="AO4" s="595"/>
      <c r="AP4" s="595"/>
      <c r="AQ4" s="595">
        <f>AK4+AN4</f>
        <v>2000</v>
      </c>
      <c r="AR4" s="595"/>
      <c r="AS4" s="595"/>
      <c r="AT4" s="595">
        <f>AQ4</f>
        <v>2000</v>
      </c>
      <c r="AU4" s="596" t="e">
        <f>IF(AK4&lt;=#REF!,#REF!,IF(AK4&lt;=#REF!,#REF!,IF(AK4&lt;=#REF!,#REF!,IF(AK4&lt;=#REF!,#REF!,IF(AK4&lt;=#REF!,#REF!,IF(AK4&lt;=#REF!,#REF!,IF(AK4&lt;=#REF!,#REF!,0.05)))))))</f>
        <v>#REF!</v>
      </c>
      <c r="AV4" s="595" t="e">
        <f>AU4*AK4</f>
        <v>#REF!</v>
      </c>
      <c r="AW4" s="596"/>
      <c r="AX4" s="596" t="e">
        <f>IF(AN4&lt;=#REF!,#REF!,IF(AN4&lt;=#REF!,#REF!,IF(AN4&lt;=#REF!,#REF!,IF(AN4&lt;=#REF!,#REF!,IF(AN4&lt;=#REF!,#REF!,IF(AN4&lt;=#REF!,#REF!,IF(AN4&lt;=#REF!,#REF!,0.05)))))))</f>
        <v>#REF!</v>
      </c>
      <c r="AY4" s="595" t="e">
        <f>AX4*AN4</f>
        <v>#REF!</v>
      </c>
      <c r="AZ4" s="596"/>
      <c r="BA4" s="596" t="e">
        <f>IF(AQ4&lt;=#REF!,#REF!,IF(AQ4&lt;=#REF!,#REF!,IF(AQ4&lt;=#REF!,#REF!,IF(AQ4&lt;=#REF!,#REF!,IF(AQ4&lt;=#REF!,#REF!,IF(AQ4&lt;=#REF!,#REF!,IF(AQ4&lt;=#REF!,#REF!,0.05)))))))</f>
        <v>#REF!</v>
      </c>
      <c r="BB4" s="595" t="e">
        <f>BA4*SUM(AY4,AV4,AQ4)</f>
        <v>#REF!</v>
      </c>
      <c r="BC4" s="596"/>
      <c r="BD4" s="597" t="e">
        <f>IF(AT4&lt;=#REF!,#REF!,IF(AT4&lt;=#REF!,#REF!,IF(AT4&lt;=#REF!,#REF!,IF(AT4&lt;=#REF!,#REF!,IF(AT4&lt;=#REF!,#REF!,IF(AT4&lt;=#REF!,#REF!,IF(AT4&lt;=#REF!,#REF!,0.05)))))))</f>
        <v>#REF!</v>
      </c>
      <c r="BE4" s="595" t="e">
        <f>BD4*AT4</f>
        <v>#REF!</v>
      </c>
      <c r="BG4" s="598" t="e">
        <f>0.07*SUM(AQ4,AV4,AY4,BB4,BE4)</f>
        <v>#REF!</v>
      </c>
      <c r="BI4" s="598" t="e">
        <f>SUM(BG4,BE4,BB4,AY4,AV4,AQ4)</f>
        <v>#REF!</v>
      </c>
      <c r="BJ4" s="599" t="e">
        <f>SUM(BE4,BB4,AY4,AV4)</f>
        <v>#REF!</v>
      </c>
      <c r="BK4" s="596" t="e">
        <f>BJ4/BI4</f>
        <v>#REF!</v>
      </c>
      <c r="BN4" s="596">
        <v>0.1</v>
      </c>
      <c r="BO4" s="595">
        <v>5000</v>
      </c>
      <c r="BQ4" s="596">
        <v>0.35</v>
      </c>
      <c r="BR4" s="595">
        <v>2000</v>
      </c>
      <c r="BS4" s="595"/>
      <c r="BT4" s="596">
        <v>0.28000000000000003</v>
      </c>
      <c r="BU4" s="595">
        <v>9000</v>
      </c>
      <c r="BW4" s="597">
        <v>0</v>
      </c>
      <c r="BX4" s="595">
        <v>9000</v>
      </c>
      <c r="CA4" s="595">
        <v>1000</v>
      </c>
      <c r="CB4" s="595"/>
      <c r="CC4" s="595"/>
      <c r="CD4" s="595">
        <f>CA4</f>
        <v>1000</v>
      </c>
      <c r="CE4" s="595"/>
      <c r="CF4" s="595"/>
      <c r="CG4" s="595">
        <f>CA4+CD4</f>
        <v>2000</v>
      </c>
      <c r="CH4" s="595"/>
      <c r="CI4" s="595"/>
      <c r="CJ4" s="595">
        <f>CG4</f>
        <v>2000</v>
      </c>
      <c r="CK4" s="596">
        <f t="shared" ref="CK4:CK26" si="0">IF(CA4&lt;=BO$4,BN$4,IF(CA4&lt;=BO$5,BN$5,IF(CA4&lt;=BO$6,BN$6,IF(CA4&lt;=BO$7,BN$7,IF(CA4&lt;=BO$12,BN$12,IF(CA4&lt;=BO$13,BN$13,IF(CA4&lt;=BO$14,BN$14,0.05)))))))</f>
        <v>0.1</v>
      </c>
      <c r="CL4" s="595">
        <f>CK4*CA4</f>
        <v>100</v>
      </c>
      <c r="CM4" s="596"/>
      <c r="CN4" s="596">
        <f t="shared" ref="CN4:CN26" si="1">IF(CD4&lt;=BR$4,BQ$4,IF(CD4&lt;=BR$5,BQ$5,IF(CD4&lt;=BR$6,BQ$6,IF(CD4&lt;=BR$7,BQ$7,IF(CD4&lt;=BR$12,BQ$12,IF(CD4&lt;=BR$13,BQ$13,IF(CD4&lt;=BR$14,BQ$14,0.05)))))))</f>
        <v>0.35</v>
      </c>
      <c r="CO4" s="595">
        <f>CN4*CD4</f>
        <v>350</v>
      </c>
      <c r="CP4" s="596"/>
      <c r="CQ4" s="596">
        <f t="shared" ref="CQ4:CQ26" si="2">IF(CG4&lt;=BU$4,BT$4,IF(CG4&lt;=BU$5,BT$5,IF(CG4&lt;=BU$6,BT$6,IF(CG4&lt;=BU$7,BT$7,IF(CG4&lt;=BU$12,BT$12,IF(CG4&lt;=BU$13,BT$13,IF(CG4&lt;=BU$14,BT$14,0.05)))))))</f>
        <v>0.28000000000000003</v>
      </c>
      <c r="CR4" s="595">
        <f>CQ4*SUM(CO4,CL4,CG4)</f>
        <v>686.00000000000011</v>
      </c>
      <c r="CS4" s="596"/>
      <c r="CT4" s="597">
        <f t="shared" ref="CT4:CT26" si="3">IF(CJ4&lt;=BX$4,BW$4,IF(CJ4&lt;=BX$5,BW$5,IF(CJ4&lt;=BX$6,BW$6,IF(CJ4&lt;=BX$7,BW$7,IF(CJ4&lt;=BX$12,BW$12,IF(CJ4&lt;=BX$13,BW$13,IF(CJ4&lt;=BX$14,BW$14,0.05)))))))</f>
        <v>0</v>
      </c>
      <c r="CU4" s="595">
        <f>CT4*CJ4</f>
        <v>0</v>
      </c>
      <c r="CW4" s="598">
        <f>0.07*SUM(CG4,CL4,CO4,CR4,CU4)</f>
        <v>219.52</v>
      </c>
      <c r="CY4" s="598">
        <f>SUM(CW4,CU4,CR4,CO4,CL4,CG4)</f>
        <v>3355.52</v>
      </c>
      <c r="CZ4" s="599">
        <f>SUM(CU4,CR4,CO4,CL4)</f>
        <v>1136</v>
      </c>
      <c r="DA4" s="596">
        <f>CZ4/CY4</f>
        <v>0.33854663360671372</v>
      </c>
    </row>
    <row r="5" spans="1:105" s="585" customFormat="1">
      <c r="A5" s="589" t="s">
        <v>149</v>
      </c>
      <c r="B5" s="585" t="s">
        <v>71</v>
      </c>
      <c r="C5" s="1010" t="s">
        <v>1029</v>
      </c>
      <c r="D5" s="591" t="s">
        <v>71</v>
      </c>
      <c r="E5" s="1728"/>
      <c r="F5" s="593"/>
      <c r="G5" s="588"/>
      <c r="H5" s="593"/>
      <c r="I5" s="594"/>
      <c r="J5" s="594"/>
      <c r="K5" s="594"/>
      <c r="L5" s="594"/>
      <c r="M5" s="594"/>
      <c r="AK5" s="595">
        <v>2000</v>
      </c>
      <c r="AL5" s="595"/>
      <c r="AM5" s="595"/>
      <c r="AN5" s="595">
        <f t="shared" ref="AN5:AZ52" si="4">AK5</f>
        <v>2000</v>
      </c>
      <c r="AO5" s="595"/>
      <c r="AP5" s="595"/>
      <c r="AQ5" s="595">
        <f t="shared" ref="AQ5:BC36" si="5">AK5+AN5</f>
        <v>4000</v>
      </c>
      <c r="AR5" s="595"/>
      <c r="AS5" s="595"/>
      <c r="AT5" s="595">
        <f t="shared" ref="AT5:BF36" si="6">AQ5</f>
        <v>4000</v>
      </c>
      <c r="AU5" s="596" t="e">
        <f>IF(AK5&lt;=#REF!,#REF!,IF(AK5&lt;=#REF!,#REF!,IF(AK5&lt;=#REF!,#REF!,IF(AK5&lt;=#REF!,#REF!,IF(AK5&lt;=#REF!,#REF!,IF(AK5&lt;=#REF!,#REF!,IF(AK5&lt;=#REF!,#REF!,0.05)))))))</f>
        <v>#REF!</v>
      </c>
      <c r="AV5" s="595" t="e">
        <f t="shared" ref="AV5:BH36" si="7">AU5*AK5</f>
        <v>#REF!</v>
      </c>
      <c r="AW5" s="596"/>
      <c r="AX5" s="596" t="e">
        <f>IF(AN5&lt;=#REF!,#REF!,IF(AN5&lt;=#REF!,#REF!,IF(AN5&lt;=#REF!,#REF!,IF(AN5&lt;=#REF!,#REF!,IF(AN5&lt;=#REF!,#REF!,IF(AN5&lt;=#REF!,#REF!,IF(AN5&lt;=#REF!,#REF!,0.05)))))))</f>
        <v>#REF!</v>
      </c>
      <c r="AY5" s="595" t="e">
        <f t="shared" ref="AY5:BK36" si="8">AX5*AN5</f>
        <v>#REF!</v>
      </c>
      <c r="AZ5" s="596"/>
      <c r="BA5" s="596" t="e">
        <f>IF(AQ5&lt;=#REF!,#REF!,IF(AQ5&lt;=#REF!,#REF!,IF(AQ5&lt;=#REF!,#REF!,IF(AQ5&lt;=#REF!,#REF!,IF(AQ5&lt;=#REF!,#REF!,IF(AQ5&lt;=#REF!,#REF!,IF(AQ5&lt;=#REF!,#REF!,0.05)))))))</f>
        <v>#REF!</v>
      </c>
      <c r="BB5" s="595" t="e">
        <f t="shared" ref="BB5:BN36" si="9">BA5*SUM(AY5,AV5,AQ5)</f>
        <v>#REF!</v>
      </c>
      <c r="BC5" s="596"/>
      <c r="BD5" s="597" t="e">
        <f>IF(AT5&lt;=#REF!,#REF!,IF(AT5&lt;=#REF!,#REF!,IF(AT5&lt;=#REF!,#REF!,IF(AT5&lt;=#REF!,#REF!,IF(AT5&lt;=#REF!,#REF!,IF(AT5&lt;=#REF!,#REF!,IF(AT5&lt;=#REF!,#REF!,0.05)))))))</f>
        <v>#REF!</v>
      </c>
      <c r="BE5" s="595" t="e">
        <f t="shared" ref="BE5:BQ36" si="10">BD5*AT5</f>
        <v>#REF!</v>
      </c>
      <c r="BG5" s="598" t="e">
        <f t="shared" ref="BG5:BS36" si="11">0.07*SUM(AQ5,AV5,AY5,BB5,BE5)</f>
        <v>#REF!</v>
      </c>
      <c r="BI5" s="598" t="e">
        <f t="shared" ref="BI5:BU36" si="12">SUM(BG5,BE5,BB5,AY5,AV5,AQ5)</f>
        <v>#REF!</v>
      </c>
      <c r="BJ5" s="599" t="e">
        <f t="shared" ref="BJ5:BV36" si="13">SUM(BE5,BB5,AY5,AV5)</f>
        <v>#REF!</v>
      </c>
      <c r="BK5" s="596" t="e">
        <f t="shared" ref="BK5:BW36" si="14">BJ5/BI5</f>
        <v>#REF!</v>
      </c>
      <c r="BN5" s="596">
        <v>0.05</v>
      </c>
      <c r="BO5" s="595">
        <v>1000000000</v>
      </c>
      <c r="BQ5" s="596">
        <v>0.3</v>
      </c>
      <c r="BR5" s="595">
        <v>3000</v>
      </c>
      <c r="BS5" s="595"/>
      <c r="BT5" s="596">
        <v>0.24</v>
      </c>
      <c r="BU5" s="595">
        <v>14000</v>
      </c>
      <c r="BW5" s="597">
        <v>-0.04</v>
      </c>
      <c r="BX5" s="595">
        <v>14000</v>
      </c>
      <c r="CA5" s="595">
        <v>2000</v>
      </c>
      <c r="CB5" s="595"/>
      <c r="CC5" s="595"/>
      <c r="CD5" s="595">
        <f t="shared" ref="CD5:CP52" si="15">CA5</f>
        <v>2000</v>
      </c>
      <c r="CE5" s="595"/>
      <c r="CF5" s="595"/>
      <c r="CG5" s="595">
        <f t="shared" ref="CG5:CS52" si="16">CA5+CD5</f>
        <v>4000</v>
      </c>
      <c r="CH5" s="595"/>
      <c r="CI5" s="595"/>
      <c r="CJ5" s="595">
        <f t="shared" ref="CJ5:CV52" si="17">CG5</f>
        <v>4000</v>
      </c>
      <c r="CK5" s="596">
        <f t="shared" si="0"/>
        <v>0.1</v>
      </c>
      <c r="CL5" s="595">
        <f t="shared" ref="CL5:CX52" si="18">CK5*CA5</f>
        <v>200</v>
      </c>
      <c r="CM5" s="596"/>
      <c r="CN5" s="596">
        <f t="shared" si="1"/>
        <v>0.35</v>
      </c>
      <c r="CO5" s="595">
        <f t="shared" ref="CO5:DA52" si="19">CN5*CD5</f>
        <v>700</v>
      </c>
      <c r="CP5" s="596"/>
      <c r="CQ5" s="596">
        <f t="shared" si="2"/>
        <v>0.28000000000000003</v>
      </c>
      <c r="CR5" s="595">
        <f t="shared" ref="CR5:DD52" si="20">CQ5*SUM(CO5,CL5,CG5)</f>
        <v>1372.0000000000002</v>
      </c>
      <c r="CS5" s="596"/>
      <c r="CT5" s="597">
        <f t="shared" si="3"/>
        <v>0</v>
      </c>
      <c r="CU5" s="595">
        <f t="shared" ref="CU5:DG52" si="21">CT5*CJ5</f>
        <v>0</v>
      </c>
      <c r="CW5" s="598">
        <f t="shared" ref="CW5:DI52" si="22">0.07*SUM(CG5,CL5,CO5,CR5,CU5)</f>
        <v>439.04</v>
      </c>
      <c r="CY5" s="598">
        <f t="shared" ref="CY5:DK52" si="23">SUM(CW5,CU5,CR5,CO5,CL5,CG5)</f>
        <v>6711.04</v>
      </c>
      <c r="CZ5" s="599">
        <f t="shared" ref="CZ5:DL52" si="24">SUM(CU5,CR5,CO5,CL5)</f>
        <v>2272</v>
      </c>
      <c r="DA5" s="596">
        <f t="shared" ref="DA5:DM52" si="25">CZ5/CY5</f>
        <v>0.33854663360671372</v>
      </c>
    </row>
    <row r="6" spans="1:105" s="585" customFormat="1">
      <c r="A6" s="589" t="s">
        <v>79</v>
      </c>
      <c r="B6" s="585" t="s">
        <v>78</v>
      </c>
      <c r="C6" s="1539" t="s">
        <v>119</v>
      </c>
      <c r="D6" s="591" t="s">
        <v>71</v>
      </c>
      <c r="E6" s="1728"/>
      <c r="F6" s="593"/>
      <c r="G6" s="588"/>
      <c r="H6" s="593"/>
      <c r="I6" s="594"/>
      <c r="J6" s="594"/>
      <c r="K6" s="594"/>
      <c r="L6" s="594"/>
      <c r="M6" s="594"/>
      <c r="AK6" s="595">
        <v>3000</v>
      </c>
      <c r="AL6" s="595"/>
      <c r="AM6" s="595"/>
      <c r="AN6" s="595">
        <f t="shared" si="4"/>
        <v>3000</v>
      </c>
      <c r="AO6" s="595"/>
      <c r="AP6" s="595"/>
      <c r="AQ6" s="595">
        <f t="shared" si="5"/>
        <v>6000</v>
      </c>
      <c r="AR6" s="595"/>
      <c r="AS6" s="595"/>
      <c r="AT6" s="595">
        <f t="shared" si="6"/>
        <v>6000</v>
      </c>
      <c r="AU6" s="596" t="e">
        <f>IF(AK6&lt;=#REF!,#REF!,IF(AK6&lt;=#REF!,#REF!,IF(AK6&lt;=#REF!,#REF!,IF(AK6&lt;=#REF!,#REF!,IF(AK6&lt;=#REF!,#REF!,IF(AK6&lt;=#REF!,#REF!,IF(AK6&lt;=#REF!,#REF!,0.05)))))))</f>
        <v>#REF!</v>
      </c>
      <c r="AV6" s="595" t="e">
        <f t="shared" si="7"/>
        <v>#REF!</v>
      </c>
      <c r="AW6" s="596"/>
      <c r="AX6" s="596" t="e">
        <f>IF(AN6&lt;=#REF!,#REF!,IF(AN6&lt;=#REF!,#REF!,IF(AN6&lt;=#REF!,#REF!,IF(AN6&lt;=#REF!,#REF!,IF(AN6&lt;=#REF!,#REF!,IF(AN6&lt;=#REF!,#REF!,IF(AN6&lt;=#REF!,#REF!,0.05)))))))</f>
        <v>#REF!</v>
      </c>
      <c r="AY6" s="595" t="e">
        <f t="shared" si="8"/>
        <v>#REF!</v>
      </c>
      <c r="AZ6" s="596"/>
      <c r="BA6" s="596" t="e">
        <f>IF(AQ6&lt;=#REF!,#REF!,IF(AQ6&lt;=#REF!,#REF!,IF(AQ6&lt;=#REF!,#REF!,IF(AQ6&lt;=#REF!,#REF!,IF(AQ6&lt;=#REF!,#REF!,IF(AQ6&lt;=#REF!,#REF!,IF(AQ6&lt;=#REF!,#REF!,0.05)))))))</f>
        <v>#REF!</v>
      </c>
      <c r="BB6" s="595" t="e">
        <f t="shared" si="9"/>
        <v>#REF!</v>
      </c>
      <c r="BC6" s="596"/>
      <c r="BD6" s="597" t="e">
        <f>IF(AT6&lt;=#REF!,#REF!,IF(AT6&lt;=#REF!,#REF!,IF(AT6&lt;=#REF!,#REF!,IF(AT6&lt;=#REF!,#REF!,IF(AT6&lt;=#REF!,#REF!,IF(AT6&lt;=#REF!,#REF!,IF(AT6&lt;=#REF!,#REF!,0.05)))))))</f>
        <v>#REF!</v>
      </c>
      <c r="BE6" s="595" t="e">
        <f t="shared" si="10"/>
        <v>#REF!</v>
      </c>
      <c r="BG6" s="598" t="e">
        <f t="shared" si="11"/>
        <v>#REF!</v>
      </c>
      <c r="BI6" s="598" t="e">
        <f t="shared" si="12"/>
        <v>#REF!</v>
      </c>
      <c r="BJ6" s="599" t="e">
        <f t="shared" si="13"/>
        <v>#REF!</v>
      </c>
      <c r="BK6" s="596" t="e">
        <f t="shared" si="14"/>
        <v>#REF!</v>
      </c>
      <c r="BN6" s="596">
        <v>0.05</v>
      </c>
      <c r="BO6" s="595">
        <v>1000000000</v>
      </c>
      <c r="BQ6" s="596">
        <v>0.2</v>
      </c>
      <c r="BR6" s="595">
        <v>4000</v>
      </c>
      <c r="BS6" s="595"/>
      <c r="BT6" s="596">
        <v>0.22</v>
      </c>
      <c r="BU6" s="595">
        <v>19000</v>
      </c>
      <c r="BW6" s="597">
        <v>-0.05</v>
      </c>
      <c r="BX6" s="595">
        <v>19000</v>
      </c>
      <c r="CA6" s="595">
        <v>3000</v>
      </c>
      <c r="CB6" s="595"/>
      <c r="CC6" s="595"/>
      <c r="CD6" s="595">
        <f t="shared" si="15"/>
        <v>3000</v>
      </c>
      <c r="CE6" s="595"/>
      <c r="CF6" s="595"/>
      <c r="CG6" s="595">
        <f t="shared" si="16"/>
        <v>6000</v>
      </c>
      <c r="CH6" s="595"/>
      <c r="CI6" s="595"/>
      <c r="CJ6" s="595">
        <f t="shared" si="17"/>
        <v>6000</v>
      </c>
      <c r="CK6" s="596">
        <f t="shared" si="0"/>
        <v>0.1</v>
      </c>
      <c r="CL6" s="595">
        <f t="shared" si="18"/>
        <v>300</v>
      </c>
      <c r="CM6" s="596"/>
      <c r="CN6" s="596">
        <f t="shared" si="1"/>
        <v>0.3</v>
      </c>
      <c r="CO6" s="595">
        <f t="shared" si="19"/>
        <v>900</v>
      </c>
      <c r="CP6" s="596"/>
      <c r="CQ6" s="596">
        <f t="shared" si="2"/>
        <v>0.28000000000000003</v>
      </c>
      <c r="CR6" s="595">
        <f t="shared" si="20"/>
        <v>2016.0000000000002</v>
      </c>
      <c r="CS6" s="596"/>
      <c r="CT6" s="597">
        <f t="shared" si="3"/>
        <v>0</v>
      </c>
      <c r="CU6" s="595">
        <f t="shared" si="21"/>
        <v>0</v>
      </c>
      <c r="CW6" s="598">
        <f t="shared" si="22"/>
        <v>645.12000000000012</v>
      </c>
      <c r="CY6" s="598">
        <f t="shared" si="23"/>
        <v>9861.1200000000008</v>
      </c>
      <c r="CZ6" s="599">
        <f t="shared" si="24"/>
        <v>3216</v>
      </c>
      <c r="DA6" s="596">
        <f t="shared" si="25"/>
        <v>0.32612928348909653</v>
      </c>
    </row>
    <row r="7" spans="1:105" s="585" customFormat="1">
      <c r="A7" s="589" t="s">
        <v>222</v>
      </c>
      <c r="B7" s="587"/>
      <c r="C7" s="591"/>
      <c r="D7" s="600"/>
      <c r="F7" s="593"/>
      <c r="G7" s="588"/>
      <c r="H7" s="593"/>
      <c r="I7" s="594"/>
      <c r="J7" s="594"/>
      <c r="K7" s="594"/>
      <c r="L7" s="594"/>
      <c r="M7" s="594"/>
      <c r="AK7" s="595">
        <v>4000</v>
      </c>
      <c r="AL7" s="595"/>
      <c r="AM7" s="595"/>
      <c r="AN7" s="595">
        <f t="shared" si="4"/>
        <v>4000</v>
      </c>
      <c r="AO7" s="595"/>
      <c r="AP7" s="595"/>
      <c r="AQ7" s="595">
        <f t="shared" si="5"/>
        <v>8000</v>
      </c>
      <c r="AR7" s="595"/>
      <c r="AS7" s="595"/>
      <c r="AT7" s="595">
        <f t="shared" si="6"/>
        <v>8000</v>
      </c>
      <c r="AU7" s="596" t="e">
        <f>IF(AK7&lt;=#REF!,#REF!,IF(AK7&lt;=#REF!,#REF!,IF(AK7&lt;=#REF!,#REF!,IF(AK7&lt;=#REF!,#REF!,IF(AK7&lt;=#REF!,#REF!,IF(AK7&lt;=#REF!,#REF!,IF(AK7&lt;=#REF!,#REF!,0.05)))))))</f>
        <v>#REF!</v>
      </c>
      <c r="AV7" s="595" t="e">
        <f t="shared" si="7"/>
        <v>#REF!</v>
      </c>
      <c r="AW7" s="596"/>
      <c r="AX7" s="596" t="e">
        <f>IF(AN7&lt;=#REF!,#REF!,IF(AN7&lt;=#REF!,#REF!,IF(AN7&lt;=#REF!,#REF!,IF(AN7&lt;=#REF!,#REF!,IF(AN7&lt;=#REF!,#REF!,IF(AN7&lt;=#REF!,#REF!,IF(AN7&lt;=#REF!,#REF!,0.05)))))))</f>
        <v>#REF!</v>
      </c>
      <c r="AY7" s="595" t="e">
        <f t="shared" si="8"/>
        <v>#REF!</v>
      </c>
      <c r="AZ7" s="596"/>
      <c r="BA7" s="596" t="e">
        <f>IF(AQ7&lt;=#REF!,#REF!,IF(AQ7&lt;=#REF!,#REF!,IF(AQ7&lt;=#REF!,#REF!,IF(AQ7&lt;=#REF!,#REF!,IF(AQ7&lt;=#REF!,#REF!,IF(AQ7&lt;=#REF!,#REF!,IF(AQ7&lt;=#REF!,#REF!,0.05)))))))</f>
        <v>#REF!</v>
      </c>
      <c r="BB7" s="595" t="e">
        <f t="shared" si="9"/>
        <v>#REF!</v>
      </c>
      <c r="BC7" s="596"/>
      <c r="BD7" s="597" t="e">
        <f>IF(AT7&lt;=#REF!,#REF!,IF(AT7&lt;=#REF!,#REF!,IF(AT7&lt;=#REF!,#REF!,IF(AT7&lt;=#REF!,#REF!,IF(AT7&lt;=#REF!,#REF!,IF(AT7&lt;=#REF!,#REF!,IF(AT7&lt;=#REF!,#REF!,0.05)))))))</f>
        <v>#REF!</v>
      </c>
      <c r="BE7" s="595" t="e">
        <f t="shared" si="10"/>
        <v>#REF!</v>
      </c>
      <c r="BG7" s="598" t="e">
        <f t="shared" si="11"/>
        <v>#REF!</v>
      </c>
      <c r="BI7" s="598" t="e">
        <f t="shared" si="12"/>
        <v>#REF!</v>
      </c>
      <c r="BJ7" s="599" t="e">
        <f t="shared" si="13"/>
        <v>#REF!</v>
      </c>
      <c r="BK7" s="596" t="e">
        <f t="shared" si="14"/>
        <v>#REF!</v>
      </c>
      <c r="BN7" s="596">
        <v>0.05</v>
      </c>
      <c r="BO7" s="595">
        <v>1000000000</v>
      </c>
      <c r="BQ7" s="596">
        <v>0.1</v>
      </c>
      <c r="BR7" s="595">
        <v>7000</v>
      </c>
      <c r="BS7" s="595"/>
      <c r="BT7" s="596">
        <v>0.2</v>
      </c>
      <c r="BU7" s="595">
        <v>24000</v>
      </c>
      <c r="BW7" s="597">
        <v>-0.05</v>
      </c>
      <c r="BX7" s="595">
        <v>34000</v>
      </c>
      <c r="CA7" s="595">
        <v>4000</v>
      </c>
      <c r="CB7" s="595"/>
      <c r="CC7" s="595"/>
      <c r="CD7" s="595">
        <f t="shared" si="15"/>
        <v>4000</v>
      </c>
      <c r="CE7" s="595"/>
      <c r="CF7" s="595"/>
      <c r="CG7" s="595">
        <f t="shared" si="16"/>
        <v>8000</v>
      </c>
      <c r="CH7" s="595"/>
      <c r="CI7" s="595"/>
      <c r="CJ7" s="595">
        <f t="shared" si="17"/>
        <v>8000</v>
      </c>
      <c r="CK7" s="596">
        <f t="shared" si="0"/>
        <v>0.1</v>
      </c>
      <c r="CL7" s="595">
        <f t="shared" si="18"/>
        <v>400</v>
      </c>
      <c r="CM7" s="596"/>
      <c r="CN7" s="596">
        <f t="shared" si="1"/>
        <v>0.2</v>
      </c>
      <c r="CO7" s="595">
        <f t="shared" si="19"/>
        <v>800</v>
      </c>
      <c r="CP7" s="596"/>
      <c r="CQ7" s="596">
        <f t="shared" si="2"/>
        <v>0.28000000000000003</v>
      </c>
      <c r="CR7" s="595">
        <f t="shared" si="20"/>
        <v>2576.0000000000005</v>
      </c>
      <c r="CS7" s="596"/>
      <c r="CT7" s="597">
        <f t="shared" si="3"/>
        <v>0</v>
      </c>
      <c r="CU7" s="595">
        <f t="shared" si="21"/>
        <v>0</v>
      </c>
      <c r="CW7" s="598">
        <f t="shared" si="22"/>
        <v>824.32</v>
      </c>
      <c r="CY7" s="598">
        <f t="shared" si="23"/>
        <v>12600.32</v>
      </c>
      <c r="CZ7" s="599">
        <f t="shared" si="24"/>
        <v>3776.0000000000005</v>
      </c>
      <c r="DA7" s="596">
        <f t="shared" si="25"/>
        <v>0.29967492889069486</v>
      </c>
    </row>
    <row r="8" spans="1:105" s="585" customFormat="1">
      <c r="A8" s="602" t="s">
        <v>223</v>
      </c>
      <c r="B8" s="603"/>
      <c r="C8" s="591"/>
      <c r="D8" s="600"/>
      <c r="E8" s="1469"/>
      <c r="F8" s="593"/>
      <c r="G8" s="588"/>
      <c r="H8" s="593"/>
      <c r="I8" s="594"/>
      <c r="J8" s="604"/>
      <c r="K8" s="604"/>
      <c r="L8" s="594"/>
      <c r="M8" s="594"/>
      <c r="AK8" s="595"/>
      <c r="AL8" s="595"/>
      <c r="AM8" s="595"/>
      <c r="AN8" s="595"/>
      <c r="AO8" s="595"/>
      <c r="AP8" s="595"/>
      <c r="AQ8" s="595"/>
      <c r="AR8" s="595"/>
      <c r="AS8" s="595"/>
      <c r="AT8" s="595"/>
      <c r="AU8" s="596"/>
      <c r="AV8" s="595"/>
      <c r="AW8" s="596"/>
      <c r="AX8" s="596"/>
      <c r="AY8" s="595"/>
      <c r="AZ8" s="596"/>
      <c r="BA8" s="596"/>
      <c r="BB8" s="595"/>
      <c r="BC8" s="596"/>
      <c r="BD8" s="597"/>
      <c r="BE8" s="595"/>
      <c r="BG8" s="598"/>
      <c r="BI8" s="598"/>
      <c r="BJ8" s="599"/>
      <c r="BK8" s="596"/>
      <c r="BN8" s="596"/>
      <c r="BO8" s="595"/>
      <c r="BQ8" s="596"/>
      <c r="BR8" s="595"/>
      <c r="BS8" s="595"/>
      <c r="BT8" s="596"/>
      <c r="BU8" s="595"/>
      <c r="BW8" s="597"/>
      <c r="BX8" s="595"/>
      <c r="CA8" s="595"/>
      <c r="CB8" s="595"/>
      <c r="CC8" s="595"/>
      <c r="CD8" s="595"/>
      <c r="CE8" s="595"/>
      <c r="CF8" s="595"/>
      <c r="CG8" s="595"/>
      <c r="CH8" s="595"/>
      <c r="CI8" s="595"/>
      <c r="CJ8" s="595"/>
      <c r="CK8" s="596"/>
      <c r="CL8" s="595"/>
      <c r="CM8" s="596"/>
      <c r="CN8" s="596"/>
      <c r="CO8" s="595"/>
      <c r="CP8" s="596"/>
      <c r="CQ8" s="596"/>
      <c r="CR8" s="595"/>
      <c r="CS8" s="596"/>
      <c r="CT8" s="597"/>
      <c r="CU8" s="595"/>
      <c r="CW8" s="598"/>
      <c r="CY8" s="598"/>
      <c r="CZ8" s="599"/>
      <c r="DA8" s="596"/>
    </row>
    <row r="9" spans="1:105" s="585" customFormat="1">
      <c r="A9" s="602" t="s">
        <v>224</v>
      </c>
      <c r="B9" s="587"/>
      <c r="C9" s="591"/>
      <c r="D9" s="600"/>
      <c r="E9" s="601"/>
      <c r="F9" s="593"/>
      <c r="G9" s="588"/>
      <c r="H9" s="593"/>
      <c r="I9" s="604"/>
      <c r="J9" s="604"/>
      <c r="K9" s="604"/>
      <c r="L9" s="604"/>
      <c r="M9" s="604"/>
      <c r="AK9" s="595"/>
      <c r="AL9" s="595"/>
      <c r="AM9" s="595"/>
      <c r="AN9" s="595"/>
      <c r="AO9" s="595"/>
      <c r="AP9" s="595"/>
      <c r="AQ9" s="595"/>
      <c r="AR9" s="595"/>
      <c r="AS9" s="595"/>
      <c r="AT9" s="595"/>
      <c r="AU9" s="596"/>
      <c r="AV9" s="595"/>
      <c r="AW9" s="596"/>
      <c r="AX9" s="596"/>
      <c r="AY9" s="595"/>
      <c r="AZ9" s="596"/>
      <c r="BA9" s="596"/>
      <c r="BB9" s="595"/>
      <c r="BC9" s="596"/>
      <c r="BD9" s="597"/>
      <c r="BE9" s="595"/>
      <c r="BG9" s="598"/>
      <c r="BI9" s="598"/>
      <c r="BJ9" s="599"/>
      <c r="BK9" s="596"/>
      <c r="BN9" s="596"/>
      <c r="BO9" s="595"/>
      <c r="BQ9" s="596"/>
      <c r="BR9" s="595"/>
      <c r="BS9" s="595"/>
      <c r="BT9" s="596"/>
      <c r="BU9" s="595"/>
      <c r="BW9" s="597"/>
      <c r="BX9" s="595"/>
      <c r="CA9" s="595"/>
      <c r="CB9" s="595"/>
      <c r="CC9" s="595"/>
      <c r="CD9" s="595"/>
      <c r="CE9" s="595"/>
      <c r="CF9" s="595"/>
      <c r="CG9" s="595"/>
      <c r="CH9" s="595"/>
      <c r="CI9" s="595"/>
      <c r="CJ9" s="595"/>
      <c r="CK9" s="596"/>
      <c r="CL9" s="595"/>
      <c r="CM9" s="596"/>
      <c r="CN9" s="596"/>
      <c r="CO9" s="595"/>
      <c r="CP9" s="596"/>
      <c r="CQ9" s="596"/>
      <c r="CR9" s="595"/>
      <c r="CS9" s="596"/>
      <c r="CT9" s="597"/>
      <c r="CU9" s="595"/>
      <c r="CW9" s="598"/>
      <c r="CY9" s="598"/>
      <c r="CZ9" s="599"/>
      <c r="DA9" s="596"/>
    </row>
    <row r="10" spans="1:105" s="585" customFormat="1">
      <c r="A10" s="606" t="s">
        <v>203</v>
      </c>
      <c r="B10" s="603"/>
      <c r="C10" s="591"/>
      <c r="D10" s="600"/>
      <c r="E10" s="601"/>
      <c r="F10" s="593"/>
      <c r="G10" s="607"/>
      <c r="H10" s="593"/>
      <c r="I10" s="604"/>
      <c r="J10" s="604"/>
      <c r="K10" s="604"/>
      <c r="L10" s="604"/>
      <c r="M10" s="604"/>
      <c r="AK10" s="595"/>
      <c r="AL10" s="595"/>
      <c r="AM10" s="595"/>
      <c r="AN10" s="595"/>
      <c r="AO10" s="595"/>
      <c r="AP10" s="595"/>
      <c r="AQ10" s="595"/>
      <c r="AR10" s="595"/>
      <c r="AS10" s="595"/>
      <c r="AT10" s="595"/>
      <c r="AU10" s="596"/>
      <c r="AV10" s="595"/>
      <c r="AW10" s="596"/>
      <c r="AX10" s="596"/>
      <c r="AY10" s="595"/>
      <c r="AZ10" s="596"/>
      <c r="BA10" s="596"/>
      <c r="BB10" s="595"/>
      <c r="BC10" s="596"/>
      <c r="BD10" s="597"/>
      <c r="BE10" s="595"/>
      <c r="BG10" s="598"/>
      <c r="BI10" s="598"/>
      <c r="BJ10" s="599"/>
      <c r="BK10" s="596"/>
      <c r="BN10" s="596"/>
      <c r="BO10" s="595"/>
      <c r="BQ10" s="596"/>
      <c r="BR10" s="595"/>
      <c r="BS10" s="595"/>
      <c r="BT10" s="596"/>
      <c r="BU10" s="595"/>
      <c r="BW10" s="597"/>
      <c r="BX10" s="595"/>
      <c r="CA10" s="595"/>
      <c r="CB10" s="595"/>
      <c r="CC10" s="595"/>
      <c r="CD10" s="595"/>
      <c r="CE10" s="595"/>
      <c r="CF10" s="595"/>
      <c r="CG10" s="595"/>
      <c r="CH10" s="595"/>
      <c r="CI10" s="595"/>
      <c r="CJ10" s="595"/>
      <c r="CK10" s="596"/>
      <c r="CL10" s="595"/>
      <c r="CM10" s="596"/>
      <c r="CN10" s="596"/>
      <c r="CO10" s="595"/>
      <c r="CP10" s="596"/>
      <c r="CQ10" s="596"/>
      <c r="CR10" s="595"/>
      <c r="CS10" s="596"/>
      <c r="CT10" s="597"/>
      <c r="CU10" s="595"/>
      <c r="CW10" s="598"/>
      <c r="CY10" s="598"/>
      <c r="CZ10" s="599"/>
      <c r="DA10" s="596"/>
    </row>
    <row r="11" spans="1:105" s="585" customFormat="1">
      <c r="A11" s="1423"/>
      <c r="B11" s="603"/>
      <c r="C11" s="591"/>
      <c r="D11" s="600"/>
      <c r="E11" s="601"/>
      <c r="F11" s="593"/>
      <c r="G11" s="607"/>
      <c r="H11" s="593"/>
      <c r="I11" s="604"/>
      <c r="J11" s="604"/>
      <c r="K11" s="604"/>
      <c r="L11" s="604"/>
      <c r="M11" s="604"/>
      <c r="AK11" s="595"/>
      <c r="AL11" s="595"/>
      <c r="AM11" s="595"/>
      <c r="AN11" s="595"/>
      <c r="AO11" s="595"/>
      <c r="AP11" s="595"/>
      <c r="AQ11" s="595"/>
      <c r="AR11" s="595"/>
      <c r="AS11" s="595"/>
      <c r="AT11" s="595"/>
      <c r="AU11" s="596"/>
      <c r="AV11" s="595"/>
      <c r="AW11" s="596"/>
      <c r="AX11" s="596"/>
      <c r="AY11" s="595"/>
      <c r="AZ11" s="596"/>
      <c r="BA11" s="596"/>
      <c r="BB11" s="595"/>
      <c r="BC11" s="596"/>
      <c r="BD11" s="597"/>
      <c r="BE11" s="595"/>
      <c r="BG11" s="598"/>
      <c r="BI11" s="598"/>
      <c r="BJ11" s="599"/>
      <c r="BK11" s="596"/>
      <c r="BN11" s="596"/>
      <c r="BO11" s="595"/>
      <c r="BQ11" s="596"/>
      <c r="BR11" s="595"/>
      <c r="BS11" s="595"/>
      <c r="BT11" s="596"/>
      <c r="BU11" s="595"/>
      <c r="BW11" s="597"/>
      <c r="BX11" s="595"/>
      <c r="CA11" s="595"/>
      <c r="CB11" s="595"/>
      <c r="CC11" s="595"/>
      <c r="CD11" s="595"/>
      <c r="CE11" s="595"/>
      <c r="CF11" s="595"/>
      <c r="CG11" s="595"/>
      <c r="CH11" s="595"/>
      <c r="CI11" s="595"/>
      <c r="CJ11" s="595"/>
      <c r="CK11" s="596"/>
      <c r="CL11" s="595"/>
      <c r="CM11" s="596"/>
      <c r="CN11" s="596"/>
      <c r="CO11" s="595"/>
      <c r="CP11" s="596"/>
      <c r="CQ11" s="596"/>
      <c r="CR11" s="595"/>
      <c r="CS11" s="596"/>
      <c r="CT11" s="597"/>
      <c r="CU11" s="595"/>
      <c r="CW11" s="598"/>
      <c r="CY11" s="598"/>
      <c r="CZ11" s="599"/>
      <c r="DA11" s="596"/>
    </row>
    <row r="12" spans="1:105" s="585" customFormat="1">
      <c r="A12" s="608" t="s">
        <v>502</v>
      </c>
      <c r="B12" s="603"/>
      <c r="C12" s="591"/>
      <c r="D12" s="600"/>
      <c r="E12" s="601"/>
      <c r="F12" s="593"/>
      <c r="G12" s="607"/>
      <c r="H12" s="593"/>
      <c r="I12" s="604"/>
      <c r="J12" s="604"/>
      <c r="K12" s="604"/>
      <c r="L12" s="604"/>
      <c r="M12" s="604"/>
      <c r="AK12" s="595">
        <v>5000</v>
      </c>
      <c r="AL12" s="595"/>
      <c r="AM12" s="595"/>
      <c r="AN12" s="595">
        <f t="shared" si="4"/>
        <v>5000</v>
      </c>
      <c r="AO12" s="595"/>
      <c r="AP12" s="595"/>
      <c r="AQ12" s="595">
        <f t="shared" si="5"/>
        <v>10000</v>
      </c>
      <c r="AR12" s="595"/>
      <c r="AS12" s="595"/>
      <c r="AT12" s="595">
        <f t="shared" si="6"/>
        <v>10000</v>
      </c>
      <c r="AU12" s="596" t="e">
        <f>IF(AK12&lt;=#REF!,#REF!,IF(AK12&lt;=#REF!,#REF!,IF(AK12&lt;=#REF!,#REF!,IF(AK12&lt;=#REF!,#REF!,IF(AK12&lt;=#REF!,#REF!,IF(AK12&lt;=#REF!,#REF!,IF(AK12&lt;=#REF!,#REF!,0.05)))))))</f>
        <v>#REF!</v>
      </c>
      <c r="AV12" s="595" t="e">
        <f t="shared" si="7"/>
        <v>#REF!</v>
      </c>
      <c r="AW12" s="596"/>
      <c r="AX12" s="596" t="e">
        <f>IF(AN12&lt;=#REF!,#REF!,IF(AN12&lt;=#REF!,#REF!,IF(AN12&lt;=#REF!,#REF!,IF(AN12&lt;=#REF!,#REF!,IF(AN12&lt;=#REF!,#REF!,IF(AN12&lt;=#REF!,#REF!,IF(AN12&lt;=#REF!,#REF!,0.05)))))))</f>
        <v>#REF!</v>
      </c>
      <c r="AY12" s="595" t="e">
        <f t="shared" si="8"/>
        <v>#REF!</v>
      </c>
      <c r="AZ12" s="596"/>
      <c r="BA12" s="596" t="e">
        <f>IF(AQ12&lt;=#REF!,#REF!,IF(AQ12&lt;=#REF!,#REF!,IF(AQ12&lt;=#REF!,#REF!,IF(AQ12&lt;=#REF!,#REF!,IF(AQ12&lt;=#REF!,#REF!,IF(AQ12&lt;=#REF!,#REF!,IF(AQ12&lt;=#REF!,#REF!,0.05)))))))</f>
        <v>#REF!</v>
      </c>
      <c r="BB12" s="595" t="e">
        <f t="shared" si="9"/>
        <v>#REF!</v>
      </c>
      <c r="BC12" s="596"/>
      <c r="BD12" s="597" t="e">
        <f>IF(AT12&lt;=#REF!,#REF!,IF(AT12&lt;=#REF!,#REF!,IF(AT12&lt;=#REF!,#REF!,IF(AT12&lt;=#REF!,#REF!,IF(AT12&lt;=#REF!,#REF!,IF(AT12&lt;=#REF!,#REF!,IF(AT12&lt;=#REF!,#REF!,0.05)))))))</f>
        <v>#REF!</v>
      </c>
      <c r="BE12" s="595" t="e">
        <f t="shared" si="10"/>
        <v>#REF!</v>
      </c>
      <c r="BG12" s="598" t="e">
        <f t="shared" si="11"/>
        <v>#REF!</v>
      </c>
      <c r="BI12" s="598" t="e">
        <f t="shared" si="12"/>
        <v>#REF!</v>
      </c>
      <c r="BJ12" s="599" t="e">
        <f t="shared" si="13"/>
        <v>#REF!</v>
      </c>
      <c r="BK12" s="596" t="e">
        <f t="shared" si="14"/>
        <v>#REF!</v>
      </c>
      <c r="BN12" s="596">
        <v>0.05</v>
      </c>
      <c r="BO12" s="595">
        <v>1000000000</v>
      </c>
      <c r="BQ12" s="596">
        <v>0.05</v>
      </c>
      <c r="BR12" s="595">
        <v>10000</v>
      </c>
      <c r="BS12" s="595"/>
      <c r="BT12" s="596">
        <v>0.18</v>
      </c>
      <c r="BU12" s="595">
        <v>1000000000</v>
      </c>
      <c r="BW12" s="597">
        <v>-5.5E-2</v>
      </c>
      <c r="BX12" s="595">
        <v>44000</v>
      </c>
      <c r="CA12" s="595">
        <v>5000</v>
      </c>
      <c r="CB12" s="595"/>
      <c r="CC12" s="595"/>
      <c r="CD12" s="595">
        <f t="shared" si="15"/>
        <v>5000</v>
      </c>
      <c r="CE12" s="595"/>
      <c r="CF12" s="595"/>
      <c r="CG12" s="595">
        <f t="shared" si="16"/>
        <v>10000</v>
      </c>
      <c r="CH12" s="595"/>
      <c r="CI12" s="595"/>
      <c r="CJ12" s="595">
        <f t="shared" si="17"/>
        <v>10000</v>
      </c>
      <c r="CK12" s="596">
        <f t="shared" si="0"/>
        <v>0.1</v>
      </c>
      <c r="CL12" s="595">
        <f t="shared" si="18"/>
        <v>500</v>
      </c>
      <c r="CM12" s="596"/>
      <c r="CN12" s="596">
        <f t="shared" si="1"/>
        <v>0.1</v>
      </c>
      <c r="CO12" s="595">
        <f t="shared" si="19"/>
        <v>500</v>
      </c>
      <c r="CP12" s="596"/>
      <c r="CQ12" s="596">
        <f t="shared" si="2"/>
        <v>0.24</v>
      </c>
      <c r="CR12" s="595">
        <f t="shared" si="20"/>
        <v>2640</v>
      </c>
      <c r="CS12" s="596"/>
      <c r="CT12" s="597">
        <f t="shared" si="3"/>
        <v>-0.04</v>
      </c>
      <c r="CU12" s="595">
        <f t="shared" si="21"/>
        <v>-400</v>
      </c>
      <c r="CW12" s="598">
        <f t="shared" si="22"/>
        <v>926.80000000000007</v>
      </c>
      <c r="CY12" s="598">
        <f t="shared" si="23"/>
        <v>14166.8</v>
      </c>
      <c r="CZ12" s="599">
        <f t="shared" si="24"/>
        <v>3240</v>
      </c>
      <c r="DA12" s="596">
        <f t="shared" si="25"/>
        <v>0.22870372984724852</v>
      </c>
    </row>
    <row r="13" spans="1:105" s="585" customFormat="1">
      <c r="A13" s="608" t="s">
        <v>468</v>
      </c>
      <c r="B13" s="603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604"/>
      <c r="AK13" s="595">
        <v>6000</v>
      </c>
      <c r="AL13" s="595"/>
      <c r="AM13" s="595"/>
      <c r="AN13" s="595">
        <f t="shared" si="4"/>
        <v>6000</v>
      </c>
      <c r="AO13" s="595"/>
      <c r="AP13" s="595"/>
      <c r="AQ13" s="595">
        <f t="shared" si="5"/>
        <v>12000</v>
      </c>
      <c r="AR13" s="595"/>
      <c r="AS13" s="595"/>
      <c r="AT13" s="595">
        <f t="shared" si="6"/>
        <v>12000</v>
      </c>
      <c r="AU13" s="596" t="e">
        <f>IF(AK13&lt;=#REF!,#REF!,IF(AK13&lt;=#REF!,#REF!,IF(AK13&lt;=#REF!,#REF!,IF(AK13&lt;=#REF!,#REF!,IF(AK13&lt;=#REF!,#REF!,IF(AK13&lt;=#REF!,#REF!,IF(AK13&lt;=#REF!,#REF!,0.05)))))))</f>
        <v>#REF!</v>
      </c>
      <c r="AV13" s="595" t="e">
        <f t="shared" si="7"/>
        <v>#REF!</v>
      </c>
      <c r="AW13" s="596"/>
      <c r="AX13" s="596" t="e">
        <f>IF(AN13&lt;=#REF!,#REF!,IF(AN13&lt;=#REF!,#REF!,IF(AN13&lt;=#REF!,#REF!,IF(AN13&lt;=#REF!,#REF!,IF(AN13&lt;=#REF!,#REF!,IF(AN13&lt;=#REF!,#REF!,IF(AN13&lt;=#REF!,#REF!,0.05)))))))</f>
        <v>#REF!</v>
      </c>
      <c r="AY13" s="595" t="e">
        <f t="shared" si="8"/>
        <v>#REF!</v>
      </c>
      <c r="AZ13" s="596"/>
      <c r="BA13" s="596" t="e">
        <f>IF(AQ13&lt;=#REF!,#REF!,IF(AQ13&lt;=#REF!,#REF!,IF(AQ13&lt;=#REF!,#REF!,IF(AQ13&lt;=#REF!,#REF!,IF(AQ13&lt;=#REF!,#REF!,IF(AQ13&lt;=#REF!,#REF!,IF(AQ13&lt;=#REF!,#REF!,0.05)))))))</f>
        <v>#REF!</v>
      </c>
      <c r="BB13" s="595" t="e">
        <f t="shared" si="9"/>
        <v>#REF!</v>
      </c>
      <c r="BC13" s="596"/>
      <c r="BD13" s="597" t="e">
        <f>IF(AT13&lt;=#REF!,#REF!,IF(AT13&lt;=#REF!,#REF!,IF(AT13&lt;=#REF!,#REF!,IF(AT13&lt;=#REF!,#REF!,IF(AT13&lt;=#REF!,#REF!,IF(AT13&lt;=#REF!,#REF!,IF(AT13&lt;=#REF!,#REF!,0.05)))))))</f>
        <v>#REF!</v>
      </c>
      <c r="BE13" s="595" t="e">
        <f t="shared" si="10"/>
        <v>#REF!</v>
      </c>
      <c r="BG13" s="598" t="e">
        <f t="shared" si="11"/>
        <v>#REF!</v>
      </c>
      <c r="BI13" s="598" t="e">
        <f t="shared" si="12"/>
        <v>#REF!</v>
      </c>
      <c r="BJ13" s="599" t="e">
        <f t="shared" si="13"/>
        <v>#REF!</v>
      </c>
      <c r="BK13" s="596" t="e">
        <f t="shared" si="14"/>
        <v>#REF!</v>
      </c>
      <c r="BN13" s="596">
        <v>0.05</v>
      </c>
      <c r="BO13" s="595">
        <v>1000000000</v>
      </c>
      <c r="BQ13" s="596">
        <v>0.03</v>
      </c>
      <c r="BR13" s="595">
        <v>1000000000</v>
      </c>
      <c r="BS13" s="595"/>
      <c r="BT13" s="596">
        <v>0.18</v>
      </c>
      <c r="BU13" s="595">
        <v>1000000000</v>
      </c>
      <c r="BW13" s="597">
        <v>-0.06</v>
      </c>
      <c r="BX13" s="595">
        <v>1000000000</v>
      </c>
      <c r="CA13" s="595">
        <v>6000</v>
      </c>
      <c r="CB13" s="595"/>
      <c r="CC13" s="595"/>
      <c r="CD13" s="595">
        <f t="shared" si="15"/>
        <v>6000</v>
      </c>
      <c r="CE13" s="595"/>
      <c r="CF13" s="595"/>
      <c r="CG13" s="595">
        <f t="shared" si="16"/>
        <v>12000</v>
      </c>
      <c r="CH13" s="595"/>
      <c r="CI13" s="595"/>
      <c r="CJ13" s="595">
        <f t="shared" si="17"/>
        <v>12000</v>
      </c>
      <c r="CK13" s="596">
        <f t="shared" si="0"/>
        <v>0.05</v>
      </c>
      <c r="CL13" s="595">
        <f t="shared" si="18"/>
        <v>300</v>
      </c>
      <c r="CM13" s="596"/>
      <c r="CN13" s="596">
        <f t="shared" si="1"/>
        <v>0.1</v>
      </c>
      <c r="CO13" s="595">
        <f t="shared" si="19"/>
        <v>600</v>
      </c>
      <c r="CP13" s="596"/>
      <c r="CQ13" s="596">
        <f t="shared" si="2"/>
        <v>0.24</v>
      </c>
      <c r="CR13" s="595">
        <f t="shared" si="20"/>
        <v>3096</v>
      </c>
      <c r="CS13" s="596"/>
      <c r="CT13" s="597">
        <f t="shared" si="3"/>
        <v>-0.04</v>
      </c>
      <c r="CU13" s="595">
        <f t="shared" si="21"/>
        <v>-480</v>
      </c>
      <c r="CW13" s="598">
        <f t="shared" si="22"/>
        <v>1086.1200000000001</v>
      </c>
      <c r="CY13" s="598">
        <f t="shared" si="23"/>
        <v>16602.12</v>
      </c>
      <c r="CZ13" s="599">
        <f t="shared" si="24"/>
        <v>3516</v>
      </c>
      <c r="DA13" s="596">
        <f t="shared" si="25"/>
        <v>0.21178018228997261</v>
      </c>
    </row>
    <row r="14" spans="1:105" s="585" customFormat="1">
      <c r="A14" s="608" t="s">
        <v>1140</v>
      </c>
      <c r="B14" s="600"/>
      <c r="C14" s="591"/>
      <c r="D14" s="600"/>
      <c r="E14" s="609"/>
      <c r="F14" s="593"/>
      <c r="G14" s="607"/>
      <c r="H14" s="593"/>
      <c r="I14" s="604"/>
      <c r="J14" s="604"/>
      <c r="K14" s="604"/>
      <c r="L14" s="604"/>
      <c r="M14" s="604"/>
      <c r="AK14" s="595">
        <v>7000</v>
      </c>
      <c r="AL14" s="595"/>
      <c r="AM14" s="595"/>
      <c r="AN14" s="595">
        <f t="shared" si="4"/>
        <v>7000</v>
      </c>
      <c r="AO14" s="595"/>
      <c r="AP14" s="595"/>
      <c r="AQ14" s="595">
        <f t="shared" si="5"/>
        <v>14000</v>
      </c>
      <c r="AR14" s="595"/>
      <c r="AS14" s="595"/>
      <c r="AT14" s="595">
        <f t="shared" si="6"/>
        <v>14000</v>
      </c>
      <c r="AU14" s="596" t="e">
        <f>IF(AK14&lt;=#REF!,#REF!,IF(AK14&lt;=#REF!,#REF!,IF(AK14&lt;=#REF!,#REF!,IF(AK14&lt;=#REF!,#REF!,IF(AK14&lt;=#REF!,#REF!,IF(AK14&lt;=#REF!,#REF!,IF(AK14&lt;=#REF!,#REF!,0.05)))))))</f>
        <v>#REF!</v>
      </c>
      <c r="AV14" s="595" t="e">
        <f t="shared" si="7"/>
        <v>#REF!</v>
      </c>
      <c r="AW14" s="596"/>
      <c r="AX14" s="596" t="e">
        <f>IF(AN14&lt;=#REF!,#REF!,IF(AN14&lt;=#REF!,#REF!,IF(AN14&lt;=#REF!,#REF!,IF(AN14&lt;=#REF!,#REF!,IF(AN14&lt;=#REF!,#REF!,IF(AN14&lt;=#REF!,#REF!,IF(AN14&lt;=#REF!,#REF!,0.05)))))))</f>
        <v>#REF!</v>
      </c>
      <c r="AY14" s="595" t="e">
        <f t="shared" si="8"/>
        <v>#REF!</v>
      </c>
      <c r="AZ14" s="596"/>
      <c r="BA14" s="596" t="e">
        <f>IF(AQ14&lt;=#REF!,#REF!,IF(AQ14&lt;=#REF!,#REF!,IF(AQ14&lt;=#REF!,#REF!,IF(AQ14&lt;=#REF!,#REF!,IF(AQ14&lt;=#REF!,#REF!,IF(AQ14&lt;=#REF!,#REF!,IF(AQ14&lt;=#REF!,#REF!,0.05)))))))</f>
        <v>#REF!</v>
      </c>
      <c r="BB14" s="595" t="e">
        <f t="shared" si="9"/>
        <v>#REF!</v>
      </c>
      <c r="BC14" s="596"/>
      <c r="BD14" s="597" t="e">
        <f>IF(AT14&lt;=#REF!,#REF!,IF(AT14&lt;=#REF!,#REF!,IF(AT14&lt;=#REF!,#REF!,IF(AT14&lt;=#REF!,#REF!,IF(AT14&lt;=#REF!,#REF!,IF(AT14&lt;=#REF!,#REF!,IF(AT14&lt;=#REF!,#REF!,0.05)))))))</f>
        <v>#REF!</v>
      </c>
      <c r="BE14" s="595" t="e">
        <f t="shared" si="10"/>
        <v>#REF!</v>
      </c>
      <c r="BG14" s="598" t="e">
        <f t="shared" si="11"/>
        <v>#REF!</v>
      </c>
      <c r="BI14" s="598" t="e">
        <f t="shared" si="12"/>
        <v>#REF!</v>
      </c>
      <c r="BJ14" s="599" t="e">
        <f t="shared" si="13"/>
        <v>#REF!</v>
      </c>
      <c r="BK14" s="596" t="e">
        <f t="shared" si="14"/>
        <v>#REF!</v>
      </c>
      <c r="BN14" s="596">
        <v>0.05</v>
      </c>
      <c r="BO14" s="595">
        <v>1000000000</v>
      </c>
      <c r="BQ14" s="596">
        <v>0.03</v>
      </c>
      <c r="BR14" s="595">
        <v>1000000000</v>
      </c>
      <c r="BS14" s="595"/>
      <c r="BT14" s="596">
        <v>0.18</v>
      </c>
      <c r="BU14" s="595">
        <v>1000000000</v>
      </c>
      <c r="BW14" s="597">
        <v>0</v>
      </c>
      <c r="BX14" s="595">
        <v>1000000000</v>
      </c>
      <c r="CA14" s="595">
        <v>7000</v>
      </c>
      <c r="CB14" s="595"/>
      <c r="CC14" s="595"/>
      <c r="CD14" s="595">
        <f t="shared" si="15"/>
        <v>7000</v>
      </c>
      <c r="CE14" s="595"/>
      <c r="CF14" s="595"/>
      <c r="CG14" s="595">
        <f t="shared" si="16"/>
        <v>14000</v>
      </c>
      <c r="CH14" s="595"/>
      <c r="CI14" s="595"/>
      <c r="CJ14" s="595">
        <f t="shared" si="17"/>
        <v>14000</v>
      </c>
      <c r="CK14" s="596">
        <f t="shared" si="0"/>
        <v>0.05</v>
      </c>
      <c r="CL14" s="595">
        <f t="shared" si="18"/>
        <v>350</v>
      </c>
      <c r="CM14" s="596"/>
      <c r="CN14" s="596">
        <f t="shared" si="1"/>
        <v>0.1</v>
      </c>
      <c r="CO14" s="595">
        <f t="shared" si="19"/>
        <v>700</v>
      </c>
      <c r="CP14" s="596"/>
      <c r="CQ14" s="596">
        <f t="shared" si="2"/>
        <v>0.24</v>
      </c>
      <c r="CR14" s="595">
        <f t="shared" si="20"/>
        <v>3612</v>
      </c>
      <c r="CS14" s="596"/>
      <c r="CT14" s="597">
        <f t="shared" si="3"/>
        <v>-0.04</v>
      </c>
      <c r="CU14" s="595">
        <f t="shared" si="21"/>
        <v>-560</v>
      </c>
      <c r="CW14" s="598">
        <f t="shared" si="22"/>
        <v>1267.1400000000001</v>
      </c>
      <c r="CY14" s="598">
        <f t="shared" si="23"/>
        <v>19369.14</v>
      </c>
      <c r="CZ14" s="599">
        <f t="shared" si="24"/>
        <v>4102</v>
      </c>
      <c r="DA14" s="596">
        <f t="shared" si="25"/>
        <v>0.21178018228997261</v>
      </c>
    </row>
    <row r="15" spans="1:105" s="585" customFormat="1" ht="16.2" thickBot="1">
      <c r="A15" s="608"/>
      <c r="B15" s="600"/>
      <c r="C15" s="591"/>
      <c r="D15" s="600"/>
      <c r="E15" s="609"/>
      <c r="F15" s="593"/>
      <c r="G15" s="610"/>
      <c r="H15" s="593"/>
      <c r="I15" s="605"/>
      <c r="J15" s="604"/>
      <c r="K15" s="604"/>
      <c r="L15" s="611"/>
      <c r="M15" s="611"/>
      <c r="AK15" s="595">
        <v>8000</v>
      </c>
      <c r="AL15" s="595"/>
      <c r="AM15" s="595"/>
      <c r="AN15" s="595">
        <f t="shared" si="4"/>
        <v>8000</v>
      </c>
      <c r="AO15" s="595"/>
      <c r="AP15" s="595"/>
      <c r="AQ15" s="595">
        <f t="shared" si="5"/>
        <v>16000</v>
      </c>
      <c r="AR15" s="595"/>
      <c r="AS15" s="595"/>
      <c r="AT15" s="595">
        <f t="shared" si="6"/>
        <v>16000</v>
      </c>
      <c r="AU15" s="596" t="e">
        <f>IF(AK15&lt;=#REF!,#REF!,IF(AK15&lt;=#REF!,#REF!,IF(AK15&lt;=#REF!,#REF!,IF(AK15&lt;=#REF!,#REF!,IF(AK15&lt;=#REF!,#REF!,IF(AK15&lt;=#REF!,#REF!,IF(AK15&lt;=#REF!,#REF!,0.05)))))))</f>
        <v>#REF!</v>
      </c>
      <c r="AV15" s="595" t="e">
        <f t="shared" si="7"/>
        <v>#REF!</v>
      </c>
      <c r="AW15" s="596"/>
      <c r="AX15" s="596" t="e">
        <f>IF(AN15&lt;=#REF!,#REF!,IF(AN15&lt;=#REF!,#REF!,IF(AN15&lt;=#REF!,#REF!,IF(AN15&lt;=#REF!,#REF!,IF(AN15&lt;=#REF!,#REF!,IF(AN15&lt;=#REF!,#REF!,IF(AN15&lt;=#REF!,#REF!,0.05)))))))</f>
        <v>#REF!</v>
      </c>
      <c r="AY15" s="595" t="e">
        <f t="shared" si="8"/>
        <v>#REF!</v>
      </c>
      <c r="AZ15" s="596"/>
      <c r="BA15" s="596" t="e">
        <f>IF(AQ15&lt;=#REF!,#REF!,IF(AQ15&lt;=#REF!,#REF!,IF(AQ15&lt;=#REF!,#REF!,IF(AQ15&lt;=#REF!,#REF!,IF(AQ15&lt;=#REF!,#REF!,IF(AQ15&lt;=#REF!,#REF!,IF(AQ15&lt;=#REF!,#REF!,0.05)))))))</f>
        <v>#REF!</v>
      </c>
      <c r="BB15" s="595" t="e">
        <f t="shared" si="9"/>
        <v>#REF!</v>
      </c>
      <c r="BC15" s="596"/>
      <c r="BD15" s="597" t="e">
        <f>IF(AT15&lt;=#REF!,#REF!,IF(AT15&lt;=#REF!,#REF!,IF(AT15&lt;=#REF!,#REF!,IF(AT15&lt;=#REF!,#REF!,IF(AT15&lt;=#REF!,#REF!,IF(AT15&lt;=#REF!,#REF!,IF(AT15&lt;=#REF!,#REF!,0.05)))))))</f>
        <v>#REF!</v>
      </c>
      <c r="BE15" s="595" t="e">
        <f t="shared" si="10"/>
        <v>#REF!</v>
      </c>
      <c r="BG15" s="598" t="e">
        <f t="shared" si="11"/>
        <v>#REF!</v>
      </c>
      <c r="BI15" s="598" t="e">
        <f t="shared" si="12"/>
        <v>#REF!</v>
      </c>
      <c r="BJ15" s="599" t="e">
        <f t="shared" si="13"/>
        <v>#REF!</v>
      </c>
      <c r="BK15" s="596" t="e">
        <f t="shared" si="14"/>
        <v>#REF!</v>
      </c>
      <c r="CA15" s="595">
        <v>8000</v>
      </c>
      <c r="CB15" s="595"/>
      <c r="CC15" s="595"/>
      <c r="CD15" s="595">
        <f t="shared" si="15"/>
        <v>8000</v>
      </c>
      <c r="CE15" s="595"/>
      <c r="CF15" s="595"/>
      <c r="CG15" s="595">
        <f t="shared" si="16"/>
        <v>16000</v>
      </c>
      <c r="CH15" s="595"/>
      <c r="CI15" s="595"/>
      <c r="CJ15" s="595">
        <f t="shared" si="17"/>
        <v>16000</v>
      </c>
      <c r="CK15" s="596">
        <f t="shared" si="0"/>
        <v>0.05</v>
      </c>
      <c r="CL15" s="595">
        <f t="shared" si="18"/>
        <v>400</v>
      </c>
      <c r="CM15" s="596"/>
      <c r="CN15" s="596">
        <f t="shared" si="1"/>
        <v>0.05</v>
      </c>
      <c r="CO15" s="595">
        <f t="shared" si="19"/>
        <v>400</v>
      </c>
      <c r="CP15" s="596"/>
      <c r="CQ15" s="596">
        <f t="shared" si="2"/>
        <v>0.22</v>
      </c>
      <c r="CR15" s="595">
        <f t="shared" si="20"/>
        <v>3696</v>
      </c>
      <c r="CS15" s="596"/>
      <c r="CT15" s="597">
        <f t="shared" si="3"/>
        <v>-0.05</v>
      </c>
      <c r="CU15" s="595">
        <f t="shared" si="21"/>
        <v>-800</v>
      </c>
      <c r="CW15" s="598">
        <f t="shared" si="22"/>
        <v>1378.72</v>
      </c>
      <c r="CY15" s="598">
        <f t="shared" si="23"/>
        <v>21074.720000000001</v>
      </c>
      <c r="CZ15" s="599">
        <f t="shared" si="24"/>
        <v>3696</v>
      </c>
      <c r="DA15" s="596">
        <f t="shared" si="25"/>
        <v>0.17537599550551561</v>
      </c>
    </row>
    <row r="16" spans="1:105" s="585" customFormat="1" ht="16.2" thickBot="1">
      <c r="A16" s="612" t="s">
        <v>60</v>
      </c>
      <c r="B16" s="613">
        <f>D88</f>
        <v>11029</v>
      </c>
      <c r="C16" s="614" t="s">
        <v>61</v>
      </c>
      <c r="D16" s="615" t="e">
        <f>C88</f>
        <v>#DIV/0!</v>
      </c>
      <c r="E16" s="593"/>
      <c r="F16" s="593"/>
      <c r="G16" s="610"/>
      <c r="H16" s="593"/>
      <c r="I16" s="605"/>
      <c r="J16" s="604"/>
      <c r="K16" s="604"/>
      <c r="M16" s="605"/>
      <c r="N16" s="600"/>
      <c r="O16" s="600"/>
      <c r="P16" s="600"/>
      <c r="AK16" s="595">
        <v>9000</v>
      </c>
      <c r="AL16" s="595"/>
      <c r="AM16" s="595"/>
      <c r="AN16" s="595">
        <f t="shared" si="4"/>
        <v>9000</v>
      </c>
      <c r="AO16" s="595"/>
      <c r="AP16" s="595"/>
      <c r="AQ16" s="595">
        <f t="shared" si="5"/>
        <v>18000</v>
      </c>
      <c r="AR16" s="595"/>
      <c r="AS16" s="595"/>
      <c r="AT16" s="595">
        <f t="shared" si="6"/>
        <v>18000</v>
      </c>
      <c r="AU16" s="596" t="e">
        <f>IF(AK16&lt;=#REF!,#REF!,IF(AK16&lt;=#REF!,#REF!,IF(AK16&lt;=#REF!,#REF!,IF(AK16&lt;=#REF!,#REF!,IF(AK16&lt;=#REF!,#REF!,IF(AK16&lt;=#REF!,#REF!,IF(AK16&lt;=#REF!,#REF!,0.05)))))))</f>
        <v>#REF!</v>
      </c>
      <c r="AV16" s="595" t="e">
        <f t="shared" si="7"/>
        <v>#REF!</v>
      </c>
      <c r="AW16" s="596"/>
      <c r="AX16" s="596" t="e">
        <f>IF(AN16&lt;=#REF!,#REF!,IF(AN16&lt;=#REF!,#REF!,IF(AN16&lt;=#REF!,#REF!,IF(AN16&lt;=#REF!,#REF!,IF(AN16&lt;=#REF!,#REF!,IF(AN16&lt;=#REF!,#REF!,IF(AN16&lt;=#REF!,#REF!,0.05)))))))</f>
        <v>#REF!</v>
      </c>
      <c r="AY16" s="595" t="e">
        <f t="shared" si="8"/>
        <v>#REF!</v>
      </c>
      <c r="AZ16" s="596"/>
      <c r="BA16" s="596" t="e">
        <f>IF(AQ16&lt;=#REF!,#REF!,IF(AQ16&lt;=#REF!,#REF!,IF(AQ16&lt;=#REF!,#REF!,IF(AQ16&lt;=#REF!,#REF!,IF(AQ16&lt;=#REF!,#REF!,IF(AQ16&lt;=#REF!,#REF!,IF(AQ16&lt;=#REF!,#REF!,0.05)))))))</f>
        <v>#REF!</v>
      </c>
      <c r="BB16" s="595" t="e">
        <f t="shared" si="9"/>
        <v>#REF!</v>
      </c>
      <c r="BC16" s="596"/>
      <c r="BD16" s="597" t="e">
        <f>IF(AT16&lt;=#REF!,#REF!,IF(AT16&lt;=#REF!,#REF!,IF(AT16&lt;=#REF!,#REF!,IF(AT16&lt;=#REF!,#REF!,IF(AT16&lt;=#REF!,#REF!,IF(AT16&lt;=#REF!,#REF!,IF(AT16&lt;=#REF!,#REF!,0.05)))))))</f>
        <v>#REF!</v>
      </c>
      <c r="BE16" s="595" t="e">
        <f t="shared" si="10"/>
        <v>#REF!</v>
      </c>
      <c r="BG16" s="598" t="e">
        <f t="shared" si="11"/>
        <v>#REF!</v>
      </c>
      <c r="BI16" s="598" t="e">
        <f t="shared" si="12"/>
        <v>#REF!</v>
      </c>
      <c r="BJ16" s="599" t="e">
        <f t="shared" si="13"/>
        <v>#REF!</v>
      </c>
      <c r="BK16" s="596" t="e">
        <f t="shared" si="14"/>
        <v>#REF!</v>
      </c>
      <c r="CA16" s="595">
        <v>9000</v>
      </c>
      <c r="CB16" s="595"/>
      <c r="CC16" s="595"/>
      <c r="CD16" s="595">
        <f t="shared" si="15"/>
        <v>9000</v>
      </c>
      <c r="CE16" s="595"/>
      <c r="CF16" s="595"/>
      <c r="CG16" s="595">
        <f t="shared" si="16"/>
        <v>18000</v>
      </c>
      <c r="CH16" s="595"/>
      <c r="CI16" s="595"/>
      <c r="CJ16" s="595">
        <f t="shared" si="17"/>
        <v>18000</v>
      </c>
      <c r="CK16" s="596">
        <f t="shared" si="0"/>
        <v>0.05</v>
      </c>
      <c r="CL16" s="595">
        <f t="shared" si="18"/>
        <v>450</v>
      </c>
      <c r="CM16" s="596"/>
      <c r="CN16" s="596">
        <f t="shared" si="1"/>
        <v>0.05</v>
      </c>
      <c r="CO16" s="595">
        <f t="shared" si="19"/>
        <v>450</v>
      </c>
      <c r="CP16" s="596"/>
      <c r="CQ16" s="596">
        <f t="shared" si="2"/>
        <v>0.22</v>
      </c>
      <c r="CR16" s="595">
        <f t="shared" si="20"/>
        <v>4158</v>
      </c>
      <c r="CS16" s="596"/>
      <c r="CT16" s="597">
        <f t="shared" si="3"/>
        <v>-0.05</v>
      </c>
      <c r="CU16" s="595">
        <f t="shared" si="21"/>
        <v>-900</v>
      </c>
      <c r="CW16" s="598">
        <f t="shared" si="22"/>
        <v>1551.0600000000002</v>
      </c>
      <c r="CY16" s="598">
        <f t="shared" si="23"/>
        <v>23709.06</v>
      </c>
      <c r="CZ16" s="599">
        <f t="shared" si="24"/>
        <v>4158</v>
      </c>
      <c r="DA16" s="596">
        <f t="shared" si="25"/>
        <v>0.17537599550551561</v>
      </c>
    </row>
    <row r="17" spans="1:117" s="585" customFormat="1">
      <c r="A17" s="616" t="s">
        <v>14</v>
      </c>
      <c r="B17" s="617" t="s">
        <v>11</v>
      </c>
      <c r="C17" s="617" t="s">
        <v>1</v>
      </c>
      <c r="D17" s="618" t="s">
        <v>2</v>
      </c>
      <c r="E17" s="600"/>
      <c r="F17" s="1729"/>
      <c r="G17" s="593"/>
      <c r="H17" s="621" t="s">
        <v>25</v>
      </c>
      <c r="I17" s="622" t="s">
        <v>906</v>
      </c>
      <c r="J17" s="622" t="s">
        <v>905</v>
      </c>
      <c r="K17" s="623" t="s">
        <v>26</v>
      </c>
      <c r="Q17" s="590"/>
      <c r="AK17" s="595">
        <v>10000</v>
      </c>
      <c r="AL17" s="595"/>
      <c r="AM17" s="595"/>
      <c r="AN17" s="595">
        <f t="shared" si="4"/>
        <v>10000</v>
      </c>
      <c r="AO17" s="595"/>
      <c r="AP17" s="595"/>
      <c r="AQ17" s="595">
        <f t="shared" si="5"/>
        <v>20000</v>
      </c>
      <c r="AR17" s="595"/>
      <c r="AS17" s="595"/>
      <c r="AT17" s="595">
        <f t="shared" si="6"/>
        <v>20000</v>
      </c>
      <c r="AU17" s="596" t="e">
        <f>IF(AK17&lt;=#REF!,#REF!,IF(AK17&lt;=#REF!,#REF!,IF(AK17&lt;=#REF!,#REF!,IF(AK17&lt;=#REF!,#REF!,IF(AK17&lt;=#REF!,#REF!,IF(AK17&lt;=#REF!,#REF!,IF(AK17&lt;=#REF!,#REF!,0.05)))))))</f>
        <v>#REF!</v>
      </c>
      <c r="AV17" s="595" t="e">
        <f t="shared" si="7"/>
        <v>#REF!</v>
      </c>
      <c r="AW17" s="596"/>
      <c r="AX17" s="596" t="e">
        <f>IF(AN17&lt;=#REF!,#REF!,IF(AN17&lt;=#REF!,#REF!,IF(AN17&lt;=#REF!,#REF!,IF(AN17&lt;=#REF!,#REF!,IF(AN17&lt;=#REF!,#REF!,IF(AN17&lt;=#REF!,#REF!,IF(AN17&lt;=#REF!,#REF!,0.05)))))))</f>
        <v>#REF!</v>
      </c>
      <c r="AY17" s="595" t="e">
        <f t="shared" si="8"/>
        <v>#REF!</v>
      </c>
      <c r="AZ17" s="596"/>
      <c r="BA17" s="596" t="e">
        <f>IF(AQ17&lt;=#REF!,#REF!,IF(AQ17&lt;=#REF!,#REF!,IF(AQ17&lt;=#REF!,#REF!,IF(AQ17&lt;=#REF!,#REF!,IF(AQ17&lt;=#REF!,#REF!,IF(AQ17&lt;=#REF!,#REF!,IF(AQ17&lt;=#REF!,#REF!,0.05)))))))</f>
        <v>#REF!</v>
      </c>
      <c r="BB17" s="595" t="e">
        <f t="shared" si="9"/>
        <v>#REF!</v>
      </c>
      <c r="BC17" s="596"/>
      <c r="BD17" s="597" t="e">
        <f>IF(AT17&lt;=#REF!,#REF!,IF(AT17&lt;=#REF!,#REF!,IF(AT17&lt;=#REF!,#REF!,IF(AT17&lt;=#REF!,#REF!,IF(AT17&lt;=#REF!,#REF!,IF(AT17&lt;=#REF!,#REF!,IF(AT17&lt;=#REF!,#REF!,0.05)))))))</f>
        <v>#REF!</v>
      </c>
      <c r="BE17" s="595" t="e">
        <f t="shared" si="10"/>
        <v>#REF!</v>
      </c>
      <c r="BG17" s="598" t="e">
        <f t="shared" si="11"/>
        <v>#REF!</v>
      </c>
      <c r="BI17" s="598" t="e">
        <f t="shared" si="12"/>
        <v>#REF!</v>
      </c>
      <c r="BJ17" s="599" t="e">
        <f t="shared" si="13"/>
        <v>#REF!</v>
      </c>
      <c r="BK17" s="596" t="e">
        <f t="shared" si="14"/>
        <v>#REF!</v>
      </c>
      <c r="CA17" s="595">
        <v>10000</v>
      </c>
      <c r="CB17" s="595"/>
      <c r="CC17" s="595"/>
      <c r="CD17" s="595">
        <f t="shared" si="15"/>
        <v>10000</v>
      </c>
      <c r="CE17" s="595"/>
      <c r="CF17" s="595"/>
      <c r="CG17" s="595">
        <f t="shared" si="16"/>
        <v>20000</v>
      </c>
      <c r="CH17" s="595"/>
      <c r="CI17" s="595"/>
      <c r="CJ17" s="595">
        <f t="shared" si="17"/>
        <v>20000</v>
      </c>
      <c r="CK17" s="596">
        <f t="shared" si="0"/>
        <v>0.05</v>
      </c>
      <c r="CL17" s="595">
        <f t="shared" si="18"/>
        <v>500</v>
      </c>
      <c r="CM17" s="596"/>
      <c r="CN17" s="596">
        <f t="shared" si="1"/>
        <v>0.05</v>
      </c>
      <c r="CO17" s="595">
        <f t="shared" si="19"/>
        <v>500</v>
      </c>
      <c r="CP17" s="596"/>
      <c r="CQ17" s="596">
        <f t="shared" si="2"/>
        <v>0.2</v>
      </c>
      <c r="CR17" s="595">
        <f t="shared" si="20"/>
        <v>4200</v>
      </c>
      <c r="CS17" s="596"/>
      <c r="CT17" s="597">
        <f t="shared" si="3"/>
        <v>-0.05</v>
      </c>
      <c r="CU17" s="595">
        <f t="shared" si="21"/>
        <v>-1000</v>
      </c>
      <c r="CW17" s="598">
        <f t="shared" si="22"/>
        <v>1694.0000000000002</v>
      </c>
      <c r="CY17" s="598">
        <f t="shared" si="23"/>
        <v>25894</v>
      </c>
      <c r="CZ17" s="599">
        <f t="shared" si="24"/>
        <v>4200</v>
      </c>
      <c r="DA17" s="596">
        <f t="shared" si="25"/>
        <v>0.16219973739090138</v>
      </c>
    </row>
    <row r="18" spans="1:117" s="585" customFormat="1">
      <c r="A18" s="647" t="s">
        <v>883</v>
      </c>
      <c r="B18" s="625">
        <f>E20</f>
        <v>0</v>
      </c>
      <c r="C18" s="626">
        <v>0.1</v>
      </c>
      <c r="D18" s="627">
        <f t="shared" ref="D18:D19" si="26">B18*C18</f>
        <v>0</v>
      </c>
      <c r="E18" s="600"/>
      <c r="F18" s="1729"/>
      <c r="G18" s="593"/>
      <c r="H18" s="628" t="s">
        <v>22</v>
      </c>
      <c r="I18" s="629">
        <f>IF(J18&lt;=1000,validation!$R$4,IF(J18&lt;1500,validation!$R$6,IF(J18&lt;2000,validation!$R$8,IF(J18&lt;2500,validation!$R$10,IF(J18&lt;=3000,validation!$R$12,IF(J18&lt;3500,validation!$R$14,IF(J18&lt;4000,validation!$R$16,IF(J18&lt;5000,validation!$R$18,validation!$R$20))))))))</f>
        <v>1.5169999999999999</v>
      </c>
      <c r="J18" s="630">
        <f>B45</f>
        <v>0</v>
      </c>
      <c r="K18" s="631">
        <f>ROUNDUP((I18*J18),0)</f>
        <v>0</v>
      </c>
      <c r="L18" s="632" t="s">
        <v>48</v>
      </c>
      <c r="M18" s="633" t="s">
        <v>209</v>
      </c>
      <c r="Q18" s="590"/>
      <c r="AK18" s="595">
        <v>11000</v>
      </c>
      <c r="AL18" s="595"/>
      <c r="AM18" s="595"/>
      <c r="AN18" s="595">
        <f t="shared" si="4"/>
        <v>11000</v>
      </c>
      <c r="AO18" s="595"/>
      <c r="AP18" s="595"/>
      <c r="AQ18" s="595">
        <f t="shared" si="5"/>
        <v>22000</v>
      </c>
      <c r="AR18" s="595"/>
      <c r="AS18" s="595"/>
      <c r="AT18" s="595">
        <f t="shared" si="6"/>
        <v>22000</v>
      </c>
      <c r="AU18" s="596" t="e">
        <f>IF(AK18&lt;=#REF!,#REF!,IF(AK18&lt;=#REF!,#REF!,IF(AK18&lt;=#REF!,#REF!,IF(AK18&lt;=#REF!,#REF!,IF(AK18&lt;=#REF!,#REF!,IF(AK18&lt;=#REF!,#REF!,IF(AK18&lt;=#REF!,#REF!,0.05)))))))</f>
        <v>#REF!</v>
      </c>
      <c r="AV18" s="595" t="e">
        <f t="shared" si="7"/>
        <v>#REF!</v>
      </c>
      <c r="AW18" s="596"/>
      <c r="AX18" s="596" t="e">
        <f>IF(AN18&lt;=#REF!,#REF!,IF(AN18&lt;=#REF!,#REF!,IF(AN18&lt;=#REF!,#REF!,IF(AN18&lt;=#REF!,#REF!,IF(AN18&lt;=#REF!,#REF!,IF(AN18&lt;=#REF!,#REF!,IF(AN18&lt;=#REF!,#REF!,0.05)))))))</f>
        <v>#REF!</v>
      </c>
      <c r="AY18" s="595" t="e">
        <f t="shared" si="8"/>
        <v>#REF!</v>
      </c>
      <c r="AZ18" s="596"/>
      <c r="BA18" s="596" t="e">
        <f>IF(AQ18&lt;=#REF!,#REF!,IF(AQ18&lt;=#REF!,#REF!,IF(AQ18&lt;=#REF!,#REF!,IF(AQ18&lt;=#REF!,#REF!,IF(AQ18&lt;=#REF!,#REF!,IF(AQ18&lt;=#REF!,#REF!,IF(AQ18&lt;=#REF!,#REF!,0.05)))))))</f>
        <v>#REF!</v>
      </c>
      <c r="BB18" s="595" t="e">
        <f t="shared" si="9"/>
        <v>#REF!</v>
      </c>
      <c r="BC18" s="596"/>
      <c r="BD18" s="597" t="e">
        <f>IF(AT18&lt;=#REF!,#REF!,IF(AT18&lt;=#REF!,#REF!,IF(AT18&lt;=#REF!,#REF!,IF(AT18&lt;=#REF!,#REF!,IF(AT18&lt;=#REF!,#REF!,IF(AT18&lt;=#REF!,#REF!,IF(AT18&lt;=#REF!,#REF!,0.05)))))))</f>
        <v>#REF!</v>
      </c>
      <c r="BE18" s="595" t="e">
        <f t="shared" si="10"/>
        <v>#REF!</v>
      </c>
      <c r="BG18" s="598" t="e">
        <f t="shared" si="11"/>
        <v>#REF!</v>
      </c>
      <c r="BI18" s="598" t="e">
        <f t="shared" si="12"/>
        <v>#REF!</v>
      </c>
      <c r="BJ18" s="599" t="e">
        <f t="shared" si="13"/>
        <v>#REF!</v>
      </c>
      <c r="BK18" s="596" t="e">
        <f t="shared" si="14"/>
        <v>#REF!</v>
      </c>
      <c r="CA18" s="595">
        <v>11000</v>
      </c>
      <c r="CB18" s="595"/>
      <c r="CC18" s="595"/>
      <c r="CD18" s="595">
        <f t="shared" si="15"/>
        <v>11000</v>
      </c>
      <c r="CE18" s="595"/>
      <c r="CF18" s="595"/>
      <c r="CG18" s="595">
        <f t="shared" si="16"/>
        <v>22000</v>
      </c>
      <c r="CH18" s="595"/>
      <c r="CI18" s="595"/>
      <c r="CJ18" s="595">
        <f t="shared" si="17"/>
        <v>22000</v>
      </c>
      <c r="CK18" s="596">
        <f t="shared" si="0"/>
        <v>0.05</v>
      </c>
      <c r="CL18" s="595">
        <f t="shared" si="18"/>
        <v>550</v>
      </c>
      <c r="CM18" s="596"/>
      <c r="CN18" s="596">
        <f t="shared" si="1"/>
        <v>0.03</v>
      </c>
      <c r="CO18" s="595">
        <f t="shared" si="19"/>
        <v>330</v>
      </c>
      <c r="CP18" s="596"/>
      <c r="CQ18" s="596">
        <f t="shared" si="2"/>
        <v>0.2</v>
      </c>
      <c r="CR18" s="595">
        <f t="shared" si="20"/>
        <v>4576</v>
      </c>
      <c r="CS18" s="596"/>
      <c r="CT18" s="597">
        <f t="shared" si="3"/>
        <v>-0.05</v>
      </c>
      <c r="CU18" s="595">
        <f t="shared" si="21"/>
        <v>-1100</v>
      </c>
      <c r="CW18" s="598">
        <f t="shared" si="22"/>
        <v>1844.92</v>
      </c>
      <c r="CY18" s="598">
        <f t="shared" si="23"/>
        <v>28200.92</v>
      </c>
      <c r="CZ18" s="599">
        <f t="shared" si="24"/>
        <v>4356</v>
      </c>
      <c r="DA18" s="596">
        <f t="shared" si="25"/>
        <v>0.15446304588644627</v>
      </c>
    </row>
    <row r="19" spans="1:117" s="585" customFormat="1">
      <c r="A19" s="647" t="s">
        <v>884</v>
      </c>
      <c r="B19" s="634">
        <f>E24</f>
        <v>0</v>
      </c>
      <c r="C19" s="626">
        <f>C18</f>
        <v>0.1</v>
      </c>
      <c r="D19" s="627">
        <f t="shared" si="26"/>
        <v>0</v>
      </c>
      <c r="E19" s="600"/>
      <c r="F19" s="1729"/>
      <c r="G19" s="593"/>
      <c r="H19" s="635" t="s">
        <v>39</v>
      </c>
      <c r="I19" s="636">
        <f>IF(J19&lt;=1000,validation!$U$4,IF(J19&lt;1500,validation!$U$6,IF(J19&lt;2000,validation!$U$8,IF(J19&lt;2500,validation!$U$10,IF(J19&lt;=3000,validation!$U$12,IF(J19&lt;3500,validation!$U$14,IF(J19&lt;4000,validation!$U$16,IF(J19&lt;5000,validation!$U$18,validation!$U$20))))))))</f>
        <v>1.6160000000000001</v>
      </c>
      <c r="J19" s="637">
        <f>B45</f>
        <v>0</v>
      </c>
      <c r="K19" s="638">
        <f>ROUNDUP((I19*J19),0)</f>
        <v>0</v>
      </c>
      <c r="L19" s="639">
        <f>0.2*J19</f>
        <v>0</v>
      </c>
      <c r="M19" s="640" t="e">
        <f>K19/L19</f>
        <v>#DIV/0!</v>
      </c>
      <c r="N19" s="590" t="s">
        <v>208</v>
      </c>
      <c r="AK19" s="595">
        <v>12000</v>
      </c>
      <c r="AL19" s="595"/>
      <c r="AM19" s="595"/>
      <c r="AN19" s="595">
        <f t="shared" si="4"/>
        <v>12000</v>
      </c>
      <c r="AO19" s="595"/>
      <c r="AP19" s="595"/>
      <c r="AQ19" s="595">
        <f t="shared" si="5"/>
        <v>24000</v>
      </c>
      <c r="AR19" s="595"/>
      <c r="AS19" s="595"/>
      <c r="AT19" s="595">
        <f t="shared" si="6"/>
        <v>24000</v>
      </c>
      <c r="AU19" s="596" t="e">
        <f>IF(AK19&lt;=#REF!,#REF!,IF(AK19&lt;=#REF!,#REF!,IF(AK19&lt;=#REF!,#REF!,IF(AK19&lt;=#REF!,#REF!,IF(AK19&lt;=#REF!,#REF!,IF(AK19&lt;=#REF!,#REF!,IF(AK19&lt;=#REF!,#REF!,0.05)))))))</f>
        <v>#REF!</v>
      </c>
      <c r="AV19" s="595" t="e">
        <f t="shared" si="7"/>
        <v>#REF!</v>
      </c>
      <c r="AW19" s="596"/>
      <c r="AX19" s="596" t="e">
        <f>IF(AN19&lt;=#REF!,#REF!,IF(AN19&lt;=#REF!,#REF!,IF(AN19&lt;=#REF!,#REF!,IF(AN19&lt;=#REF!,#REF!,IF(AN19&lt;=#REF!,#REF!,IF(AN19&lt;=#REF!,#REF!,IF(AN19&lt;=#REF!,#REF!,0.05)))))))</f>
        <v>#REF!</v>
      </c>
      <c r="AY19" s="595" t="e">
        <f t="shared" si="8"/>
        <v>#REF!</v>
      </c>
      <c r="AZ19" s="596"/>
      <c r="BA19" s="596" t="e">
        <f>IF(AQ19&lt;=#REF!,#REF!,IF(AQ19&lt;=#REF!,#REF!,IF(AQ19&lt;=#REF!,#REF!,IF(AQ19&lt;=#REF!,#REF!,IF(AQ19&lt;=#REF!,#REF!,IF(AQ19&lt;=#REF!,#REF!,IF(AQ19&lt;=#REF!,#REF!,0.05)))))))</f>
        <v>#REF!</v>
      </c>
      <c r="BB19" s="595" t="e">
        <f t="shared" si="9"/>
        <v>#REF!</v>
      </c>
      <c r="BC19" s="596"/>
      <c r="BD19" s="597" t="e">
        <f>IF(AT19&lt;=#REF!,#REF!,IF(AT19&lt;=#REF!,#REF!,IF(AT19&lt;=#REF!,#REF!,IF(AT19&lt;=#REF!,#REF!,IF(AT19&lt;=#REF!,#REF!,IF(AT19&lt;=#REF!,#REF!,IF(AT19&lt;=#REF!,#REF!,0.05)))))))</f>
        <v>#REF!</v>
      </c>
      <c r="BE19" s="595" t="e">
        <f t="shared" si="10"/>
        <v>#REF!</v>
      </c>
      <c r="BG19" s="598" t="e">
        <f t="shared" si="11"/>
        <v>#REF!</v>
      </c>
      <c r="BI19" s="598" t="e">
        <f t="shared" si="12"/>
        <v>#REF!</v>
      </c>
      <c r="BJ19" s="599" t="e">
        <f t="shared" si="13"/>
        <v>#REF!</v>
      </c>
      <c r="BK19" s="596" t="e">
        <f t="shared" si="14"/>
        <v>#REF!</v>
      </c>
      <c r="CA19" s="595">
        <v>12000</v>
      </c>
      <c r="CB19" s="595"/>
      <c r="CC19" s="595"/>
      <c r="CD19" s="595">
        <f t="shared" si="15"/>
        <v>12000</v>
      </c>
      <c r="CE19" s="595"/>
      <c r="CF19" s="595"/>
      <c r="CG19" s="595">
        <f t="shared" si="16"/>
        <v>24000</v>
      </c>
      <c r="CH19" s="595"/>
      <c r="CI19" s="595"/>
      <c r="CJ19" s="595">
        <f t="shared" si="17"/>
        <v>24000</v>
      </c>
      <c r="CK19" s="596">
        <f t="shared" si="0"/>
        <v>0.05</v>
      </c>
      <c r="CL19" s="595">
        <f t="shared" si="18"/>
        <v>600</v>
      </c>
      <c r="CM19" s="596"/>
      <c r="CN19" s="596">
        <f t="shared" si="1"/>
        <v>0.03</v>
      </c>
      <c r="CO19" s="595">
        <f t="shared" si="19"/>
        <v>360</v>
      </c>
      <c r="CP19" s="596"/>
      <c r="CQ19" s="596">
        <f t="shared" si="2"/>
        <v>0.2</v>
      </c>
      <c r="CR19" s="595">
        <f t="shared" si="20"/>
        <v>4992</v>
      </c>
      <c r="CS19" s="596"/>
      <c r="CT19" s="597">
        <f t="shared" si="3"/>
        <v>-0.05</v>
      </c>
      <c r="CU19" s="595">
        <f t="shared" si="21"/>
        <v>-1200</v>
      </c>
      <c r="CW19" s="598">
        <f t="shared" si="22"/>
        <v>2012.64</v>
      </c>
      <c r="CY19" s="598">
        <f t="shared" si="23"/>
        <v>30764.639999999999</v>
      </c>
      <c r="CZ19" s="599">
        <f t="shared" si="24"/>
        <v>4752</v>
      </c>
      <c r="DA19" s="596">
        <f t="shared" si="25"/>
        <v>0.15446304588644627</v>
      </c>
    </row>
    <row r="20" spans="1:117" s="585" customFormat="1">
      <c r="A20" s="641" t="s">
        <v>206</v>
      </c>
      <c r="B20" s="642"/>
      <c r="C20" s="643"/>
      <c r="D20" s="644"/>
      <c r="E20" s="645">
        <v>0</v>
      </c>
      <c r="F20" s="1363" t="s">
        <v>880</v>
      </c>
      <c r="H20" s="628" t="s">
        <v>908</v>
      </c>
      <c r="I20" s="629">
        <f>IF(J20&lt;=100,validation!$R$24,IF(J20&lt;150,validation!$R$26,IF(J20&lt;200,validation!$R$28,IF(J20&lt;250,validation!$R$30,IF(J20&lt;=300,validation!$R$32,IF(J20&lt;350,validation!$R$34,IF(J20&lt;400,validation!$R$36,IF(J20&lt;500,validation!$R$38,validation!$R$40))))))))</f>
        <v>6.18</v>
      </c>
      <c r="J20" s="630">
        <f>E34+E37</f>
        <v>0</v>
      </c>
      <c r="K20" s="631">
        <f>ROUNDUP((I20*J20),0)</f>
        <v>0</v>
      </c>
      <c r="P20" s="629"/>
      <c r="AK20" s="595">
        <v>13000</v>
      </c>
      <c r="AL20" s="595"/>
      <c r="AM20" s="595"/>
      <c r="AN20" s="595">
        <f t="shared" si="4"/>
        <v>13000</v>
      </c>
      <c r="AO20" s="595"/>
      <c r="AP20" s="595"/>
      <c r="AQ20" s="595">
        <f t="shared" si="5"/>
        <v>26000</v>
      </c>
      <c r="AR20" s="595"/>
      <c r="AS20" s="595"/>
      <c r="AT20" s="595">
        <f t="shared" si="6"/>
        <v>26000</v>
      </c>
      <c r="AU20" s="596" t="e">
        <f>IF(AK20&lt;=#REF!,#REF!,IF(AK20&lt;=#REF!,#REF!,IF(AK20&lt;=#REF!,#REF!,IF(AK20&lt;=#REF!,#REF!,IF(AK20&lt;=#REF!,#REF!,IF(AK20&lt;=#REF!,#REF!,IF(AK20&lt;=#REF!,#REF!,0.05)))))))</f>
        <v>#REF!</v>
      </c>
      <c r="AV20" s="595" t="e">
        <f t="shared" si="7"/>
        <v>#REF!</v>
      </c>
      <c r="AW20" s="596"/>
      <c r="AX20" s="596" t="e">
        <f>IF(AN20&lt;=#REF!,#REF!,IF(AN20&lt;=#REF!,#REF!,IF(AN20&lt;=#REF!,#REF!,IF(AN20&lt;=#REF!,#REF!,IF(AN20&lt;=#REF!,#REF!,IF(AN20&lt;=#REF!,#REF!,IF(AN20&lt;=#REF!,#REF!,0.05)))))))</f>
        <v>#REF!</v>
      </c>
      <c r="AY20" s="595" t="e">
        <f t="shared" si="8"/>
        <v>#REF!</v>
      </c>
      <c r="AZ20" s="596"/>
      <c r="BA20" s="596" t="e">
        <f>IF(AQ20&lt;=#REF!,#REF!,IF(AQ20&lt;=#REF!,#REF!,IF(AQ20&lt;=#REF!,#REF!,IF(AQ20&lt;=#REF!,#REF!,IF(AQ20&lt;=#REF!,#REF!,IF(AQ20&lt;=#REF!,#REF!,IF(AQ20&lt;=#REF!,#REF!,0.05)))))))</f>
        <v>#REF!</v>
      </c>
      <c r="BB20" s="595" t="e">
        <f t="shared" si="9"/>
        <v>#REF!</v>
      </c>
      <c r="BC20" s="596"/>
      <c r="BD20" s="597" t="e">
        <f>IF(AT20&lt;=#REF!,#REF!,IF(AT20&lt;=#REF!,#REF!,IF(AT20&lt;=#REF!,#REF!,IF(AT20&lt;=#REF!,#REF!,IF(AT20&lt;=#REF!,#REF!,IF(AT20&lt;=#REF!,#REF!,IF(AT20&lt;=#REF!,#REF!,0.05)))))))</f>
        <v>#REF!</v>
      </c>
      <c r="BE20" s="595" t="e">
        <f t="shared" si="10"/>
        <v>#REF!</v>
      </c>
      <c r="BG20" s="598" t="e">
        <f t="shared" si="11"/>
        <v>#REF!</v>
      </c>
      <c r="BI20" s="598" t="e">
        <f t="shared" si="12"/>
        <v>#REF!</v>
      </c>
      <c r="BJ20" s="599" t="e">
        <f t="shared" si="13"/>
        <v>#REF!</v>
      </c>
      <c r="BK20" s="596" t="e">
        <f t="shared" si="14"/>
        <v>#REF!</v>
      </c>
      <c r="CA20" s="595">
        <v>13000</v>
      </c>
      <c r="CB20" s="595"/>
      <c r="CC20" s="595"/>
      <c r="CD20" s="595">
        <f t="shared" si="15"/>
        <v>13000</v>
      </c>
      <c r="CE20" s="595"/>
      <c r="CF20" s="595"/>
      <c r="CG20" s="595">
        <f t="shared" si="16"/>
        <v>26000</v>
      </c>
      <c r="CH20" s="595"/>
      <c r="CI20" s="595"/>
      <c r="CJ20" s="595">
        <f t="shared" si="17"/>
        <v>26000</v>
      </c>
      <c r="CK20" s="596">
        <f t="shared" si="0"/>
        <v>0.05</v>
      </c>
      <c r="CL20" s="595">
        <f t="shared" si="18"/>
        <v>650</v>
      </c>
      <c r="CM20" s="596"/>
      <c r="CN20" s="596">
        <f t="shared" si="1"/>
        <v>0.03</v>
      </c>
      <c r="CO20" s="595">
        <f t="shared" si="19"/>
        <v>390</v>
      </c>
      <c r="CP20" s="596"/>
      <c r="CQ20" s="596">
        <f t="shared" si="2"/>
        <v>0.18</v>
      </c>
      <c r="CR20" s="595">
        <f t="shared" si="20"/>
        <v>4867.2</v>
      </c>
      <c r="CS20" s="596"/>
      <c r="CT20" s="597">
        <f t="shared" si="3"/>
        <v>-0.05</v>
      </c>
      <c r="CU20" s="595">
        <f t="shared" si="21"/>
        <v>-1300</v>
      </c>
      <c r="CW20" s="598">
        <f t="shared" si="22"/>
        <v>2142.5040000000004</v>
      </c>
      <c r="CY20" s="598">
        <f t="shared" si="23"/>
        <v>32749.703999999998</v>
      </c>
      <c r="CZ20" s="599">
        <f t="shared" si="24"/>
        <v>4607.2</v>
      </c>
      <c r="DA20" s="596">
        <f t="shared" si="25"/>
        <v>0.14067913407705915</v>
      </c>
    </row>
    <row r="21" spans="1:117" s="585" customFormat="1">
      <c r="A21" s="1327" t="s">
        <v>744</v>
      </c>
      <c r="B21" s="1300"/>
      <c r="C21" s="1326" t="s">
        <v>875</v>
      </c>
      <c r="D21" s="1368">
        <f>IF(A21=B162,F162,IF(A21=B163,F163,IF(A21=B164,F164,IF(A21=B165,F165,0))))</f>
        <v>0</v>
      </c>
      <c r="E21" s="649"/>
      <c r="F21" s="600"/>
      <c r="H21" s="635" t="s">
        <v>909</v>
      </c>
      <c r="I21" s="636">
        <f>IF(J20&lt;=100,validation!$U$24,IF(J20&lt;150,validation!$U$26,IF(J20&lt;200,validation!$U$28,IF(J20&lt;250,validation!$U$30,IF(J20&lt;=300,validation!$U$32,IF(J20&lt;350,validation!$U$34,IF(J20&lt;400,validation!$U$36,IF(J20&lt;500,validation!$U$38,validation!$U$40))))))))</f>
        <v>7.44</v>
      </c>
      <c r="J21" s="637">
        <f>E34+E37</f>
        <v>0</v>
      </c>
      <c r="K21" s="638">
        <f>ROUNDUP((I21*J21),0)</f>
        <v>0</v>
      </c>
      <c r="M21" s="650" t="s">
        <v>595</v>
      </c>
      <c r="N21" s="651">
        <f>'Stnd Alts'!E243</f>
        <v>4329</v>
      </c>
      <c r="O21" s="652" t="s">
        <v>593</v>
      </c>
      <c r="P21" s="600"/>
      <c r="AK21" s="595">
        <v>14000</v>
      </c>
      <c r="AL21" s="595"/>
      <c r="AM21" s="595"/>
      <c r="AN21" s="595">
        <f t="shared" si="4"/>
        <v>14000</v>
      </c>
      <c r="AO21" s="595"/>
      <c r="AP21" s="595"/>
      <c r="AQ21" s="595">
        <f t="shared" si="5"/>
        <v>28000</v>
      </c>
      <c r="AR21" s="595"/>
      <c r="AS21" s="595"/>
      <c r="AT21" s="595">
        <f t="shared" si="6"/>
        <v>28000</v>
      </c>
      <c r="AU21" s="596" t="e">
        <f>IF(AK21&lt;=#REF!,#REF!,IF(AK21&lt;=#REF!,#REF!,IF(AK21&lt;=#REF!,#REF!,IF(AK21&lt;=#REF!,#REF!,IF(AK21&lt;=#REF!,#REF!,IF(AK21&lt;=#REF!,#REF!,IF(AK21&lt;=#REF!,#REF!,0.05)))))))</f>
        <v>#REF!</v>
      </c>
      <c r="AV21" s="595" t="e">
        <f t="shared" si="7"/>
        <v>#REF!</v>
      </c>
      <c r="AW21" s="596"/>
      <c r="AX21" s="596" t="e">
        <f>IF(AN21&lt;=#REF!,#REF!,IF(AN21&lt;=#REF!,#REF!,IF(AN21&lt;=#REF!,#REF!,IF(AN21&lt;=#REF!,#REF!,IF(AN21&lt;=#REF!,#REF!,IF(AN21&lt;=#REF!,#REF!,IF(AN21&lt;=#REF!,#REF!,0.05)))))))</f>
        <v>#REF!</v>
      </c>
      <c r="AY21" s="595" t="e">
        <f t="shared" si="8"/>
        <v>#REF!</v>
      </c>
      <c r="AZ21" s="596"/>
      <c r="BA21" s="596" t="e">
        <f>IF(AQ21&lt;=#REF!,#REF!,IF(AQ21&lt;=#REF!,#REF!,IF(AQ21&lt;=#REF!,#REF!,IF(AQ21&lt;=#REF!,#REF!,IF(AQ21&lt;=#REF!,#REF!,IF(AQ21&lt;=#REF!,#REF!,IF(AQ21&lt;=#REF!,#REF!,0.05)))))))</f>
        <v>#REF!</v>
      </c>
      <c r="BB21" s="595" t="e">
        <f t="shared" si="9"/>
        <v>#REF!</v>
      </c>
      <c r="BC21" s="596"/>
      <c r="BD21" s="597" t="e">
        <f>IF(AT21&lt;=#REF!,#REF!,IF(AT21&lt;=#REF!,#REF!,IF(AT21&lt;=#REF!,#REF!,IF(AT21&lt;=#REF!,#REF!,IF(AT21&lt;=#REF!,#REF!,IF(AT21&lt;=#REF!,#REF!,IF(AT21&lt;=#REF!,#REF!,0.05)))))))</f>
        <v>#REF!</v>
      </c>
      <c r="BE21" s="595" t="e">
        <f t="shared" si="10"/>
        <v>#REF!</v>
      </c>
      <c r="BG21" s="598" t="e">
        <f t="shared" si="11"/>
        <v>#REF!</v>
      </c>
      <c r="BI21" s="598" t="e">
        <f t="shared" si="12"/>
        <v>#REF!</v>
      </c>
      <c r="BJ21" s="599" t="e">
        <f t="shared" si="13"/>
        <v>#REF!</v>
      </c>
      <c r="BK21" s="596" t="e">
        <f t="shared" si="14"/>
        <v>#REF!</v>
      </c>
      <c r="CA21" s="595">
        <v>14000</v>
      </c>
      <c r="CB21" s="595"/>
      <c r="CC21" s="595"/>
      <c r="CD21" s="595">
        <f t="shared" si="15"/>
        <v>14000</v>
      </c>
      <c r="CE21" s="595"/>
      <c r="CF21" s="595"/>
      <c r="CG21" s="595">
        <f t="shared" si="16"/>
        <v>28000</v>
      </c>
      <c r="CH21" s="595"/>
      <c r="CI21" s="595"/>
      <c r="CJ21" s="595">
        <f t="shared" si="17"/>
        <v>28000</v>
      </c>
      <c r="CK21" s="596">
        <f t="shared" si="0"/>
        <v>0.05</v>
      </c>
      <c r="CL21" s="595">
        <f t="shared" si="18"/>
        <v>700</v>
      </c>
      <c r="CM21" s="596"/>
      <c r="CN21" s="596">
        <f t="shared" si="1"/>
        <v>0.03</v>
      </c>
      <c r="CO21" s="595">
        <f t="shared" si="19"/>
        <v>420</v>
      </c>
      <c r="CP21" s="596"/>
      <c r="CQ21" s="596">
        <f t="shared" si="2"/>
        <v>0.18</v>
      </c>
      <c r="CR21" s="595">
        <f t="shared" si="20"/>
        <v>5241.5999999999995</v>
      </c>
      <c r="CS21" s="596"/>
      <c r="CT21" s="597">
        <f t="shared" si="3"/>
        <v>-0.05</v>
      </c>
      <c r="CU21" s="595">
        <f t="shared" si="21"/>
        <v>-1400</v>
      </c>
      <c r="CW21" s="598">
        <f t="shared" si="22"/>
        <v>2307.3119999999999</v>
      </c>
      <c r="CY21" s="598">
        <f t="shared" si="23"/>
        <v>35268.911999999997</v>
      </c>
      <c r="CZ21" s="599">
        <f t="shared" si="24"/>
        <v>4961.5999999999995</v>
      </c>
      <c r="DA21" s="596">
        <f t="shared" si="25"/>
        <v>0.14067913407705915</v>
      </c>
    </row>
    <row r="22" spans="1:117" s="585" customFormat="1">
      <c r="A22" s="1327" t="s">
        <v>826</v>
      </c>
      <c r="B22" s="1300"/>
      <c r="C22" s="1326" t="s">
        <v>875</v>
      </c>
      <c r="D22" s="1368">
        <f>IF(A22=R181,F175,IF(A22=R182,F182,IF(A22=R183,F188,IF(A22=R184,F197,IF(A22=R185,F205,IF(A22=R186,F213,IF(A22=R187,F221,IF(A22=R188,F227,IF(A22=R189,F237,IF(A22=R190,F245,IF(A22=R191,F254,IF(A22=R192,F264,IF(A22=R193,F271,IF(A22=R194,F279,IF(A22=R195,F286,0)))))))))))))))</f>
        <v>0</v>
      </c>
      <c r="E22" s="649"/>
      <c r="F22" s="600"/>
      <c r="G22" s="600"/>
      <c r="H22" s="653" t="s">
        <v>910</v>
      </c>
      <c r="I22" s="654">
        <f>IF(J22&lt;=100,validation!$R$44,IF(J22&lt;150,validation!$R$46,IF(J22&lt;200,validation!$R$48,IF(J22&lt;250,validation!$R$50,IF(J22&lt;=300,validation!$R$52,IF(J22&lt;350,validation!$R$54,IF(J22&lt;400,validation!$R$56,IF(J22&lt;500,validation!$R$58,validation!$R$60))))))))</f>
        <v>17.71</v>
      </c>
      <c r="J22" s="655">
        <v>0</v>
      </c>
      <c r="K22" s="656">
        <f t="shared" ref="K22:K23" si="27">ROUNDUP((I22*J22),0)</f>
        <v>0</v>
      </c>
      <c r="M22" s="657" t="s">
        <v>601</v>
      </c>
      <c r="N22" s="651">
        <f>'Stnd Alts'!E145</f>
        <v>5035</v>
      </c>
      <c r="O22" s="652" t="s">
        <v>592</v>
      </c>
      <c r="P22" s="590" t="s">
        <v>594</v>
      </c>
      <c r="AK22" s="595">
        <v>15000</v>
      </c>
      <c r="AL22" s="595"/>
      <c r="AM22" s="595"/>
      <c r="AN22" s="595">
        <f t="shared" si="4"/>
        <v>15000</v>
      </c>
      <c r="AO22" s="595"/>
      <c r="AP22" s="595"/>
      <c r="AQ22" s="595">
        <f t="shared" si="5"/>
        <v>30000</v>
      </c>
      <c r="AR22" s="595"/>
      <c r="AS22" s="595"/>
      <c r="AT22" s="595">
        <f t="shared" si="6"/>
        <v>30000</v>
      </c>
      <c r="AU22" s="596" t="e">
        <f>IF(AK22&lt;=#REF!,#REF!,IF(AK22&lt;=#REF!,#REF!,IF(AK22&lt;=#REF!,#REF!,IF(AK22&lt;=#REF!,#REF!,IF(AK22&lt;=#REF!,#REF!,IF(AK22&lt;=#REF!,#REF!,IF(AK22&lt;=#REF!,#REF!,0.05)))))))</f>
        <v>#REF!</v>
      </c>
      <c r="AV22" s="595" t="e">
        <f t="shared" si="7"/>
        <v>#REF!</v>
      </c>
      <c r="AW22" s="596"/>
      <c r="AX22" s="596" t="e">
        <f>IF(AN22&lt;=#REF!,#REF!,IF(AN22&lt;=#REF!,#REF!,IF(AN22&lt;=#REF!,#REF!,IF(AN22&lt;=#REF!,#REF!,IF(AN22&lt;=#REF!,#REF!,IF(AN22&lt;=#REF!,#REF!,IF(AN22&lt;=#REF!,#REF!,0.05)))))))</f>
        <v>#REF!</v>
      </c>
      <c r="AY22" s="595" t="e">
        <f t="shared" si="8"/>
        <v>#REF!</v>
      </c>
      <c r="AZ22" s="596"/>
      <c r="BA22" s="596" t="e">
        <f>IF(AQ22&lt;=#REF!,#REF!,IF(AQ22&lt;=#REF!,#REF!,IF(AQ22&lt;=#REF!,#REF!,IF(AQ22&lt;=#REF!,#REF!,IF(AQ22&lt;=#REF!,#REF!,IF(AQ22&lt;=#REF!,#REF!,IF(AQ22&lt;=#REF!,#REF!,0.05)))))))</f>
        <v>#REF!</v>
      </c>
      <c r="BB22" s="595" t="e">
        <f t="shared" si="9"/>
        <v>#REF!</v>
      </c>
      <c r="BC22" s="596"/>
      <c r="BD22" s="597" t="e">
        <f>IF(AT22&lt;=#REF!,#REF!,IF(AT22&lt;=#REF!,#REF!,IF(AT22&lt;=#REF!,#REF!,IF(AT22&lt;=#REF!,#REF!,IF(AT22&lt;=#REF!,#REF!,IF(AT22&lt;=#REF!,#REF!,IF(AT22&lt;=#REF!,#REF!,0.05)))))))</f>
        <v>#REF!</v>
      </c>
      <c r="BE22" s="595" t="e">
        <f t="shared" si="10"/>
        <v>#REF!</v>
      </c>
      <c r="BG22" s="598" t="e">
        <f t="shared" si="11"/>
        <v>#REF!</v>
      </c>
      <c r="BI22" s="598" t="e">
        <f t="shared" si="12"/>
        <v>#REF!</v>
      </c>
      <c r="BJ22" s="599" t="e">
        <f t="shared" si="13"/>
        <v>#REF!</v>
      </c>
      <c r="BK22" s="596" t="e">
        <f t="shared" si="14"/>
        <v>#REF!</v>
      </c>
      <c r="CA22" s="595">
        <v>15000</v>
      </c>
      <c r="CB22" s="595"/>
      <c r="CC22" s="595"/>
      <c r="CD22" s="595">
        <f t="shared" si="15"/>
        <v>15000</v>
      </c>
      <c r="CE22" s="595"/>
      <c r="CF22" s="595"/>
      <c r="CG22" s="595">
        <f t="shared" si="16"/>
        <v>30000</v>
      </c>
      <c r="CH22" s="595"/>
      <c r="CI22" s="595"/>
      <c r="CJ22" s="595">
        <f t="shared" si="17"/>
        <v>30000</v>
      </c>
      <c r="CK22" s="596">
        <f t="shared" si="0"/>
        <v>0.05</v>
      </c>
      <c r="CL22" s="595">
        <f t="shared" si="18"/>
        <v>750</v>
      </c>
      <c r="CM22" s="596"/>
      <c r="CN22" s="596">
        <f t="shared" si="1"/>
        <v>0.03</v>
      </c>
      <c r="CO22" s="595">
        <f t="shared" si="19"/>
        <v>450</v>
      </c>
      <c r="CP22" s="596"/>
      <c r="CQ22" s="596">
        <f t="shared" si="2"/>
        <v>0.18</v>
      </c>
      <c r="CR22" s="595">
        <f t="shared" si="20"/>
        <v>5616</v>
      </c>
      <c r="CS22" s="596"/>
      <c r="CT22" s="597">
        <f t="shared" si="3"/>
        <v>-0.05</v>
      </c>
      <c r="CU22" s="595">
        <f t="shared" si="21"/>
        <v>-1500</v>
      </c>
      <c r="CW22" s="598">
        <f t="shared" si="22"/>
        <v>2472.1200000000003</v>
      </c>
      <c r="CY22" s="598">
        <f t="shared" si="23"/>
        <v>37788.120000000003</v>
      </c>
      <c r="CZ22" s="599">
        <f t="shared" si="24"/>
        <v>5316</v>
      </c>
      <c r="DA22" s="596">
        <f t="shared" si="25"/>
        <v>0.14067913407705912</v>
      </c>
    </row>
    <row r="23" spans="1:117" s="585" customFormat="1">
      <c r="A23" s="647"/>
      <c r="B23" s="634"/>
      <c r="C23" s="629"/>
      <c r="D23" s="648">
        <f t="shared" ref="D23:D39" si="28">B23*C23</f>
        <v>0</v>
      </c>
      <c r="E23" s="600"/>
      <c r="F23" s="600"/>
      <c r="G23" s="600"/>
      <c r="H23" s="635" t="s">
        <v>911</v>
      </c>
      <c r="I23" s="636">
        <f>IF(J22&lt;=100,validation!$U$44,IF(J22&lt;150,validation!$U$46,IF(J22&lt;200,validation!$U$48,IF(J22&lt;250,validation!$U$50,IF(J22&lt;=300,validation!$U$52,IF(J22&lt;350,validation!$U$54,IF(J22&lt;400,validation!$U$56,IF(J22&lt;500,validation!$U$58,validation!$U$60))))))))</f>
        <v>18.48</v>
      </c>
      <c r="J23" s="637">
        <v>0</v>
      </c>
      <c r="K23" s="638">
        <f t="shared" si="27"/>
        <v>0</v>
      </c>
      <c r="O23" s="590"/>
      <c r="AK23" s="595">
        <v>16000</v>
      </c>
      <c r="AL23" s="595"/>
      <c r="AM23" s="595"/>
      <c r="AN23" s="595">
        <f t="shared" si="4"/>
        <v>16000</v>
      </c>
      <c r="AO23" s="595"/>
      <c r="AP23" s="595"/>
      <c r="AQ23" s="595">
        <f t="shared" si="5"/>
        <v>32000</v>
      </c>
      <c r="AR23" s="595"/>
      <c r="AS23" s="595"/>
      <c r="AT23" s="595">
        <f t="shared" si="6"/>
        <v>32000</v>
      </c>
      <c r="AU23" s="596" t="e">
        <f>IF(AK23&lt;=#REF!,#REF!,IF(AK23&lt;=#REF!,#REF!,IF(AK23&lt;=#REF!,#REF!,IF(AK23&lt;=#REF!,#REF!,IF(AK23&lt;=#REF!,#REF!,IF(AK23&lt;=#REF!,#REF!,IF(AK23&lt;=#REF!,#REF!,0.05)))))))</f>
        <v>#REF!</v>
      </c>
      <c r="AV23" s="595" t="e">
        <f t="shared" si="7"/>
        <v>#REF!</v>
      </c>
      <c r="AW23" s="596"/>
      <c r="AX23" s="596" t="e">
        <f>IF(AN23&lt;=#REF!,#REF!,IF(AN23&lt;=#REF!,#REF!,IF(AN23&lt;=#REF!,#REF!,IF(AN23&lt;=#REF!,#REF!,IF(AN23&lt;=#REF!,#REF!,IF(AN23&lt;=#REF!,#REF!,IF(AN23&lt;=#REF!,#REF!,0.05)))))))</f>
        <v>#REF!</v>
      </c>
      <c r="AY23" s="595" t="e">
        <f t="shared" si="8"/>
        <v>#REF!</v>
      </c>
      <c r="AZ23" s="596"/>
      <c r="BA23" s="596" t="e">
        <f>IF(AQ23&lt;=#REF!,#REF!,IF(AQ23&lt;=#REF!,#REF!,IF(AQ23&lt;=#REF!,#REF!,IF(AQ23&lt;=#REF!,#REF!,IF(AQ23&lt;=#REF!,#REF!,IF(AQ23&lt;=#REF!,#REF!,IF(AQ23&lt;=#REF!,#REF!,0.05)))))))</f>
        <v>#REF!</v>
      </c>
      <c r="BB23" s="595" t="e">
        <f t="shared" si="9"/>
        <v>#REF!</v>
      </c>
      <c r="BC23" s="596"/>
      <c r="BD23" s="597" t="e">
        <f>IF(AT23&lt;=#REF!,#REF!,IF(AT23&lt;=#REF!,#REF!,IF(AT23&lt;=#REF!,#REF!,IF(AT23&lt;=#REF!,#REF!,IF(AT23&lt;=#REF!,#REF!,IF(AT23&lt;=#REF!,#REF!,IF(AT23&lt;=#REF!,#REF!,0.05)))))))</f>
        <v>#REF!</v>
      </c>
      <c r="BE23" s="595" t="e">
        <f t="shared" si="10"/>
        <v>#REF!</v>
      </c>
      <c r="BG23" s="598" t="e">
        <f t="shared" si="11"/>
        <v>#REF!</v>
      </c>
      <c r="BI23" s="598" t="e">
        <f t="shared" si="12"/>
        <v>#REF!</v>
      </c>
      <c r="BJ23" s="599" t="e">
        <f t="shared" si="13"/>
        <v>#REF!</v>
      </c>
      <c r="BK23" s="596" t="e">
        <f t="shared" si="14"/>
        <v>#REF!</v>
      </c>
      <c r="CA23" s="595">
        <v>16000</v>
      </c>
      <c r="CB23" s="595"/>
      <c r="CC23" s="595"/>
      <c r="CD23" s="595">
        <f t="shared" si="15"/>
        <v>16000</v>
      </c>
      <c r="CE23" s="595"/>
      <c r="CF23" s="595"/>
      <c r="CG23" s="595">
        <f t="shared" si="16"/>
        <v>32000</v>
      </c>
      <c r="CH23" s="595"/>
      <c r="CI23" s="595"/>
      <c r="CJ23" s="595">
        <f t="shared" si="17"/>
        <v>32000</v>
      </c>
      <c r="CK23" s="596">
        <f t="shared" si="0"/>
        <v>0.05</v>
      </c>
      <c r="CL23" s="595">
        <f t="shared" si="18"/>
        <v>800</v>
      </c>
      <c r="CM23" s="596"/>
      <c r="CN23" s="596">
        <f t="shared" si="1"/>
        <v>0.03</v>
      </c>
      <c r="CO23" s="595">
        <f t="shared" si="19"/>
        <v>480</v>
      </c>
      <c r="CP23" s="596"/>
      <c r="CQ23" s="596">
        <f t="shared" si="2"/>
        <v>0.18</v>
      </c>
      <c r="CR23" s="595">
        <f t="shared" si="20"/>
        <v>5990.4</v>
      </c>
      <c r="CS23" s="596"/>
      <c r="CT23" s="597">
        <f t="shared" si="3"/>
        <v>-0.05</v>
      </c>
      <c r="CU23" s="595">
        <f t="shared" si="21"/>
        <v>-1600</v>
      </c>
      <c r="CW23" s="598">
        <f t="shared" si="22"/>
        <v>2636.9280000000003</v>
      </c>
      <c r="CY23" s="598">
        <f t="shared" si="23"/>
        <v>40307.328000000001</v>
      </c>
      <c r="CZ23" s="599">
        <f t="shared" si="24"/>
        <v>5670.4</v>
      </c>
      <c r="DA23" s="596">
        <f t="shared" si="25"/>
        <v>0.14067913407705912</v>
      </c>
    </row>
    <row r="24" spans="1:117" s="585" customFormat="1">
      <c r="A24" s="641" t="s">
        <v>206</v>
      </c>
      <c r="B24" s="642"/>
      <c r="C24" s="643"/>
      <c r="D24" s="644"/>
      <c r="E24" s="645">
        <v>0</v>
      </c>
      <c r="F24" s="1362" t="s">
        <v>879</v>
      </c>
      <c r="G24" s="600"/>
      <c r="H24" s="658" t="s">
        <v>570</v>
      </c>
      <c r="I24" s="659">
        <v>86</v>
      </c>
      <c r="J24" s="660">
        <f>(SUM(D18:D19))</f>
        <v>0</v>
      </c>
      <c r="K24" s="661">
        <f>ROUND(J24/I24,0)</f>
        <v>0</v>
      </c>
      <c r="L24" s="662" t="s">
        <v>571</v>
      </c>
      <c r="N24" s="1463" t="s">
        <v>945</v>
      </c>
      <c r="O24" s="1464">
        <f>AT_Clear_Satin_w_Grit</f>
        <v>382.44800000000004</v>
      </c>
      <c r="P24" s="991" t="s">
        <v>942</v>
      </c>
      <c r="AK24" s="664">
        <v>17000</v>
      </c>
      <c r="AL24" s="664"/>
      <c r="AM24" s="664"/>
      <c r="AN24" s="664">
        <f t="shared" si="4"/>
        <v>17000</v>
      </c>
      <c r="AO24" s="664"/>
      <c r="AP24" s="664"/>
      <c r="AQ24" s="664">
        <f t="shared" si="5"/>
        <v>34000</v>
      </c>
      <c r="AR24" s="664"/>
      <c r="AS24" s="664"/>
      <c r="AT24" s="595">
        <f t="shared" si="6"/>
        <v>34000</v>
      </c>
      <c r="AU24" s="665" t="e">
        <f>IF(AK24&lt;=#REF!,#REF!,IF(AK24&lt;=#REF!,#REF!,IF(AK24&lt;=#REF!,#REF!,IF(AK24&lt;=#REF!,#REF!,IF(AK24&lt;=#REF!,#REF!,IF(AK24&lt;=#REF!,#REF!,IF(AK24&lt;=#REF!,#REF!,0.05)))))))</f>
        <v>#REF!</v>
      </c>
      <c r="AV24" s="664" t="e">
        <f t="shared" si="7"/>
        <v>#REF!</v>
      </c>
      <c r="AW24" s="665"/>
      <c r="AX24" s="665" t="e">
        <f>IF(AN24&lt;=#REF!,#REF!,IF(AN24&lt;=#REF!,#REF!,IF(AN24&lt;=#REF!,#REF!,IF(AN24&lt;=#REF!,#REF!,IF(AN24&lt;=#REF!,#REF!,IF(AN24&lt;=#REF!,#REF!,IF(AN24&lt;=#REF!,#REF!,0.05)))))))</f>
        <v>#REF!</v>
      </c>
      <c r="AY24" s="664" t="e">
        <f t="shared" si="8"/>
        <v>#REF!</v>
      </c>
      <c r="AZ24" s="665"/>
      <c r="BA24" s="665" t="e">
        <f>IF(AQ24&lt;=#REF!,#REF!,IF(AQ24&lt;=#REF!,#REF!,IF(AQ24&lt;=#REF!,#REF!,IF(AQ24&lt;=#REF!,#REF!,IF(AQ24&lt;=#REF!,#REF!,IF(AQ24&lt;=#REF!,#REF!,IF(AQ24&lt;=#REF!,#REF!,0.05)))))))</f>
        <v>#REF!</v>
      </c>
      <c r="BB24" s="595" t="e">
        <f t="shared" si="9"/>
        <v>#REF!</v>
      </c>
      <c r="BC24" s="665"/>
      <c r="BD24" s="666" t="e">
        <f>IF(AT24&lt;=#REF!,#REF!,IF(AT24&lt;=#REF!,#REF!,IF(AT24&lt;=#REF!,#REF!,IF(AT24&lt;=#REF!,#REF!,IF(AT24&lt;=#REF!,#REF!,IF(AT24&lt;=#REF!,#REF!,IF(AT24&lt;=#REF!,#REF!,0.05)))))))</f>
        <v>#REF!</v>
      </c>
      <c r="BE24" s="664" t="e">
        <f t="shared" si="10"/>
        <v>#REF!</v>
      </c>
      <c r="BF24" s="667"/>
      <c r="BG24" s="668" t="e">
        <f t="shared" si="11"/>
        <v>#REF!</v>
      </c>
      <c r="BH24" s="667"/>
      <c r="BI24" s="668" t="e">
        <f t="shared" si="12"/>
        <v>#REF!</v>
      </c>
      <c r="BJ24" s="669" t="e">
        <f t="shared" si="13"/>
        <v>#REF!</v>
      </c>
      <c r="BK24" s="665" t="e">
        <f t="shared" si="14"/>
        <v>#REF!</v>
      </c>
      <c r="CA24" s="664">
        <v>17000</v>
      </c>
      <c r="CB24" s="664"/>
      <c r="CC24" s="664"/>
      <c r="CD24" s="664">
        <f t="shared" si="15"/>
        <v>17000</v>
      </c>
      <c r="CE24" s="664"/>
      <c r="CF24" s="664"/>
      <c r="CG24" s="664">
        <f t="shared" si="16"/>
        <v>34000</v>
      </c>
      <c r="CH24" s="664"/>
      <c r="CI24" s="664"/>
      <c r="CJ24" s="595">
        <f t="shared" si="17"/>
        <v>34000</v>
      </c>
      <c r="CK24" s="665">
        <f t="shared" si="0"/>
        <v>0.05</v>
      </c>
      <c r="CL24" s="664">
        <f t="shared" si="18"/>
        <v>850</v>
      </c>
      <c r="CM24" s="665"/>
      <c r="CN24" s="665">
        <f t="shared" si="1"/>
        <v>0.03</v>
      </c>
      <c r="CO24" s="664">
        <f t="shared" si="19"/>
        <v>510</v>
      </c>
      <c r="CP24" s="665"/>
      <c r="CQ24" s="665">
        <f t="shared" si="2"/>
        <v>0.18</v>
      </c>
      <c r="CR24" s="595">
        <f t="shared" si="20"/>
        <v>6364.8</v>
      </c>
      <c r="CS24" s="665"/>
      <c r="CT24" s="666">
        <f t="shared" si="3"/>
        <v>-0.05</v>
      </c>
      <c r="CU24" s="664">
        <f t="shared" si="21"/>
        <v>-1700</v>
      </c>
      <c r="CV24" s="667"/>
      <c r="CW24" s="668">
        <f t="shared" si="22"/>
        <v>2801.7360000000003</v>
      </c>
      <c r="CX24" s="667"/>
      <c r="CY24" s="668">
        <f t="shared" si="23"/>
        <v>42826.536</v>
      </c>
      <c r="CZ24" s="669">
        <f t="shared" si="24"/>
        <v>6024.8</v>
      </c>
      <c r="DA24" s="665">
        <f>CZ24/CY24</f>
        <v>0.14067913407705915</v>
      </c>
    </row>
    <row r="25" spans="1:117" s="585" customFormat="1">
      <c r="A25" s="1358" t="s">
        <v>744</v>
      </c>
      <c r="B25" s="1359"/>
      <c r="C25" s="1360" t="s">
        <v>874</v>
      </c>
      <c r="D25" s="1367">
        <f>IF(A25=AB162,AF162,IF(A25=AB163,AF163,IF(A25=AB164,AF164,IF(A25=AB165,AF165,IF(A25=AB166,AF166,IF(A25=AB167,AF167,0))))))</f>
        <v>0</v>
      </c>
      <c r="E25" s="649"/>
      <c r="F25" s="600"/>
      <c r="G25" s="600"/>
      <c r="H25" s="670" t="s">
        <v>572</v>
      </c>
      <c r="I25" s="671">
        <v>59</v>
      </c>
      <c r="J25" s="672">
        <f>(SUM(D18:D19))</f>
        <v>0</v>
      </c>
      <c r="K25" s="673">
        <f>ROUND(J25/I25,0)</f>
        <v>0</v>
      </c>
      <c r="L25" s="662" t="s">
        <v>573</v>
      </c>
      <c r="O25" s="663" t="s">
        <v>943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  <c r="AK25" s="595">
        <v>18000</v>
      </c>
      <c r="AL25" s="595"/>
      <c r="AM25" s="595"/>
      <c r="AN25" s="595">
        <f t="shared" si="4"/>
        <v>18000</v>
      </c>
      <c r="AO25" s="595"/>
      <c r="AP25" s="595"/>
      <c r="AQ25" s="595">
        <f t="shared" si="5"/>
        <v>36000</v>
      </c>
      <c r="AR25" s="595"/>
      <c r="AS25" s="595"/>
      <c r="AT25" s="595">
        <f t="shared" si="6"/>
        <v>36000</v>
      </c>
      <c r="AU25" s="596" t="e">
        <f>IF(AK25&lt;=#REF!,#REF!,IF(AK25&lt;=#REF!,#REF!,IF(AK25&lt;=#REF!,#REF!,IF(AK25&lt;=#REF!,#REF!,IF(AK25&lt;=#REF!,#REF!,IF(AK25&lt;=#REF!,#REF!,IF(AK25&lt;=#REF!,#REF!,0.05)))))))</f>
        <v>#REF!</v>
      </c>
      <c r="AV25" s="595" t="e">
        <f t="shared" si="7"/>
        <v>#REF!</v>
      </c>
      <c r="AW25" s="596"/>
      <c r="AX25" s="596" t="e">
        <f>IF(AN25&lt;=#REF!,#REF!,IF(AN25&lt;=#REF!,#REF!,IF(AN25&lt;=#REF!,#REF!,IF(AN25&lt;=#REF!,#REF!,IF(AN25&lt;=#REF!,#REF!,IF(AN25&lt;=#REF!,#REF!,IF(AN25&lt;=#REF!,#REF!,0.05)))))))</f>
        <v>#REF!</v>
      </c>
      <c r="AY25" s="595" t="e">
        <f t="shared" si="8"/>
        <v>#REF!</v>
      </c>
      <c r="AZ25" s="596"/>
      <c r="BA25" s="596" t="e">
        <f>IF(AQ25&lt;=#REF!,#REF!,IF(AQ25&lt;=#REF!,#REF!,IF(AQ25&lt;=#REF!,#REF!,IF(AQ25&lt;=#REF!,#REF!,IF(AQ25&lt;=#REF!,#REF!,IF(AQ25&lt;=#REF!,#REF!,IF(AQ25&lt;=#REF!,#REF!,0.05)))))))</f>
        <v>#REF!</v>
      </c>
      <c r="BB25" s="595" t="e">
        <f t="shared" si="9"/>
        <v>#REF!</v>
      </c>
      <c r="BC25" s="596"/>
      <c r="BD25" s="597" t="e">
        <f>IF(AT25&lt;=#REF!,#REF!,IF(AT25&lt;=#REF!,#REF!,IF(AT25&lt;=#REF!,#REF!,IF(AT25&lt;=#REF!,#REF!,IF(AT25&lt;=#REF!,#REF!,IF(AT25&lt;=#REF!,#REF!,IF(AT25&lt;=#REF!,#REF!,0.05)))))))</f>
        <v>#REF!</v>
      </c>
      <c r="BE25" s="595" t="e">
        <f t="shared" si="10"/>
        <v>#REF!</v>
      </c>
      <c r="BG25" s="598" t="e">
        <f t="shared" si="11"/>
        <v>#REF!</v>
      </c>
      <c r="BI25" s="598" t="e">
        <f t="shared" si="12"/>
        <v>#REF!</v>
      </c>
      <c r="BJ25" s="599" t="e">
        <f t="shared" si="13"/>
        <v>#REF!</v>
      </c>
      <c r="BK25" s="596" t="e">
        <f t="shared" si="14"/>
        <v>#REF!</v>
      </c>
      <c r="CA25" s="595">
        <v>18000</v>
      </c>
      <c r="CB25" s="595"/>
      <c r="CC25" s="595"/>
      <c r="CD25" s="595">
        <f t="shared" si="15"/>
        <v>18000</v>
      </c>
      <c r="CE25" s="595"/>
      <c r="CF25" s="595"/>
      <c r="CG25" s="595">
        <f t="shared" si="16"/>
        <v>36000</v>
      </c>
      <c r="CH25" s="595"/>
      <c r="CI25" s="595"/>
      <c r="CJ25" s="595">
        <f t="shared" si="17"/>
        <v>36000</v>
      </c>
      <c r="CK25" s="596">
        <f t="shared" si="0"/>
        <v>0.05</v>
      </c>
      <c r="CL25" s="595">
        <f t="shared" si="18"/>
        <v>900</v>
      </c>
      <c r="CM25" s="596"/>
      <c r="CN25" s="596">
        <f t="shared" si="1"/>
        <v>0.03</v>
      </c>
      <c r="CO25" s="595">
        <f t="shared" si="19"/>
        <v>540</v>
      </c>
      <c r="CP25" s="596"/>
      <c r="CQ25" s="596">
        <f t="shared" si="2"/>
        <v>0.18</v>
      </c>
      <c r="CR25" s="595">
        <f t="shared" si="20"/>
        <v>6739.2</v>
      </c>
      <c r="CS25" s="596"/>
      <c r="CT25" s="597">
        <f t="shared" si="3"/>
        <v>-5.5E-2</v>
      </c>
      <c r="CU25" s="595">
        <f t="shared" si="21"/>
        <v>-1980</v>
      </c>
      <c r="CW25" s="598">
        <f t="shared" si="22"/>
        <v>2953.944</v>
      </c>
      <c r="CY25" s="598">
        <f t="shared" si="23"/>
        <v>45153.144</v>
      </c>
      <c r="CZ25" s="599">
        <f t="shared" si="24"/>
        <v>6199.2</v>
      </c>
      <c r="DA25" s="596">
        <f t="shared" si="25"/>
        <v>0.13729276526126286</v>
      </c>
    </row>
    <row r="26" spans="1:117" s="585" customFormat="1">
      <c r="A26" s="1358" t="s">
        <v>1005</v>
      </c>
      <c r="B26" s="1359"/>
      <c r="C26" s="1360" t="s">
        <v>874</v>
      </c>
      <c r="D26" s="1367">
        <f>IF(A26=AR181,AF175,IF(A26=AR182,AF182,IF(A26=AR183,AF188,IF(A26=AR184,AF197,IF(A26=AR185,AF205,IF(A26=AR186,AF213,IF(A26=AR187,AF221,IF(A26=AR188,AF227,IF(A26=AR189,AF237,IF(A26=AR190,AF245,IF(A26=AR191,AF254,IF(A26=AR192,AF264,IF(A26=AR193,AF271,IF(A26=AR194,AF279,IF(A26=AR195,AF286,IF(A26=AR198,AF297,IF(A26=AR199,AF308,IF(A26=AR200,AF316,IF(A26=AR201,AF324,IF(A26=AR202,AF331,IF(A26=AR203,AF339,0)))))))))))))))))))))</f>
        <v>0</v>
      </c>
      <c r="E26" s="649"/>
      <c r="F26" s="600"/>
      <c r="G26" s="600"/>
      <c r="I26" s="590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  <c r="AK26" s="595">
        <v>19000</v>
      </c>
      <c r="AL26" s="595"/>
      <c r="AM26" s="595"/>
      <c r="AN26" s="595">
        <f t="shared" si="4"/>
        <v>19000</v>
      </c>
      <c r="AO26" s="595"/>
      <c r="AP26" s="595"/>
      <c r="AQ26" s="595">
        <f t="shared" si="5"/>
        <v>38000</v>
      </c>
      <c r="AR26" s="595"/>
      <c r="AS26" s="595"/>
      <c r="AT26" s="595">
        <f t="shared" si="6"/>
        <v>38000</v>
      </c>
      <c r="AU26" s="596" t="e">
        <f>IF(AK26&lt;=#REF!,#REF!,IF(AK26&lt;=#REF!,#REF!,IF(AK26&lt;=#REF!,#REF!,IF(AK26&lt;=#REF!,#REF!,IF(AK26&lt;=#REF!,#REF!,IF(AK26&lt;=#REF!,#REF!,IF(AK26&lt;=#REF!,#REF!,0.05)))))))</f>
        <v>#REF!</v>
      </c>
      <c r="AV26" s="595" t="e">
        <f t="shared" si="7"/>
        <v>#REF!</v>
      </c>
      <c r="AW26" s="596"/>
      <c r="AX26" s="596" t="e">
        <f>IF(AN26&lt;=#REF!,#REF!,IF(AN26&lt;=#REF!,#REF!,IF(AN26&lt;=#REF!,#REF!,IF(AN26&lt;=#REF!,#REF!,IF(AN26&lt;=#REF!,#REF!,IF(AN26&lt;=#REF!,#REF!,IF(AN26&lt;=#REF!,#REF!,0.05)))))))</f>
        <v>#REF!</v>
      </c>
      <c r="AY26" s="595" t="e">
        <f t="shared" si="8"/>
        <v>#REF!</v>
      </c>
      <c r="AZ26" s="596"/>
      <c r="BA26" s="596" t="e">
        <f>IF(AQ26&lt;=#REF!,#REF!,IF(AQ26&lt;=#REF!,#REF!,IF(AQ26&lt;=#REF!,#REF!,IF(AQ26&lt;=#REF!,#REF!,IF(AQ26&lt;=#REF!,#REF!,IF(AQ26&lt;=#REF!,#REF!,IF(AQ26&lt;=#REF!,#REF!,0.05)))))))</f>
        <v>#REF!</v>
      </c>
      <c r="BB26" s="595" t="e">
        <f t="shared" si="9"/>
        <v>#REF!</v>
      </c>
      <c r="BC26" s="596"/>
      <c r="BD26" s="597" t="e">
        <f>IF(AT26&lt;=#REF!,#REF!,IF(AT26&lt;=#REF!,#REF!,IF(AT26&lt;=#REF!,#REF!,IF(AT26&lt;=#REF!,#REF!,IF(AT26&lt;=#REF!,#REF!,IF(AT26&lt;=#REF!,#REF!,IF(AT26&lt;=#REF!,#REF!,0.05)))))))</f>
        <v>#REF!</v>
      </c>
      <c r="BE26" s="595" t="e">
        <f t="shared" si="10"/>
        <v>#REF!</v>
      </c>
      <c r="BG26" s="598" t="e">
        <f t="shared" si="11"/>
        <v>#REF!</v>
      </c>
      <c r="BI26" s="598" t="e">
        <f t="shared" si="12"/>
        <v>#REF!</v>
      </c>
      <c r="BJ26" s="599" t="e">
        <f t="shared" si="13"/>
        <v>#REF!</v>
      </c>
      <c r="BK26" s="596" t="e">
        <f t="shared" si="14"/>
        <v>#REF!</v>
      </c>
      <c r="CA26" s="595">
        <v>19000</v>
      </c>
      <c r="CB26" s="595"/>
      <c r="CC26" s="595"/>
      <c r="CD26" s="595">
        <f t="shared" si="15"/>
        <v>19000</v>
      </c>
      <c r="CE26" s="595"/>
      <c r="CF26" s="595"/>
      <c r="CG26" s="595">
        <f t="shared" si="16"/>
        <v>38000</v>
      </c>
      <c r="CH26" s="595"/>
      <c r="CI26" s="595"/>
      <c r="CJ26" s="595">
        <f t="shared" si="17"/>
        <v>38000</v>
      </c>
      <c r="CK26" s="596">
        <f t="shared" si="0"/>
        <v>0.05</v>
      </c>
      <c r="CL26" s="595">
        <f t="shared" si="18"/>
        <v>950</v>
      </c>
      <c r="CM26" s="596"/>
      <c r="CN26" s="596">
        <f t="shared" si="1"/>
        <v>0.03</v>
      </c>
      <c r="CO26" s="595">
        <f t="shared" si="19"/>
        <v>570</v>
      </c>
      <c r="CP26" s="596"/>
      <c r="CQ26" s="596">
        <f t="shared" si="2"/>
        <v>0.18</v>
      </c>
      <c r="CR26" s="595">
        <f t="shared" si="20"/>
        <v>7113.5999999999995</v>
      </c>
      <c r="CS26" s="596"/>
      <c r="CT26" s="597">
        <f t="shared" si="3"/>
        <v>-5.5E-2</v>
      </c>
      <c r="CU26" s="595">
        <f t="shared" si="21"/>
        <v>-2090</v>
      </c>
      <c r="CW26" s="598">
        <f t="shared" si="22"/>
        <v>3118.0520000000001</v>
      </c>
      <c r="CY26" s="598">
        <f t="shared" si="23"/>
        <v>47661.652000000002</v>
      </c>
      <c r="CZ26" s="599">
        <f t="shared" si="24"/>
        <v>6543.5999999999995</v>
      </c>
      <c r="DA26" s="596">
        <f t="shared" si="25"/>
        <v>0.13729276526126286</v>
      </c>
    </row>
    <row r="27" spans="1:117" s="585" customFormat="1">
      <c r="A27" s="647"/>
      <c r="B27" s="634"/>
      <c r="C27" s="629"/>
      <c r="D27" s="648">
        <f t="shared" si="28"/>
        <v>0</v>
      </c>
      <c r="E27" s="600"/>
      <c r="F27" s="600"/>
      <c r="G27" s="600"/>
      <c r="H27" s="600"/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  <c r="AW27" s="595">
        <v>20000</v>
      </c>
      <c r="AX27" s="595"/>
      <c r="AY27" s="595"/>
      <c r="AZ27" s="595">
        <f t="shared" si="4"/>
        <v>20000</v>
      </c>
      <c r="BA27" s="595"/>
      <c r="BB27" s="595"/>
      <c r="BC27" s="595">
        <f t="shared" si="5"/>
        <v>40000</v>
      </c>
      <c r="BD27" s="595"/>
      <c r="BE27" s="595"/>
      <c r="BF27" s="595">
        <f t="shared" si="6"/>
        <v>40000</v>
      </c>
      <c r="BG27" s="596" t="e">
        <f>IF(AW27&lt;=#REF!,#REF!,IF(AW27&lt;=#REF!,#REF!,IF(AW27&lt;=#REF!,#REF!,IF(AW27&lt;=#REF!,#REF!,IF(AW27&lt;=#REF!,#REF!,IF(AW27&lt;=#REF!,#REF!,IF(AW27&lt;=#REF!,#REF!,0.05)))))))</f>
        <v>#REF!</v>
      </c>
      <c r="BH27" s="595" t="e">
        <f t="shared" si="7"/>
        <v>#REF!</v>
      </c>
      <c r="BI27" s="596"/>
      <c r="BJ27" s="596" t="e">
        <f>IF(AZ27&lt;=#REF!,#REF!,IF(AZ27&lt;=#REF!,#REF!,IF(AZ27&lt;=#REF!,#REF!,IF(AZ27&lt;=#REF!,#REF!,IF(AZ27&lt;=#REF!,#REF!,IF(AZ27&lt;=#REF!,#REF!,IF(AZ27&lt;=#REF!,#REF!,0.05)))))))</f>
        <v>#REF!</v>
      </c>
      <c r="BK27" s="595" t="e">
        <f t="shared" si="8"/>
        <v>#REF!</v>
      </c>
      <c r="BL27" s="596"/>
      <c r="BM27" s="596" t="e">
        <f>IF(BC27&lt;=#REF!,#REF!,IF(BC27&lt;=#REF!,#REF!,IF(BC27&lt;=#REF!,#REF!,IF(BC27&lt;=#REF!,#REF!,IF(BC27&lt;=#REF!,#REF!,IF(BC27&lt;=#REF!,#REF!,IF(BC27&lt;=#REF!,#REF!,0.05)))))))</f>
        <v>#REF!</v>
      </c>
      <c r="BN27" s="595" t="e">
        <f t="shared" si="9"/>
        <v>#REF!</v>
      </c>
      <c r="BO27" s="596"/>
      <c r="BP27" s="597" t="e">
        <f>IF(BF27&lt;=#REF!,#REF!,IF(BF27&lt;=#REF!,#REF!,IF(BF27&lt;=#REF!,#REF!,IF(BF27&lt;=#REF!,#REF!,IF(BF27&lt;=#REF!,#REF!,IF(BF27&lt;=#REF!,#REF!,IF(BF27&lt;=#REF!,#REF!,0.05)))))))</f>
        <v>#REF!</v>
      </c>
      <c r="BQ27" s="595" t="e">
        <f t="shared" si="10"/>
        <v>#REF!</v>
      </c>
      <c r="BS27" s="598" t="e">
        <f t="shared" si="11"/>
        <v>#REF!</v>
      </c>
      <c r="BU27" s="598" t="e">
        <f t="shared" si="12"/>
        <v>#REF!</v>
      </c>
      <c r="BV27" s="599" t="e">
        <f t="shared" si="13"/>
        <v>#REF!</v>
      </c>
      <c r="BW27" s="596" t="e">
        <f t="shared" si="14"/>
        <v>#REF!</v>
      </c>
      <c r="CM27" s="595">
        <v>20000</v>
      </c>
      <c r="CN27" s="595"/>
      <c r="CO27" s="595"/>
      <c r="CP27" s="595">
        <f t="shared" si="15"/>
        <v>20000</v>
      </c>
      <c r="CQ27" s="595"/>
      <c r="CR27" s="595"/>
      <c r="CS27" s="595">
        <f t="shared" si="16"/>
        <v>40000</v>
      </c>
      <c r="CT27" s="595"/>
      <c r="CU27" s="595"/>
      <c r="CV27" s="595">
        <f t="shared" si="17"/>
        <v>40000</v>
      </c>
      <c r="CW27" s="596">
        <f t="shared" ref="CW27:CW52" si="29">IF(CM27&lt;=BO$4,BN$4,IF(CM27&lt;=BO$5,BN$5,IF(CM27&lt;=BO$6,BN$6,IF(CM27&lt;=BO$7,BN$7,IF(CM27&lt;=BO$12,BN$12,IF(CM27&lt;=BO$13,BN$13,IF(CM27&lt;=BO$14,BN$14,0.05)))))))</f>
        <v>0.05</v>
      </c>
      <c r="CX27" s="595">
        <f t="shared" si="18"/>
        <v>1000</v>
      </c>
      <c r="CY27" s="596"/>
      <c r="CZ27" s="596">
        <f t="shared" ref="CZ27:CZ52" si="30">IF(CP27&lt;=BR$4,BQ$4,IF(CP27&lt;=BR$5,BQ$5,IF(CP27&lt;=BR$6,BQ$6,IF(CP27&lt;=BR$7,BQ$7,IF(CP27&lt;=BR$12,BQ$12,IF(CP27&lt;=BR$13,BQ$13,IF(CP27&lt;=BR$14,BQ$14,0.05)))))))</f>
        <v>0.03</v>
      </c>
      <c r="DA27" s="595">
        <f t="shared" si="19"/>
        <v>600</v>
      </c>
      <c r="DB27" s="596"/>
      <c r="DC27" s="596">
        <f t="shared" ref="DC27:DC52" si="31">IF(CS27&lt;=BU$4,BT$4,IF(CS27&lt;=BU$5,BT$5,IF(CS27&lt;=BU$6,BT$6,IF(CS27&lt;=BU$7,BT$7,IF(CS27&lt;=BU$12,BT$12,IF(CS27&lt;=BU$13,BT$13,IF(CS27&lt;=BU$14,BT$14,0.05)))))))</f>
        <v>0.18</v>
      </c>
      <c r="DD27" s="595">
        <f t="shared" si="20"/>
        <v>7488</v>
      </c>
      <c r="DE27" s="596"/>
      <c r="DF27" s="597">
        <f t="shared" ref="DF27:DF52" si="32">IF(CV27&lt;=BX$4,BW$4,IF(CV27&lt;=BX$5,BW$5,IF(CV27&lt;=BX$6,BW$6,IF(CV27&lt;=BX$7,BW$7,IF(CV27&lt;=BX$12,BW$12,IF(CV27&lt;=BX$13,BW$13,IF(CV27&lt;=BX$14,BW$14,0.05)))))))</f>
        <v>-5.5E-2</v>
      </c>
      <c r="DG27" s="595">
        <f t="shared" si="21"/>
        <v>-2200</v>
      </c>
      <c r="DI27" s="598">
        <f t="shared" si="22"/>
        <v>3282.1600000000003</v>
      </c>
      <c r="DK27" s="598">
        <f t="shared" si="23"/>
        <v>50170.16</v>
      </c>
      <c r="DL27" s="599">
        <f t="shared" si="24"/>
        <v>6888</v>
      </c>
      <c r="DM27" s="596">
        <f t="shared" si="25"/>
        <v>0.13729276526126286</v>
      </c>
    </row>
    <row r="28" spans="1:117" s="585" customFormat="1">
      <c r="A28" s="647"/>
      <c r="B28" s="634"/>
      <c r="C28" s="629"/>
      <c r="D28" s="648">
        <f t="shared" ref="D28" si="33">B28*C28</f>
        <v>0</v>
      </c>
      <c r="E28" s="600"/>
      <c r="F28" s="600"/>
      <c r="G28" s="600"/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  <c r="AW28" s="595">
        <v>21000</v>
      </c>
      <c r="AX28" s="595"/>
      <c r="AY28" s="595"/>
      <c r="AZ28" s="595">
        <f t="shared" si="4"/>
        <v>21000</v>
      </c>
      <c r="BA28" s="595"/>
      <c r="BB28" s="595"/>
      <c r="BC28" s="595">
        <f t="shared" si="5"/>
        <v>42000</v>
      </c>
      <c r="BD28" s="595"/>
      <c r="BE28" s="595"/>
      <c r="BF28" s="595">
        <f t="shared" si="6"/>
        <v>42000</v>
      </c>
      <c r="BG28" s="596" t="e">
        <f>IF(AW28&lt;=#REF!,#REF!,IF(AW28&lt;=#REF!,#REF!,IF(AW28&lt;=#REF!,#REF!,IF(AW28&lt;=#REF!,#REF!,IF(AW28&lt;=#REF!,#REF!,IF(AW28&lt;=#REF!,#REF!,IF(AW28&lt;=#REF!,#REF!,0.05)))))))</f>
        <v>#REF!</v>
      </c>
      <c r="BH28" s="595" t="e">
        <f t="shared" si="7"/>
        <v>#REF!</v>
      </c>
      <c r="BI28" s="596"/>
      <c r="BJ28" s="596" t="e">
        <f>IF(AZ28&lt;=#REF!,#REF!,IF(AZ28&lt;=#REF!,#REF!,IF(AZ28&lt;=#REF!,#REF!,IF(AZ28&lt;=#REF!,#REF!,IF(AZ28&lt;=#REF!,#REF!,IF(AZ28&lt;=#REF!,#REF!,IF(AZ28&lt;=#REF!,#REF!,0.05)))))))</f>
        <v>#REF!</v>
      </c>
      <c r="BK28" s="595" t="e">
        <f t="shared" si="8"/>
        <v>#REF!</v>
      </c>
      <c r="BL28" s="596"/>
      <c r="BM28" s="596" t="e">
        <f>IF(BC28&lt;=#REF!,#REF!,IF(BC28&lt;=#REF!,#REF!,IF(BC28&lt;=#REF!,#REF!,IF(BC28&lt;=#REF!,#REF!,IF(BC28&lt;=#REF!,#REF!,IF(BC28&lt;=#REF!,#REF!,IF(BC28&lt;=#REF!,#REF!,0.05)))))))</f>
        <v>#REF!</v>
      </c>
      <c r="BN28" s="595" t="e">
        <f t="shared" si="9"/>
        <v>#REF!</v>
      </c>
      <c r="BO28" s="596"/>
      <c r="BP28" s="597" t="e">
        <f>IF(BF28&lt;=#REF!,#REF!,IF(BF28&lt;=#REF!,#REF!,IF(BF28&lt;=#REF!,#REF!,IF(BF28&lt;=#REF!,#REF!,IF(BF28&lt;=#REF!,#REF!,IF(BF28&lt;=#REF!,#REF!,IF(BF28&lt;=#REF!,#REF!,0.05)))))))</f>
        <v>#REF!</v>
      </c>
      <c r="BQ28" s="595" t="e">
        <f t="shared" si="10"/>
        <v>#REF!</v>
      </c>
      <c r="BS28" s="598" t="e">
        <f t="shared" si="11"/>
        <v>#REF!</v>
      </c>
      <c r="BU28" s="598" t="e">
        <f t="shared" si="12"/>
        <v>#REF!</v>
      </c>
      <c r="BV28" s="599" t="e">
        <f t="shared" si="13"/>
        <v>#REF!</v>
      </c>
      <c r="BW28" s="596" t="e">
        <f t="shared" si="14"/>
        <v>#REF!</v>
      </c>
      <c r="CM28" s="595">
        <v>21000</v>
      </c>
      <c r="CN28" s="595"/>
      <c r="CO28" s="595"/>
      <c r="CP28" s="595">
        <f t="shared" si="15"/>
        <v>21000</v>
      </c>
      <c r="CQ28" s="595"/>
      <c r="CR28" s="595"/>
      <c r="CS28" s="595">
        <f t="shared" si="16"/>
        <v>42000</v>
      </c>
      <c r="CT28" s="595"/>
      <c r="CU28" s="595"/>
      <c r="CV28" s="595">
        <f t="shared" si="17"/>
        <v>42000</v>
      </c>
      <c r="CW28" s="596">
        <f t="shared" si="29"/>
        <v>0.05</v>
      </c>
      <c r="CX28" s="595">
        <f t="shared" si="18"/>
        <v>1050</v>
      </c>
      <c r="CY28" s="596"/>
      <c r="CZ28" s="596">
        <f t="shared" si="30"/>
        <v>0.03</v>
      </c>
      <c r="DA28" s="595">
        <f t="shared" si="19"/>
        <v>630</v>
      </c>
      <c r="DB28" s="596"/>
      <c r="DC28" s="596">
        <f t="shared" si="31"/>
        <v>0.18</v>
      </c>
      <c r="DD28" s="595">
        <f t="shared" si="20"/>
        <v>7862.4</v>
      </c>
      <c r="DE28" s="596"/>
      <c r="DF28" s="597">
        <f t="shared" si="32"/>
        <v>-5.5E-2</v>
      </c>
      <c r="DG28" s="595">
        <f t="shared" si="21"/>
        <v>-2310</v>
      </c>
      <c r="DI28" s="598">
        <f t="shared" si="22"/>
        <v>3446.2680000000005</v>
      </c>
      <c r="DK28" s="598">
        <f t="shared" si="23"/>
        <v>52678.667999999998</v>
      </c>
      <c r="DL28" s="599">
        <f t="shared" si="24"/>
        <v>7232.4</v>
      </c>
      <c r="DM28" s="596">
        <f t="shared" si="25"/>
        <v>0.13729276526126286</v>
      </c>
    </row>
    <row r="29" spans="1:117" s="585" customFormat="1">
      <c r="A29" s="641" t="s">
        <v>205</v>
      </c>
      <c r="B29" s="678"/>
      <c r="C29" s="679"/>
      <c r="D29" s="680"/>
      <c r="E29" s="600"/>
      <c r="F29" s="600"/>
      <c r="G29" s="600"/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  <c r="AW29" s="595">
        <v>22000</v>
      </c>
      <c r="AX29" s="595"/>
      <c r="AY29" s="595"/>
      <c r="AZ29" s="595">
        <f t="shared" si="4"/>
        <v>22000</v>
      </c>
      <c r="BA29" s="595"/>
      <c r="BB29" s="595"/>
      <c r="BC29" s="595">
        <f t="shared" si="5"/>
        <v>44000</v>
      </c>
      <c r="BD29" s="595"/>
      <c r="BE29" s="595"/>
      <c r="BF29" s="595">
        <f t="shared" si="6"/>
        <v>44000</v>
      </c>
      <c r="BG29" s="596" t="e">
        <f>IF(AW29&lt;=#REF!,#REF!,IF(AW29&lt;=#REF!,#REF!,IF(AW29&lt;=#REF!,#REF!,IF(AW29&lt;=#REF!,#REF!,IF(AW29&lt;=#REF!,#REF!,IF(AW29&lt;=#REF!,#REF!,IF(AW29&lt;=#REF!,#REF!,0.05)))))))</f>
        <v>#REF!</v>
      </c>
      <c r="BH29" s="595" t="e">
        <f t="shared" si="7"/>
        <v>#REF!</v>
      </c>
      <c r="BI29" s="596"/>
      <c r="BJ29" s="596" t="e">
        <f>IF(AZ29&lt;=#REF!,#REF!,IF(AZ29&lt;=#REF!,#REF!,IF(AZ29&lt;=#REF!,#REF!,IF(AZ29&lt;=#REF!,#REF!,IF(AZ29&lt;=#REF!,#REF!,IF(AZ29&lt;=#REF!,#REF!,IF(AZ29&lt;=#REF!,#REF!,0.05)))))))</f>
        <v>#REF!</v>
      </c>
      <c r="BK29" s="595" t="e">
        <f t="shared" si="8"/>
        <v>#REF!</v>
      </c>
      <c r="BL29" s="596"/>
      <c r="BM29" s="596" t="e">
        <f>IF(BC29&lt;=#REF!,#REF!,IF(BC29&lt;=#REF!,#REF!,IF(BC29&lt;=#REF!,#REF!,IF(BC29&lt;=#REF!,#REF!,IF(BC29&lt;=#REF!,#REF!,IF(BC29&lt;=#REF!,#REF!,IF(BC29&lt;=#REF!,#REF!,0.05)))))))</f>
        <v>#REF!</v>
      </c>
      <c r="BN29" s="595" t="e">
        <f t="shared" si="9"/>
        <v>#REF!</v>
      </c>
      <c r="BO29" s="596"/>
      <c r="BP29" s="597" t="e">
        <f>IF(BF29&lt;=#REF!,#REF!,IF(BF29&lt;=#REF!,#REF!,IF(BF29&lt;=#REF!,#REF!,IF(BF29&lt;=#REF!,#REF!,IF(BF29&lt;=#REF!,#REF!,IF(BF29&lt;=#REF!,#REF!,IF(BF29&lt;=#REF!,#REF!,0.05)))))))</f>
        <v>#REF!</v>
      </c>
      <c r="BQ29" s="595" t="e">
        <f t="shared" si="10"/>
        <v>#REF!</v>
      </c>
      <c r="BS29" s="598" t="e">
        <f t="shared" si="11"/>
        <v>#REF!</v>
      </c>
      <c r="BU29" s="598" t="e">
        <f t="shared" si="12"/>
        <v>#REF!</v>
      </c>
      <c r="BV29" s="599" t="e">
        <f t="shared" si="13"/>
        <v>#REF!</v>
      </c>
      <c r="BW29" s="596" t="e">
        <f t="shared" si="14"/>
        <v>#REF!</v>
      </c>
      <c r="CM29" s="595">
        <v>22000</v>
      </c>
      <c r="CN29" s="595"/>
      <c r="CO29" s="595"/>
      <c r="CP29" s="595">
        <f t="shared" si="15"/>
        <v>22000</v>
      </c>
      <c r="CQ29" s="595"/>
      <c r="CR29" s="595"/>
      <c r="CS29" s="595">
        <f t="shared" si="16"/>
        <v>44000</v>
      </c>
      <c r="CT29" s="595"/>
      <c r="CU29" s="595"/>
      <c r="CV29" s="595">
        <f t="shared" si="17"/>
        <v>44000</v>
      </c>
      <c r="CW29" s="596">
        <f t="shared" si="29"/>
        <v>0.05</v>
      </c>
      <c r="CX29" s="595">
        <f t="shared" si="18"/>
        <v>1100</v>
      </c>
      <c r="CY29" s="596"/>
      <c r="CZ29" s="596">
        <f t="shared" si="30"/>
        <v>0.03</v>
      </c>
      <c r="DA29" s="595">
        <f t="shared" si="19"/>
        <v>660</v>
      </c>
      <c r="DB29" s="596"/>
      <c r="DC29" s="596">
        <f t="shared" si="31"/>
        <v>0.18</v>
      </c>
      <c r="DD29" s="595">
        <f t="shared" si="20"/>
        <v>8236.7999999999993</v>
      </c>
      <c r="DE29" s="596"/>
      <c r="DF29" s="597">
        <f t="shared" si="32"/>
        <v>-5.5E-2</v>
      </c>
      <c r="DG29" s="595">
        <f t="shared" si="21"/>
        <v>-2420</v>
      </c>
      <c r="DI29" s="598">
        <f t="shared" si="22"/>
        <v>3610.3760000000007</v>
      </c>
      <c r="DK29" s="598">
        <f t="shared" si="23"/>
        <v>55187.175999999999</v>
      </c>
      <c r="DL29" s="599">
        <f t="shared" si="24"/>
        <v>7576.7999999999993</v>
      </c>
      <c r="DM29" s="596">
        <f t="shared" si="25"/>
        <v>0.13729276526126286</v>
      </c>
    </row>
    <row r="30" spans="1:117" s="585" customFormat="1" ht="16.05" customHeight="1">
      <c r="A30" s="1327" t="str">
        <f>A22</f>
        <v>System 1 Options</v>
      </c>
      <c r="B30" s="1300"/>
      <c r="C30" s="1326" t="s">
        <v>878</v>
      </c>
      <c r="D30" s="1368">
        <f>IF(A30=R181,P174,IF(A30=R182,P180,IF(A30=R183,P187,IF(A30=R184,P195,IF(A30=R185,P203,IF(A30=R186,P211,IF(A30=R187,P219,IF(A30=R188,P226,IF(A30=R189,P235,IF(A30=R190,P243,IF(A30=R191,P251,IF(A30=R192,P262,IF(A30=R193,P269,IF(A30=R194,P278,IF(A30=R195,P286,0)))))))))))))))</f>
        <v>0</v>
      </c>
      <c r="E30" s="662" t="s">
        <v>1141</v>
      </c>
      <c r="F30" s="600"/>
      <c r="G30" s="600"/>
      <c r="Q30" s="600"/>
      <c r="R30" s="600"/>
      <c r="S30" s="600"/>
      <c r="T30" s="600"/>
      <c r="AW30" s="595">
        <v>23000</v>
      </c>
      <c r="AX30" s="595"/>
      <c r="AY30" s="595"/>
      <c r="AZ30" s="595">
        <f t="shared" si="4"/>
        <v>23000</v>
      </c>
      <c r="BA30" s="595"/>
      <c r="BB30" s="595"/>
      <c r="BC30" s="595">
        <f t="shared" si="5"/>
        <v>46000</v>
      </c>
      <c r="BD30" s="595"/>
      <c r="BE30" s="595"/>
      <c r="BF30" s="595">
        <f t="shared" si="6"/>
        <v>46000</v>
      </c>
      <c r="BG30" s="596" t="e">
        <f>IF(AW30&lt;=#REF!,#REF!,IF(AW30&lt;=#REF!,#REF!,IF(AW30&lt;=#REF!,#REF!,IF(AW30&lt;=#REF!,#REF!,IF(AW30&lt;=#REF!,#REF!,IF(AW30&lt;=#REF!,#REF!,IF(AW30&lt;=#REF!,#REF!,0.05)))))))</f>
        <v>#REF!</v>
      </c>
      <c r="BH30" s="595" t="e">
        <f t="shared" si="7"/>
        <v>#REF!</v>
      </c>
      <c r="BI30" s="596"/>
      <c r="BJ30" s="596" t="e">
        <f>IF(AZ30&lt;=#REF!,#REF!,IF(AZ30&lt;=#REF!,#REF!,IF(AZ30&lt;=#REF!,#REF!,IF(AZ30&lt;=#REF!,#REF!,IF(AZ30&lt;=#REF!,#REF!,IF(AZ30&lt;=#REF!,#REF!,IF(AZ30&lt;=#REF!,#REF!,0.05)))))))</f>
        <v>#REF!</v>
      </c>
      <c r="BK30" s="595" t="e">
        <f t="shared" si="8"/>
        <v>#REF!</v>
      </c>
      <c r="BL30" s="596"/>
      <c r="BM30" s="596" t="e">
        <f>IF(BC30&lt;=#REF!,#REF!,IF(BC30&lt;=#REF!,#REF!,IF(BC30&lt;=#REF!,#REF!,IF(BC30&lt;=#REF!,#REF!,IF(BC30&lt;=#REF!,#REF!,IF(BC30&lt;=#REF!,#REF!,IF(BC30&lt;=#REF!,#REF!,0.05)))))))</f>
        <v>#REF!</v>
      </c>
      <c r="BN30" s="595" t="e">
        <f t="shared" si="9"/>
        <v>#REF!</v>
      </c>
      <c r="BO30" s="596"/>
      <c r="BP30" s="597" t="e">
        <f>IF(BF30&lt;=#REF!,#REF!,IF(BF30&lt;=#REF!,#REF!,IF(BF30&lt;=#REF!,#REF!,IF(BF30&lt;=#REF!,#REF!,IF(BF30&lt;=#REF!,#REF!,IF(BF30&lt;=#REF!,#REF!,IF(BF30&lt;=#REF!,#REF!,0.05)))))))</f>
        <v>#REF!</v>
      </c>
      <c r="BQ30" s="595" t="e">
        <f t="shared" si="10"/>
        <v>#REF!</v>
      </c>
      <c r="BS30" s="598" t="e">
        <f t="shared" si="11"/>
        <v>#REF!</v>
      </c>
      <c r="BU30" s="598" t="e">
        <f t="shared" si="12"/>
        <v>#REF!</v>
      </c>
      <c r="BV30" s="599" t="e">
        <f t="shared" si="13"/>
        <v>#REF!</v>
      </c>
      <c r="BW30" s="596" t="e">
        <f t="shared" si="14"/>
        <v>#REF!</v>
      </c>
      <c r="CM30" s="595">
        <v>23000</v>
      </c>
      <c r="CN30" s="595"/>
      <c r="CO30" s="595"/>
      <c r="CP30" s="595">
        <f t="shared" si="15"/>
        <v>23000</v>
      </c>
      <c r="CQ30" s="595"/>
      <c r="CR30" s="595"/>
      <c r="CS30" s="595">
        <f t="shared" si="16"/>
        <v>46000</v>
      </c>
      <c r="CT30" s="595"/>
      <c r="CU30" s="595"/>
      <c r="CV30" s="595">
        <f t="shared" si="17"/>
        <v>46000</v>
      </c>
      <c r="CW30" s="596">
        <f t="shared" si="29"/>
        <v>0.05</v>
      </c>
      <c r="CX30" s="595">
        <f t="shared" si="18"/>
        <v>1150</v>
      </c>
      <c r="CY30" s="596"/>
      <c r="CZ30" s="596">
        <f t="shared" si="30"/>
        <v>0.03</v>
      </c>
      <c r="DA30" s="595">
        <f t="shared" si="19"/>
        <v>690</v>
      </c>
      <c r="DB30" s="596"/>
      <c r="DC30" s="596">
        <f t="shared" si="31"/>
        <v>0.18</v>
      </c>
      <c r="DD30" s="595">
        <f t="shared" si="20"/>
        <v>8611.1999999999989</v>
      </c>
      <c r="DE30" s="596"/>
      <c r="DF30" s="597">
        <f t="shared" si="32"/>
        <v>-0.06</v>
      </c>
      <c r="DG30" s="595">
        <f t="shared" si="21"/>
        <v>-2760</v>
      </c>
      <c r="DI30" s="598">
        <f t="shared" si="22"/>
        <v>3758.384</v>
      </c>
      <c r="DK30" s="598">
        <f t="shared" si="23"/>
        <v>57449.584000000003</v>
      </c>
      <c r="DL30" s="599">
        <f t="shared" si="24"/>
        <v>7691.1999999999989</v>
      </c>
      <c r="DM30" s="596">
        <f t="shared" si="25"/>
        <v>0.13387738369001939</v>
      </c>
    </row>
    <row r="31" spans="1:117" s="585" customFormat="1" ht="16.05" customHeight="1">
      <c r="A31" s="1358" t="str">
        <f>A26</f>
        <v>System 2 Options / Walls (scroll down)</v>
      </c>
      <c r="B31" s="1359"/>
      <c r="C31" s="1360" t="s">
        <v>878</v>
      </c>
      <c r="D31" s="1367">
        <f>IF(A31=AR181,AP174,IF(A31=AR182,AP180,IF(A31=AR183,AP187,IF(A31=AR184,AP195,IF(A31=AR185,AP203,IF(A31=AR186,AP211,IF(A31=AR187,AP219,IF(A31=AR188,AP226,IF(A31=AR189,AP235,IF(A31=AR190,AP243,IF(A31=AR191,AP251,IF(A31=AR192,AP262,IF(A31=AR193,AP269,IF(A31=AR194,AP278,IF(A31=AR195,AP286,IF(A31=AR198,AP296,IF(A31=AR199,AP306,IF(A31=AR200,AP314,IF(A31=AR201,AQ324,IF(A31=AR202,AQ330,IF(A31=AR203,AP336,0)))))))))))))))))))))</f>
        <v>0</v>
      </c>
      <c r="E31" s="662" t="s">
        <v>1141</v>
      </c>
      <c r="F31" s="780"/>
      <c r="G31" s="780"/>
      <c r="O31" s="1425" t="s">
        <v>128</v>
      </c>
      <c r="P31" s="1426"/>
      <c r="Q31" s="1426"/>
      <c r="R31" s="1427"/>
      <c r="S31" s="600"/>
      <c r="T31" s="600"/>
      <c r="AW31" s="595"/>
      <c r="AX31" s="595"/>
      <c r="AY31" s="595"/>
      <c r="AZ31" s="595"/>
      <c r="BA31" s="595"/>
      <c r="BB31" s="595"/>
      <c r="BC31" s="595"/>
      <c r="BD31" s="595"/>
      <c r="BE31" s="595"/>
      <c r="BF31" s="595"/>
      <c r="BG31" s="596"/>
      <c r="BH31" s="595"/>
      <c r="BI31" s="596"/>
      <c r="BJ31" s="596"/>
      <c r="BK31" s="595"/>
      <c r="BL31" s="596"/>
      <c r="BM31" s="596"/>
      <c r="BN31" s="595"/>
      <c r="BO31" s="596"/>
      <c r="BP31" s="597"/>
      <c r="BQ31" s="595"/>
      <c r="BS31" s="598"/>
      <c r="BU31" s="598"/>
      <c r="BV31" s="599"/>
      <c r="BW31" s="596"/>
      <c r="CM31" s="595"/>
      <c r="CN31" s="595"/>
      <c r="CO31" s="595"/>
      <c r="CP31" s="595"/>
      <c r="CQ31" s="595"/>
      <c r="CR31" s="595"/>
      <c r="CS31" s="595"/>
      <c r="CT31" s="595"/>
      <c r="CU31" s="595"/>
      <c r="CV31" s="595"/>
      <c r="CW31" s="596"/>
      <c r="CX31" s="595"/>
      <c r="CY31" s="596"/>
      <c r="CZ31" s="596"/>
      <c r="DA31" s="595"/>
      <c r="DB31" s="596"/>
      <c r="DC31" s="596"/>
      <c r="DD31" s="595"/>
      <c r="DE31" s="596"/>
      <c r="DF31" s="597"/>
      <c r="DG31" s="595"/>
      <c r="DI31" s="598"/>
      <c r="DK31" s="598"/>
      <c r="DL31" s="599"/>
      <c r="DM31" s="596"/>
    </row>
    <row r="32" spans="1:117" s="585" customFormat="1" ht="16.05" customHeight="1">
      <c r="A32" s="647"/>
      <c r="B32" s="634"/>
      <c r="C32" s="629"/>
      <c r="D32" s="648">
        <f t="shared" si="28"/>
        <v>0</v>
      </c>
      <c r="E32" s="600"/>
      <c r="F32" s="600"/>
      <c r="G32" s="600"/>
      <c r="O32" s="1428" t="s">
        <v>127</v>
      </c>
      <c r="P32" s="1429"/>
      <c r="Q32" s="1429"/>
      <c r="R32" s="1430"/>
      <c r="S32" s="600"/>
      <c r="T32" s="600"/>
      <c r="AW32" s="595"/>
      <c r="AX32" s="595"/>
      <c r="AY32" s="595"/>
      <c r="AZ32" s="595"/>
      <c r="BA32" s="595"/>
      <c r="BB32" s="595"/>
      <c r="BC32" s="595"/>
      <c r="BD32" s="595"/>
      <c r="BE32" s="595"/>
      <c r="BF32" s="595"/>
      <c r="BG32" s="596"/>
      <c r="BH32" s="595"/>
      <c r="BI32" s="596"/>
      <c r="BJ32" s="596"/>
      <c r="BK32" s="595"/>
      <c r="BL32" s="596"/>
      <c r="BM32" s="596"/>
      <c r="BN32" s="595"/>
      <c r="BO32" s="596"/>
      <c r="BP32" s="597"/>
      <c r="BQ32" s="595"/>
      <c r="BS32" s="598"/>
      <c r="BU32" s="598"/>
      <c r="BV32" s="599"/>
      <c r="BW32" s="596"/>
      <c r="CM32" s="595"/>
      <c r="CN32" s="595"/>
      <c r="CO32" s="595"/>
      <c r="CP32" s="595"/>
      <c r="CQ32" s="595"/>
      <c r="CR32" s="595"/>
      <c r="CS32" s="595"/>
      <c r="CT32" s="595"/>
      <c r="CU32" s="595"/>
      <c r="CV32" s="595"/>
      <c r="CW32" s="596"/>
      <c r="CX32" s="595"/>
      <c r="CY32" s="596"/>
      <c r="CZ32" s="596"/>
      <c r="DA32" s="595"/>
      <c r="DB32" s="596"/>
      <c r="DC32" s="596"/>
      <c r="DD32" s="595"/>
      <c r="DE32" s="596"/>
      <c r="DF32" s="597"/>
      <c r="DG32" s="595"/>
      <c r="DI32" s="598"/>
      <c r="DK32" s="598"/>
      <c r="DL32" s="599"/>
      <c r="DM32" s="596"/>
    </row>
    <row r="33" spans="1:117" s="585" customFormat="1" ht="16.05" customHeight="1">
      <c r="A33" s="647"/>
      <c r="B33" s="634"/>
      <c r="C33" s="629"/>
      <c r="D33" s="648">
        <f t="shared" si="28"/>
        <v>0</v>
      </c>
      <c r="E33" s="600"/>
      <c r="F33" s="600"/>
      <c r="G33" s="714" t="s">
        <v>946</v>
      </c>
      <c r="H33" s="933" t="s">
        <v>652</v>
      </c>
      <c r="I33" s="590" t="s">
        <v>655</v>
      </c>
      <c r="O33" s="686">
        <f>(P33*P33)/1.5</f>
        <v>0</v>
      </c>
      <c r="P33" s="687"/>
      <c r="Q33" s="1874" t="s">
        <v>124</v>
      </c>
      <c r="R33" s="1875"/>
      <c r="S33" s="600"/>
      <c r="T33" s="600"/>
      <c r="AW33" s="595"/>
      <c r="AX33" s="595"/>
      <c r="AY33" s="595"/>
      <c r="AZ33" s="595"/>
      <c r="BA33" s="595"/>
      <c r="BB33" s="595"/>
      <c r="BC33" s="595"/>
      <c r="BD33" s="595"/>
      <c r="BE33" s="595"/>
      <c r="BF33" s="595"/>
      <c r="BG33" s="596"/>
      <c r="BH33" s="595"/>
      <c r="BI33" s="596"/>
      <c r="BJ33" s="596"/>
      <c r="BK33" s="595"/>
      <c r="BL33" s="596"/>
      <c r="BM33" s="596"/>
      <c r="BN33" s="595"/>
      <c r="BO33" s="596"/>
      <c r="BP33" s="597"/>
      <c r="BQ33" s="595"/>
      <c r="BS33" s="598"/>
      <c r="BU33" s="598"/>
      <c r="BV33" s="599"/>
      <c r="BW33" s="596"/>
      <c r="CM33" s="595"/>
      <c r="CN33" s="595"/>
      <c r="CO33" s="595"/>
      <c r="CP33" s="595"/>
      <c r="CQ33" s="595"/>
      <c r="CR33" s="595"/>
      <c r="CS33" s="595"/>
      <c r="CT33" s="595"/>
      <c r="CU33" s="595"/>
      <c r="CV33" s="595"/>
      <c r="CW33" s="596"/>
      <c r="CX33" s="595"/>
      <c r="CY33" s="596"/>
      <c r="CZ33" s="596"/>
      <c r="DA33" s="595"/>
      <c r="DB33" s="596"/>
      <c r="DC33" s="596"/>
      <c r="DD33" s="595"/>
      <c r="DE33" s="596"/>
      <c r="DF33" s="597"/>
      <c r="DG33" s="595"/>
      <c r="DI33" s="598"/>
      <c r="DK33" s="598"/>
      <c r="DL33" s="599"/>
      <c r="DM33" s="596"/>
    </row>
    <row r="34" spans="1:117" s="585" customFormat="1" ht="16.05" customHeight="1">
      <c r="A34" s="683" t="s">
        <v>13</v>
      </c>
      <c r="B34" s="678"/>
      <c r="C34" s="679"/>
      <c r="D34" s="680"/>
      <c r="E34" s="645">
        <v>0</v>
      </c>
      <c r="F34" s="1328" t="s">
        <v>882</v>
      </c>
      <c r="G34" s="1729"/>
      <c r="H34" s="593"/>
      <c r="O34" s="686">
        <f>P34*O33</f>
        <v>0</v>
      </c>
      <c r="P34" s="687"/>
      <c r="Q34" s="1874" t="s">
        <v>125</v>
      </c>
      <c r="R34" s="1875"/>
      <c r="S34" s="600"/>
      <c r="T34" s="600"/>
      <c r="AW34" s="595"/>
      <c r="AX34" s="595"/>
      <c r="AY34" s="595"/>
      <c r="AZ34" s="595"/>
      <c r="BA34" s="595"/>
      <c r="BB34" s="595"/>
      <c r="BC34" s="595"/>
      <c r="BD34" s="595"/>
      <c r="BE34" s="595"/>
      <c r="BF34" s="595"/>
      <c r="BG34" s="596"/>
      <c r="BH34" s="595"/>
      <c r="BI34" s="596"/>
      <c r="BJ34" s="596"/>
      <c r="BK34" s="595"/>
      <c r="BL34" s="596"/>
      <c r="BM34" s="596"/>
      <c r="BN34" s="595"/>
      <c r="BO34" s="596"/>
      <c r="BP34" s="597"/>
      <c r="BQ34" s="595"/>
      <c r="BS34" s="598"/>
      <c r="BU34" s="598"/>
      <c r="BV34" s="599"/>
      <c r="BW34" s="596"/>
      <c r="CM34" s="595"/>
      <c r="CN34" s="595"/>
      <c r="CO34" s="595"/>
      <c r="CP34" s="595"/>
      <c r="CQ34" s="595"/>
      <c r="CR34" s="595"/>
      <c r="CS34" s="595"/>
      <c r="CT34" s="595"/>
      <c r="CU34" s="595"/>
      <c r="CV34" s="595"/>
      <c r="CW34" s="596"/>
      <c r="CX34" s="595"/>
      <c r="CY34" s="596"/>
      <c r="CZ34" s="596"/>
      <c r="DA34" s="595"/>
      <c r="DB34" s="596"/>
      <c r="DC34" s="596"/>
      <c r="DD34" s="595"/>
      <c r="DE34" s="596"/>
      <c r="DF34" s="597"/>
      <c r="DG34" s="595"/>
      <c r="DI34" s="598"/>
      <c r="DK34" s="598"/>
      <c r="DL34" s="599"/>
      <c r="DM34" s="596"/>
    </row>
    <row r="35" spans="1:117" s="585" customFormat="1">
      <c r="A35" s="1327" t="s">
        <v>859</v>
      </c>
      <c r="B35" s="1300"/>
      <c r="C35" s="1326" t="s">
        <v>875</v>
      </c>
      <c r="D35" s="1368">
        <f>IF(A35=S125,F125,IF(A35=S126,F130,IF(A35=S127,F135,IF(A35=S128,F141,IF(A35=S129,F147,IF(A35=S130,F152,IF(A35=S131,P125,IF(A35=S132,P130,IF(A35=S133,P135,IF(A35=S134,P141,IF(A35=S135,P147,IF(A35=S136,P152,0))))))))))))</f>
        <v>0</v>
      </c>
      <c r="E35" s="662">
        <f>B13</f>
        <v>0</v>
      </c>
      <c r="F35" s="600"/>
      <c r="G35" s="1729"/>
      <c r="H35" s="593"/>
      <c r="O35" s="686">
        <f>P35*O33</f>
        <v>0</v>
      </c>
      <c r="P35" s="687"/>
      <c r="Q35" s="1874" t="s">
        <v>126</v>
      </c>
      <c r="R35" s="1875"/>
      <c r="AW35" s="595">
        <v>24000</v>
      </c>
      <c r="AX35" s="595"/>
      <c r="AY35" s="595"/>
      <c r="AZ35" s="595">
        <f t="shared" si="4"/>
        <v>24000</v>
      </c>
      <c r="BA35" s="595"/>
      <c r="BB35" s="595"/>
      <c r="BC35" s="595">
        <f t="shared" si="5"/>
        <v>48000</v>
      </c>
      <c r="BD35" s="595"/>
      <c r="BE35" s="595"/>
      <c r="BF35" s="595">
        <f t="shared" si="6"/>
        <v>48000</v>
      </c>
      <c r="BG35" s="596" t="e">
        <f>IF(AW35&lt;=#REF!,#REF!,IF(AW35&lt;=#REF!,#REF!,IF(AW35&lt;=#REF!,#REF!,IF(AW35&lt;=#REF!,#REF!,IF(AW35&lt;=#REF!,#REF!,IF(AW35&lt;=#REF!,#REF!,IF(AW35&lt;=#REF!,#REF!,0.05)))))))</f>
        <v>#REF!</v>
      </c>
      <c r="BH35" s="595" t="e">
        <f t="shared" si="7"/>
        <v>#REF!</v>
      </c>
      <c r="BI35" s="596"/>
      <c r="BJ35" s="596" t="e">
        <f>IF(AZ35&lt;=#REF!,#REF!,IF(AZ35&lt;=#REF!,#REF!,IF(AZ35&lt;=#REF!,#REF!,IF(AZ35&lt;=#REF!,#REF!,IF(AZ35&lt;=#REF!,#REF!,IF(AZ35&lt;=#REF!,#REF!,IF(AZ35&lt;=#REF!,#REF!,0.05)))))))</f>
        <v>#REF!</v>
      </c>
      <c r="BK35" s="595" t="e">
        <f t="shared" si="8"/>
        <v>#REF!</v>
      </c>
      <c r="BL35" s="596"/>
      <c r="BM35" s="596" t="e">
        <f>IF(BC35&lt;=#REF!,#REF!,IF(BC35&lt;=#REF!,#REF!,IF(BC35&lt;=#REF!,#REF!,IF(BC35&lt;=#REF!,#REF!,IF(BC35&lt;=#REF!,#REF!,IF(BC35&lt;=#REF!,#REF!,IF(BC35&lt;=#REF!,#REF!,0.05)))))))</f>
        <v>#REF!</v>
      </c>
      <c r="BN35" s="595" t="e">
        <f t="shared" si="9"/>
        <v>#REF!</v>
      </c>
      <c r="BO35" s="596"/>
      <c r="BP35" s="597" t="e">
        <f>IF(BF35&lt;=#REF!,#REF!,IF(BF35&lt;=#REF!,#REF!,IF(BF35&lt;=#REF!,#REF!,IF(BF35&lt;=#REF!,#REF!,IF(BF35&lt;=#REF!,#REF!,IF(BF35&lt;=#REF!,#REF!,IF(BF35&lt;=#REF!,#REF!,0.05)))))))</f>
        <v>#REF!</v>
      </c>
      <c r="BQ35" s="595" t="e">
        <f t="shared" si="10"/>
        <v>#REF!</v>
      </c>
      <c r="BS35" s="598" t="e">
        <f t="shared" si="11"/>
        <v>#REF!</v>
      </c>
      <c r="BU35" s="598" t="e">
        <f t="shared" si="12"/>
        <v>#REF!</v>
      </c>
      <c r="BV35" s="599" t="e">
        <f t="shared" si="13"/>
        <v>#REF!</v>
      </c>
      <c r="BW35" s="596" t="e">
        <f t="shared" si="14"/>
        <v>#REF!</v>
      </c>
      <c r="CM35" s="595">
        <v>24000</v>
      </c>
      <c r="CN35" s="595"/>
      <c r="CO35" s="595"/>
      <c r="CP35" s="595">
        <f t="shared" si="15"/>
        <v>24000</v>
      </c>
      <c r="CQ35" s="595"/>
      <c r="CR35" s="595"/>
      <c r="CS35" s="595">
        <f t="shared" si="16"/>
        <v>48000</v>
      </c>
      <c r="CT35" s="595"/>
      <c r="CU35" s="595"/>
      <c r="CV35" s="595">
        <f t="shared" si="17"/>
        <v>48000</v>
      </c>
      <c r="CW35" s="596">
        <f t="shared" si="29"/>
        <v>0.05</v>
      </c>
      <c r="CX35" s="595">
        <f t="shared" si="18"/>
        <v>1200</v>
      </c>
      <c r="CY35" s="596"/>
      <c r="CZ35" s="596">
        <f t="shared" si="30"/>
        <v>0.03</v>
      </c>
      <c r="DA35" s="595">
        <f t="shared" si="19"/>
        <v>720</v>
      </c>
      <c r="DB35" s="596"/>
      <c r="DC35" s="596">
        <f t="shared" si="31"/>
        <v>0.18</v>
      </c>
      <c r="DD35" s="595">
        <f t="shared" si="20"/>
        <v>8985.6</v>
      </c>
      <c r="DE35" s="596"/>
      <c r="DF35" s="597">
        <f t="shared" si="32"/>
        <v>-0.06</v>
      </c>
      <c r="DG35" s="595">
        <f t="shared" si="21"/>
        <v>-2880</v>
      </c>
      <c r="DI35" s="598">
        <f t="shared" si="22"/>
        <v>3921.7920000000004</v>
      </c>
      <c r="DK35" s="598">
        <f t="shared" si="23"/>
        <v>59947.392</v>
      </c>
      <c r="DL35" s="599">
        <f t="shared" si="24"/>
        <v>8025.6</v>
      </c>
      <c r="DM35" s="596">
        <f t="shared" si="25"/>
        <v>0.13387738369001942</v>
      </c>
    </row>
    <row r="36" spans="1:117" s="585" customFormat="1" ht="16.05" customHeight="1">
      <c r="A36" s="647"/>
      <c r="B36" s="625"/>
      <c r="C36" s="1326" t="s">
        <v>876</v>
      </c>
      <c r="D36" s="1368">
        <f>IF(A35=S125,F126,IF(A35=S126,F131,IF(A35=S127,H137,IF(A35=S128,H143,IF(A35=S129,F148,IF(A35=S130,H154,IF(A35=S131,0,IF(A35=S132,0,IF(A35=S133,P136,IF(A35=S134,P142,IF(A35=S135,0,IF(A35=S136,P153,0))))))))))))</f>
        <v>0</v>
      </c>
      <c r="E36" s="600"/>
      <c r="F36" s="600"/>
      <c r="G36" s="1729"/>
      <c r="H36" s="593"/>
      <c r="O36" s="686">
        <f>P36*O33</f>
        <v>0</v>
      </c>
      <c r="P36" s="687"/>
      <c r="Q36" s="1874" t="s">
        <v>129</v>
      </c>
      <c r="R36" s="1875"/>
      <c r="AW36" s="595">
        <v>25000</v>
      </c>
      <c r="AX36" s="595"/>
      <c r="AY36" s="595"/>
      <c r="AZ36" s="595">
        <f t="shared" si="4"/>
        <v>25000</v>
      </c>
      <c r="BA36" s="595"/>
      <c r="BB36" s="595"/>
      <c r="BC36" s="595">
        <f t="shared" si="5"/>
        <v>50000</v>
      </c>
      <c r="BD36" s="595"/>
      <c r="BE36" s="595"/>
      <c r="BF36" s="595">
        <f t="shared" si="6"/>
        <v>50000</v>
      </c>
      <c r="BG36" s="596" t="e">
        <f>IF(AW36&lt;=#REF!,#REF!,IF(AW36&lt;=#REF!,#REF!,IF(AW36&lt;=#REF!,#REF!,IF(AW36&lt;=#REF!,#REF!,IF(AW36&lt;=#REF!,#REF!,IF(AW36&lt;=#REF!,#REF!,IF(AW36&lt;=#REF!,#REF!,0.05)))))))</f>
        <v>#REF!</v>
      </c>
      <c r="BH36" s="595" t="e">
        <f t="shared" si="7"/>
        <v>#REF!</v>
      </c>
      <c r="BI36" s="596"/>
      <c r="BJ36" s="596" t="e">
        <f>IF(AZ36&lt;=#REF!,#REF!,IF(AZ36&lt;=#REF!,#REF!,IF(AZ36&lt;=#REF!,#REF!,IF(AZ36&lt;=#REF!,#REF!,IF(AZ36&lt;=#REF!,#REF!,IF(AZ36&lt;=#REF!,#REF!,IF(AZ36&lt;=#REF!,#REF!,0.05)))))))</f>
        <v>#REF!</v>
      </c>
      <c r="BK36" s="595" t="e">
        <f t="shared" si="8"/>
        <v>#REF!</v>
      </c>
      <c r="BL36" s="596"/>
      <c r="BM36" s="596" t="e">
        <f>IF(BC36&lt;=#REF!,#REF!,IF(BC36&lt;=#REF!,#REF!,IF(BC36&lt;=#REF!,#REF!,IF(BC36&lt;=#REF!,#REF!,IF(BC36&lt;=#REF!,#REF!,IF(BC36&lt;=#REF!,#REF!,IF(BC36&lt;=#REF!,#REF!,0.05)))))))</f>
        <v>#REF!</v>
      </c>
      <c r="BN36" s="595" t="e">
        <f t="shared" si="9"/>
        <v>#REF!</v>
      </c>
      <c r="BO36" s="596"/>
      <c r="BP36" s="597" t="e">
        <f>IF(BF36&lt;=#REF!,#REF!,IF(BF36&lt;=#REF!,#REF!,IF(BF36&lt;=#REF!,#REF!,IF(BF36&lt;=#REF!,#REF!,IF(BF36&lt;=#REF!,#REF!,IF(BF36&lt;=#REF!,#REF!,IF(BF36&lt;=#REF!,#REF!,0.05)))))))</f>
        <v>#REF!</v>
      </c>
      <c r="BQ36" s="595" t="e">
        <f t="shared" si="10"/>
        <v>#REF!</v>
      </c>
      <c r="BS36" s="598" t="e">
        <f t="shared" si="11"/>
        <v>#REF!</v>
      </c>
      <c r="BU36" s="598" t="e">
        <f t="shared" si="12"/>
        <v>#REF!</v>
      </c>
      <c r="BV36" s="599" t="e">
        <f t="shared" si="13"/>
        <v>#REF!</v>
      </c>
      <c r="BW36" s="596" t="e">
        <f t="shared" si="14"/>
        <v>#REF!</v>
      </c>
      <c r="CM36" s="595">
        <v>25000</v>
      </c>
      <c r="CN36" s="595"/>
      <c r="CO36" s="595"/>
      <c r="CP36" s="595">
        <f t="shared" si="15"/>
        <v>25000</v>
      </c>
      <c r="CQ36" s="595"/>
      <c r="CR36" s="595"/>
      <c r="CS36" s="595">
        <f t="shared" si="16"/>
        <v>50000</v>
      </c>
      <c r="CT36" s="595"/>
      <c r="CU36" s="595"/>
      <c r="CV36" s="595">
        <f t="shared" si="17"/>
        <v>50000</v>
      </c>
      <c r="CW36" s="596">
        <f t="shared" si="29"/>
        <v>0.05</v>
      </c>
      <c r="CX36" s="595">
        <f t="shared" si="18"/>
        <v>1250</v>
      </c>
      <c r="CY36" s="596"/>
      <c r="CZ36" s="596">
        <f t="shared" si="30"/>
        <v>0.03</v>
      </c>
      <c r="DA36" s="595">
        <f t="shared" si="19"/>
        <v>750</v>
      </c>
      <c r="DB36" s="596"/>
      <c r="DC36" s="596">
        <f t="shared" si="31"/>
        <v>0.18</v>
      </c>
      <c r="DD36" s="595">
        <f t="shared" si="20"/>
        <v>9360</v>
      </c>
      <c r="DE36" s="596"/>
      <c r="DF36" s="597">
        <f t="shared" si="32"/>
        <v>-0.06</v>
      </c>
      <c r="DG36" s="595">
        <f t="shared" si="21"/>
        <v>-3000</v>
      </c>
      <c r="DI36" s="598">
        <f t="shared" si="22"/>
        <v>4085.2000000000003</v>
      </c>
      <c r="DK36" s="598">
        <f t="shared" si="23"/>
        <v>62445.2</v>
      </c>
      <c r="DL36" s="599">
        <f t="shared" si="24"/>
        <v>8360</v>
      </c>
      <c r="DM36" s="596">
        <f t="shared" si="25"/>
        <v>0.13387738369001942</v>
      </c>
    </row>
    <row r="37" spans="1:117" s="585" customFormat="1">
      <c r="A37" s="1358" t="s">
        <v>873</v>
      </c>
      <c r="B37" s="1359"/>
      <c r="C37" s="1360" t="s">
        <v>874</v>
      </c>
      <c r="D37" s="1367">
        <f>IF(A37=AS125,AF125,IF(A37=AS126,AF130,IF(A37=AS127,AF135,IF(A37=AS128,AF141,IF(A37=AS129,AF147,IF(A37=AS130,AF152,IF(A37=AS131,AP125,IF(A37=AS132,AP130,IF(A37=AS133,AP135,IF(A37=AS134,AP141,IF(A37=AS135,AP147,IF(A37=AS136,AP152,0))))))))))))</f>
        <v>0</v>
      </c>
      <c r="E37" s="1364">
        <v>0</v>
      </c>
      <c r="F37" s="1361" t="s">
        <v>881</v>
      </c>
      <c r="G37" s="1729"/>
      <c r="H37" s="593"/>
      <c r="AW37" s="595">
        <v>26000</v>
      </c>
      <c r="AX37" s="595"/>
      <c r="AY37" s="595"/>
      <c r="AZ37" s="595">
        <f t="shared" si="4"/>
        <v>26000</v>
      </c>
      <c r="BA37" s="595"/>
      <c r="BB37" s="595"/>
      <c r="BC37" s="595">
        <f t="shared" ref="BC37:BC52" si="34">AW37+AZ37</f>
        <v>52000</v>
      </c>
      <c r="BD37" s="595"/>
      <c r="BE37" s="595"/>
      <c r="BF37" s="595">
        <f t="shared" ref="BF37:BF52" si="35">BC37</f>
        <v>52000</v>
      </c>
      <c r="BG37" s="596" t="e">
        <f>IF(AW37&lt;=#REF!,#REF!,IF(AW37&lt;=#REF!,#REF!,IF(AW37&lt;=#REF!,#REF!,IF(AW37&lt;=#REF!,#REF!,IF(AW37&lt;=#REF!,#REF!,IF(AW37&lt;=#REF!,#REF!,IF(AW37&lt;=#REF!,#REF!,0.05)))))))</f>
        <v>#REF!</v>
      </c>
      <c r="BH37" s="595" t="e">
        <f t="shared" ref="BH37:BH52" si="36">BG37*AW37</f>
        <v>#REF!</v>
      </c>
      <c r="BI37" s="596"/>
      <c r="BJ37" s="596" t="e">
        <f>IF(AZ37&lt;=#REF!,#REF!,IF(AZ37&lt;=#REF!,#REF!,IF(AZ37&lt;=#REF!,#REF!,IF(AZ37&lt;=#REF!,#REF!,IF(AZ37&lt;=#REF!,#REF!,IF(AZ37&lt;=#REF!,#REF!,IF(AZ37&lt;=#REF!,#REF!,0.05)))))))</f>
        <v>#REF!</v>
      </c>
      <c r="BK37" s="595" t="e">
        <f t="shared" ref="BK37:BK52" si="37">BJ37*AZ37</f>
        <v>#REF!</v>
      </c>
      <c r="BL37" s="596"/>
      <c r="BM37" s="596" t="e">
        <f>IF(BC37&lt;=#REF!,#REF!,IF(BC37&lt;=#REF!,#REF!,IF(BC37&lt;=#REF!,#REF!,IF(BC37&lt;=#REF!,#REF!,IF(BC37&lt;=#REF!,#REF!,IF(BC37&lt;=#REF!,#REF!,IF(BC37&lt;=#REF!,#REF!,0.05)))))))</f>
        <v>#REF!</v>
      </c>
      <c r="BN37" s="595" t="e">
        <f t="shared" ref="BN37:BN52" si="38">BM37*SUM(BK37,BH37,BC37)</f>
        <v>#REF!</v>
      </c>
      <c r="BO37" s="596"/>
      <c r="BP37" s="597" t="e">
        <f>IF(BF37&lt;=#REF!,#REF!,IF(BF37&lt;=#REF!,#REF!,IF(BF37&lt;=#REF!,#REF!,IF(BF37&lt;=#REF!,#REF!,IF(BF37&lt;=#REF!,#REF!,IF(BF37&lt;=#REF!,#REF!,IF(BF37&lt;=#REF!,#REF!,0.05)))))))</f>
        <v>#REF!</v>
      </c>
      <c r="BQ37" s="595" t="e">
        <f t="shared" ref="BQ37:BQ52" si="39">BP37*BF37</f>
        <v>#REF!</v>
      </c>
      <c r="BS37" s="598" t="e">
        <f t="shared" ref="BS37:BS52" si="40">0.07*SUM(BC37,BH37,BK37,BN37,BQ37)</f>
        <v>#REF!</v>
      </c>
      <c r="BU37" s="598" t="e">
        <f t="shared" ref="BU37:BU52" si="41">SUM(BS37,BQ37,BN37,BK37,BH37,BC37)</f>
        <v>#REF!</v>
      </c>
      <c r="BV37" s="599" t="e">
        <f t="shared" ref="BV37:BV52" si="42">SUM(BQ37,BN37,BK37,BH37)</f>
        <v>#REF!</v>
      </c>
      <c r="BW37" s="596" t="e">
        <f t="shared" ref="BW37:BW52" si="43">BV37/BU37</f>
        <v>#REF!</v>
      </c>
      <c r="CM37" s="595">
        <v>26000</v>
      </c>
      <c r="CN37" s="595"/>
      <c r="CO37" s="595"/>
      <c r="CP37" s="595">
        <f t="shared" si="15"/>
        <v>26000</v>
      </c>
      <c r="CQ37" s="595"/>
      <c r="CR37" s="595"/>
      <c r="CS37" s="595">
        <f t="shared" si="16"/>
        <v>52000</v>
      </c>
      <c r="CT37" s="595"/>
      <c r="CU37" s="595"/>
      <c r="CV37" s="595">
        <f t="shared" si="17"/>
        <v>52000</v>
      </c>
      <c r="CW37" s="596">
        <f t="shared" si="29"/>
        <v>0.05</v>
      </c>
      <c r="CX37" s="595">
        <f t="shared" si="18"/>
        <v>1300</v>
      </c>
      <c r="CY37" s="596"/>
      <c r="CZ37" s="596">
        <f t="shared" si="30"/>
        <v>0.03</v>
      </c>
      <c r="DA37" s="595">
        <f t="shared" si="19"/>
        <v>780</v>
      </c>
      <c r="DB37" s="596"/>
      <c r="DC37" s="596">
        <f t="shared" si="31"/>
        <v>0.18</v>
      </c>
      <c r="DD37" s="595">
        <f t="shared" si="20"/>
        <v>9734.4</v>
      </c>
      <c r="DE37" s="596"/>
      <c r="DF37" s="597">
        <f t="shared" si="32"/>
        <v>-0.06</v>
      </c>
      <c r="DG37" s="595">
        <f t="shared" si="21"/>
        <v>-3120</v>
      </c>
      <c r="DI37" s="598">
        <f t="shared" si="22"/>
        <v>4248.6080000000002</v>
      </c>
      <c r="DK37" s="598">
        <f t="shared" si="23"/>
        <v>64943.008000000002</v>
      </c>
      <c r="DL37" s="599">
        <f t="shared" si="24"/>
        <v>8694.4</v>
      </c>
      <c r="DM37" s="596">
        <f t="shared" si="25"/>
        <v>0.13387738369001939</v>
      </c>
    </row>
    <row r="38" spans="1:117" s="585" customFormat="1">
      <c r="A38" s="647"/>
      <c r="B38" s="625"/>
      <c r="C38" s="1360" t="s">
        <v>876</v>
      </c>
      <c r="D38" s="1367">
        <f>IF(A37=AS125,AF126,IF(A37=AS126,AF131,IF(A37=AS127,AH137,IF(A37=AS128,AH143,IF(A37=AS129,AF148,IF(A37=AS130,AH154,IF(A37=AS131,0,IF(A37=AS132,0,IF(A37=AS133,AP136,IF(A37=AS134,AP142,IF(A37=AS135,0,IF(A37=AS136,AP153,0))))))))))))</f>
        <v>0</v>
      </c>
      <c r="E38" s="600"/>
      <c r="F38" s="600"/>
      <c r="G38" s="1729"/>
      <c r="H38" s="593"/>
      <c r="K38" s="1091" t="s">
        <v>672</v>
      </c>
      <c r="L38" s="1452">
        <f>$B$45/M38</f>
        <v>0</v>
      </c>
      <c r="M38" s="1093">
        <v>6</v>
      </c>
      <c r="N38" s="1094" t="s">
        <v>673</v>
      </c>
      <c r="AW38" s="595">
        <v>27000</v>
      </c>
      <c r="AX38" s="595"/>
      <c r="AY38" s="595"/>
      <c r="AZ38" s="595">
        <f t="shared" si="4"/>
        <v>27000</v>
      </c>
      <c r="BA38" s="595"/>
      <c r="BB38" s="595"/>
      <c r="BC38" s="595">
        <f t="shared" si="34"/>
        <v>54000</v>
      </c>
      <c r="BD38" s="595"/>
      <c r="BE38" s="595"/>
      <c r="BF38" s="595">
        <f t="shared" si="35"/>
        <v>54000</v>
      </c>
      <c r="BG38" s="596" t="e">
        <f>IF(AW38&lt;=#REF!,#REF!,IF(AW38&lt;=#REF!,#REF!,IF(AW38&lt;=#REF!,#REF!,IF(AW38&lt;=#REF!,#REF!,IF(AW38&lt;=#REF!,#REF!,IF(AW38&lt;=#REF!,#REF!,IF(AW38&lt;=#REF!,#REF!,0.05)))))))</f>
        <v>#REF!</v>
      </c>
      <c r="BH38" s="595" t="e">
        <f t="shared" si="36"/>
        <v>#REF!</v>
      </c>
      <c r="BI38" s="596"/>
      <c r="BJ38" s="596" t="e">
        <f>IF(AZ38&lt;=#REF!,#REF!,IF(AZ38&lt;=#REF!,#REF!,IF(AZ38&lt;=#REF!,#REF!,IF(AZ38&lt;=#REF!,#REF!,IF(AZ38&lt;=#REF!,#REF!,IF(AZ38&lt;=#REF!,#REF!,IF(AZ38&lt;=#REF!,#REF!,0.05)))))))</f>
        <v>#REF!</v>
      </c>
      <c r="BK38" s="595" t="e">
        <f t="shared" si="37"/>
        <v>#REF!</v>
      </c>
      <c r="BL38" s="596"/>
      <c r="BM38" s="596" t="e">
        <f>IF(BC38&lt;=#REF!,#REF!,IF(BC38&lt;=#REF!,#REF!,IF(BC38&lt;=#REF!,#REF!,IF(BC38&lt;=#REF!,#REF!,IF(BC38&lt;=#REF!,#REF!,IF(BC38&lt;=#REF!,#REF!,IF(BC38&lt;=#REF!,#REF!,0.05)))))))</f>
        <v>#REF!</v>
      </c>
      <c r="BN38" s="595" t="e">
        <f t="shared" si="38"/>
        <v>#REF!</v>
      </c>
      <c r="BO38" s="596"/>
      <c r="BP38" s="597" t="e">
        <f>IF(BF38&lt;=#REF!,#REF!,IF(BF38&lt;=#REF!,#REF!,IF(BF38&lt;=#REF!,#REF!,IF(BF38&lt;=#REF!,#REF!,IF(BF38&lt;=#REF!,#REF!,IF(BF38&lt;=#REF!,#REF!,IF(BF38&lt;=#REF!,#REF!,0.05)))))))</f>
        <v>#REF!</v>
      </c>
      <c r="BQ38" s="595" t="e">
        <f t="shared" si="39"/>
        <v>#REF!</v>
      </c>
      <c r="BS38" s="598" t="e">
        <f t="shared" si="40"/>
        <v>#REF!</v>
      </c>
      <c r="BU38" s="598" t="e">
        <f t="shared" si="41"/>
        <v>#REF!</v>
      </c>
      <c r="BV38" s="599" t="e">
        <f t="shared" si="42"/>
        <v>#REF!</v>
      </c>
      <c r="BW38" s="596" t="e">
        <f t="shared" si="43"/>
        <v>#REF!</v>
      </c>
      <c r="CM38" s="595">
        <v>27000</v>
      </c>
      <c r="CN38" s="595"/>
      <c r="CO38" s="595"/>
      <c r="CP38" s="595">
        <f t="shared" si="15"/>
        <v>27000</v>
      </c>
      <c r="CQ38" s="595"/>
      <c r="CR38" s="595"/>
      <c r="CS38" s="595">
        <f t="shared" si="16"/>
        <v>54000</v>
      </c>
      <c r="CT38" s="595"/>
      <c r="CU38" s="595"/>
      <c r="CV38" s="595">
        <f t="shared" si="17"/>
        <v>54000</v>
      </c>
      <c r="CW38" s="596">
        <f t="shared" si="29"/>
        <v>0.05</v>
      </c>
      <c r="CX38" s="595">
        <f t="shared" si="18"/>
        <v>1350</v>
      </c>
      <c r="CY38" s="596"/>
      <c r="CZ38" s="596">
        <f t="shared" si="30"/>
        <v>0.03</v>
      </c>
      <c r="DA38" s="595">
        <f t="shared" si="19"/>
        <v>810</v>
      </c>
      <c r="DB38" s="596"/>
      <c r="DC38" s="596">
        <f t="shared" si="31"/>
        <v>0.18</v>
      </c>
      <c r="DD38" s="595">
        <f t="shared" si="20"/>
        <v>10108.799999999999</v>
      </c>
      <c r="DE38" s="596"/>
      <c r="DF38" s="597">
        <f t="shared" si="32"/>
        <v>-0.06</v>
      </c>
      <c r="DG38" s="595">
        <f t="shared" si="21"/>
        <v>-3240</v>
      </c>
      <c r="DI38" s="598">
        <f t="shared" si="22"/>
        <v>4412.0160000000005</v>
      </c>
      <c r="DK38" s="598">
        <f t="shared" si="23"/>
        <v>67440.815999999992</v>
      </c>
      <c r="DL38" s="599">
        <f t="shared" si="24"/>
        <v>9028.7999999999993</v>
      </c>
      <c r="DM38" s="596">
        <f t="shared" si="25"/>
        <v>0.13387738369001942</v>
      </c>
    </row>
    <row r="39" spans="1:117" s="585" customFormat="1">
      <c r="A39" s="688"/>
      <c r="B39" s="689"/>
      <c r="C39" s="690"/>
      <c r="D39" s="691">
        <f t="shared" si="28"/>
        <v>0</v>
      </c>
      <c r="E39" s="600"/>
      <c r="F39" s="600"/>
      <c r="G39" s="600"/>
      <c r="H39" s="600"/>
      <c r="K39" s="1091" t="s">
        <v>672</v>
      </c>
      <c r="L39" s="1452">
        <f>$B$45/M39</f>
        <v>0</v>
      </c>
      <c r="M39" s="1093">
        <v>5</v>
      </c>
      <c r="N39" s="1094" t="s">
        <v>673</v>
      </c>
      <c r="AW39" s="595">
        <v>28000</v>
      </c>
      <c r="AX39" s="595"/>
      <c r="AY39" s="595"/>
      <c r="AZ39" s="595">
        <f t="shared" si="4"/>
        <v>28000</v>
      </c>
      <c r="BA39" s="595"/>
      <c r="BB39" s="595"/>
      <c r="BC39" s="595">
        <f t="shared" si="34"/>
        <v>56000</v>
      </c>
      <c r="BD39" s="595"/>
      <c r="BE39" s="595"/>
      <c r="BF39" s="595">
        <f t="shared" si="35"/>
        <v>56000</v>
      </c>
      <c r="BG39" s="596" t="e">
        <f>IF(AW39&lt;=#REF!,#REF!,IF(AW39&lt;=#REF!,#REF!,IF(AW39&lt;=#REF!,#REF!,IF(AW39&lt;=#REF!,#REF!,IF(AW39&lt;=#REF!,#REF!,IF(AW39&lt;=#REF!,#REF!,IF(AW39&lt;=#REF!,#REF!,0.05)))))))</f>
        <v>#REF!</v>
      </c>
      <c r="BH39" s="595" t="e">
        <f t="shared" si="36"/>
        <v>#REF!</v>
      </c>
      <c r="BI39" s="596"/>
      <c r="BJ39" s="596" t="e">
        <f>IF(AZ39&lt;=#REF!,#REF!,IF(AZ39&lt;=#REF!,#REF!,IF(AZ39&lt;=#REF!,#REF!,IF(AZ39&lt;=#REF!,#REF!,IF(AZ39&lt;=#REF!,#REF!,IF(AZ39&lt;=#REF!,#REF!,IF(AZ39&lt;=#REF!,#REF!,0.05)))))))</f>
        <v>#REF!</v>
      </c>
      <c r="BK39" s="595" t="e">
        <f t="shared" si="37"/>
        <v>#REF!</v>
      </c>
      <c r="BL39" s="596"/>
      <c r="BM39" s="596" t="e">
        <f>IF(BC39&lt;=#REF!,#REF!,IF(BC39&lt;=#REF!,#REF!,IF(BC39&lt;=#REF!,#REF!,IF(BC39&lt;=#REF!,#REF!,IF(BC39&lt;=#REF!,#REF!,IF(BC39&lt;=#REF!,#REF!,IF(BC39&lt;=#REF!,#REF!,0.05)))))))</f>
        <v>#REF!</v>
      </c>
      <c r="BN39" s="595" t="e">
        <f t="shared" si="38"/>
        <v>#REF!</v>
      </c>
      <c r="BO39" s="596"/>
      <c r="BP39" s="597" t="e">
        <f>IF(BF39&lt;=#REF!,#REF!,IF(BF39&lt;=#REF!,#REF!,IF(BF39&lt;=#REF!,#REF!,IF(BF39&lt;=#REF!,#REF!,IF(BF39&lt;=#REF!,#REF!,IF(BF39&lt;=#REF!,#REF!,IF(BF39&lt;=#REF!,#REF!,0.05)))))))</f>
        <v>#REF!</v>
      </c>
      <c r="BQ39" s="595" t="e">
        <f t="shared" si="39"/>
        <v>#REF!</v>
      </c>
      <c r="BS39" s="598" t="e">
        <f t="shared" si="40"/>
        <v>#REF!</v>
      </c>
      <c r="BU39" s="598" t="e">
        <f t="shared" si="41"/>
        <v>#REF!</v>
      </c>
      <c r="BV39" s="599" t="e">
        <f t="shared" si="42"/>
        <v>#REF!</v>
      </c>
      <c r="BW39" s="596" t="e">
        <f t="shared" si="43"/>
        <v>#REF!</v>
      </c>
      <c r="CM39" s="595">
        <v>28000</v>
      </c>
      <c r="CN39" s="595"/>
      <c r="CO39" s="595"/>
      <c r="CP39" s="595">
        <f t="shared" si="15"/>
        <v>28000</v>
      </c>
      <c r="CQ39" s="595"/>
      <c r="CR39" s="595"/>
      <c r="CS39" s="595">
        <f t="shared" si="16"/>
        <v>56000</v>
      </c>
      <c r="CT39" s="595"/>
      <c r="CU39" s="595"/>
      <c r="CV39" s="595">
        <f t="shared" si="17"/>
        <v>56000</v>
      </c>
      <c r="CW39" s="596">
        <f t="shared" si="29"/>
        <v>0.05</v>
      </c>
      <c r="CX39" s="595">
        <f t="shared" si="18"/>
        <v>1400</v>
      </c>
      <c r="CY39" s="596"/>
      <c r="CZ39" s="596">
        <f t="shared" si="30"/>
        <v>0.03</v>
      </c>
      <c r="DA39" s="595">
        <f t="shared" si="19"/>
        <v>840</v>
      </c>
      <c r="DB39" s="596"/>
      <c r="DC39" s="596">
        <f t="shared" si="31"/>
        <v>0.18</v>
      </c>
      <c r="DD39" s="595">
        <f t="shared" si="20"/>
        <v>10483.199999999999</v>
      </c>
      <c r="DE39" s="596"/>
      <c r="DF39" s="597">
        <f t="shared" si="32"/>
        <v>-0.06</v>
      </c>
      <c r="DG39" s="595">
        <f t="shared" si="21"/>
        <v>-3360</v>
      </c>
      <c r="DI39" s="598">
        <f t="shared" si="22"/>
        <v>4575.424</v>
      </c>
      <c r="DK39" s="598">
        <f t="shared" si="23"/>
        <v>69938.623999999996</v>
      </c>
      <c r="DL39" s="599">
        <f t="shared" si="24"/>
        <v>9363.1999999999989</v>
      </c>
      <c r="DM39" s="596">
        <f t="shared" si="25"/>
        <v>0.13387738369001939</v>
      </c>
    </row>
    <row r="40" spans="1:117" s="585" customFormat="1" ht="16.05" customHeight="1" thickBot="1">
      <c r="A40" s="1783" t="s">
        <v>10</v>
      </c>
      <c r="B40" s="1785" t="s">
        <v>900</v>
      </c>
      <c r="C40" s="1785" t="s">
        <v>901</v>
      </c>
      <c r="D40" s="692">
        <f>ROUNDUP(SUM(D18:D39),0)</f>
        <v>0</v>
      </c>
      <c r="E40" s="697" t="s">
        <v>1231</v>
      </c>
      <c r="F40" s="1825" t="s">
        <v>1237</v>
      </c>
      <c r="G40" s="1829" t="s">
        <v>1255</v>
      </c>
      <c r="H40" s="1829"/>
      <c r="K40" s="1091" t="s">
        <v>672</v>
      </c>
      <c r="L40" s="1452">
        <f>$B$45/M40</f>
        <v>0</v>
      </c>
      <c r="M40" s="1093">
        <v>4</v>
      </c>
      <c r="N40" s="1094" t="s">
        <v>673</v>
      </c>
      <c r="AW40" s="595">
        <v>29000</v>
      </c>
      <c r="AX40" s="595"/>
      <c r="AY40" s="595"/>
      <c r="AZ40" s="595">
        <f t="shared" si="4"/>
        <v>29000</v>
      </c>
      <c r="BA40" s="595"/>
      <c r="BB40" s="595"/>
      <c r="BC40" s="595">
        <f t="shared" si="34"/>
        <v>58000</v>
      </c>
      <c r="BD40" s="595"/>
      <c r="BE40" s="595"/>
      <c r="BF40" s="595">
        <f t="shared" si="35"/>
        <v>58000</v>
      </c>
      <c r="BG40" s="596" t="e">
        <f>IF(AW40&lt;=#REF!,#REF!,IF(AW40&lt;=#REF!,#REF!,IF(AW40&lt;=#REF!,#REF!,IF(AW40&lt;=#REF!,#REF!,IF(AW40&lt;=#REF!,#REF!,IF(AW40&lt;=#REF!,#REF!,IF(AW40&lt;=#REF!,#REF!,0.05)))))))</f>
        <v>#REF!</v>
      </c>
      <c r="BH40" s="595" t="e">
        <f t="shared" si="36"/>
        <v>#REF!</v>
      </c>
      <c r="BI40" s="596"/>
      <c r="BJ40" s="596" t="e">
        <f>IF(AZ40&lt;=#REF!,#REF!,IF(AZ40&lt;=#REF!,#REF!,IF(AZ40&lt;=#REF!,#REF!,IF(AZ40&lt;=#REF!,#REF!,IF(AZ40&lt;=#REF!,#REF!,IF(AZ40&lt;=#REF!,#REF!,IF(AZ40&lt;=#REF!,#REF!,0.05)))))))</f>
        <v>#REF!</v>
      </c>
      <c r="BK40" s="595" t="e">
        <f t="shared" si="37"/>
        <v>#REF!</v>
      </c>
      <c r="BL40" s="596"/>
      <c r="BM40" s="596" t="e">
        <f>IF(BC40&lt;=#REF!,#REF!,IF(BC40&lt;=#REF!,#REF!,IF(BC40&lt;=#REF!,#REF!,IF(BC40&lt;=#REF!,#REF!,IF(BC40&lt;=#REF!,#REF!,IF(BC40&lt;=#REF!,#REF!,IF(BC40&lt;=#REF!,#REF!,0.05)))))))</f>
        <v>#REF!</v>
      </c>
      <c r="BN40" s="595" t="e">
        <f t="shared" si="38"/>
        <v>#REF!</v>
      </c>
      <c r="BO40" s="596"/>
      <c r="BP40" s="597" t="e">
        <f>IF(BF40&lt;=#REF!,#REF!,IF(BF40&lt;=#REF!,#REF!,IF(BF40&lt;=#REF!,#REF!,IF(BF40&lt;=#REF!,#REF!,IF(BF40&lt;=#REF!,#REF!,IF(BF40&lt;=#REF!,#REF!,IF(BF40&lt;=#REF!,#REF!,0.05)))))))</f>
        <v>#REF!</v>
      </c>
      <c r="BQ40" s="595" t="e">
        <f t="shared" si="39"/>
        <v>#REF!</v>
      </c>
      <c r="BS40" s="598" t="e">
        <f t="shared" si="40"/>
        <v>#REF!</v>
      </c>
      <c r="BU40" s="598" t="e">
        <f t="shared" si="41"/>
        <v>#REF!</v>
      </c>
      <c r="BV40" s="599" t="e">
        <f t="shared" si="42"/>
        <v>#REF!</v>
      </c>
      <c r="BW40" s="596" t="e">
        <f t="shared" si="43"/>
        <v>#REF!</v>
      </c>
      <c r="CM40" s="595">
        <v>29000</v>
      </c>
      <c r="CN40" s="595"/>
      <c r="CO40" s="595"/>
      <c r="CP40" s="595">
        <f t="shared" si="15"/>
        <v>29000</v>
      </c>
      <c r="CQ40" s="595"/>
      <c r="CR40" s="595"/>
      <c r="CS40" s="595">
        <f t="shared" si="16"/>
        <v>58000</v>
      </c>
      <c r="CT40" s="595"/>
      <c r="CU40" s="595"/>
      <c r="CV40" s="595">
        <f t="shared" si="17"/>
        <v>58000</v>
      </c>
      <c r="CW40" s="596">
        <f t="shared" si="29"/>
        <v>0.05</v>
      </c>
      <c r="CX40" s="595">
        <f t="shared" si="18"/>
        <v>1450</v>
      </c>
      <c r="CY40" s="596"/>
      <c r="CZ40" s="596">
        <f t="shared" si="30"/>
        <v>0.03</v>
      </c>
      <c r="DA40" s="595">
        <f t="shared" si="19"/>
        <v>870</v>
      </c>
      <c r="DB40" s="596"/>
      <c r="DC40" s="596">
        <f t="shared" si="31"/>
        <v>0.18</v>
      </c>
      <c r="DD40" s="595">
        <f t="shared" si="20"/>
        <v>10857.6</v>
      </c>
      <c r="DE40" s="596"/>
      <c r="DF40" s="597">
        <f t="shared" si="32"/>
        <v>-0.06</v>
      </c>
      <c r="DG40" s="595">
        <f t="shared" si="21"/>
        <v>-3480</v>
      </c>
      <c r="DI40" s="598">
        <f t="shared" si="22"/>
        <v>4738.8320000000012</v>
      </c>
      <c r="DK40" s="598">
        <f t="shared" si="23"/>
        <v>72436.432000000001</v>
      </c>
      <c r="DL40" s="599">
        <f t="shared" si="24"/>
        <v>9697.6</v>
      </c>
      <c r="DM40" s="596">
        <f t="shared" si="25"/>
        <v>0.13387738369001942</v>
      </c>
    </row>
    <row r="41" spans="1:117" s="585" customFormat="1" ht="16.2" thickBot="1">
      <c r="A41" s="693" t="s">
        <v>219</v>
      </c>
      <c r="B41" s="694">
        <v>0</v>
      </c>
      <c r="C41" s="1376">
        <f>B41</f>
        <v>0</v>
      </c>
      <c r="D41" s="1794" t="s">
        <v>1163</v>
      </c>
      <c r="E41" s="697" t="s">
        <v>1156</v>
      </c>
      <c r="F41" s="697"/>
      <c r="G41" s="698" t="b">
        <f>IF(H41="15%","Request Discount:",IF(H41="20%","Request Discount:",IF(H41="25%","Request Discount:")))</f>
        <v>0</v>
      </c>
      <c r="H41" s="699" t="b">
        <f>IF(D40&gt;=100000,"25%",IF(D40&gt;=30000,"20%",IF(D40&gt;=10000,"15%")))</f>
        <v>0</v>
      </c>
      <c r="J41" s="700"/>
      <c r="K41" s="1091" t="s">
        <v>672</v>
      </c>
      <c r="L41" s="1452">
        <f>$B$45/M41</f>
        <v>0</v>
      </c>
      <c r="M41" s="1093">
        <v>3</v>
      </c>
      <c r="N41" s="1731" t="s">
        <v>673</v>
      </c>
      <c r="O41" s="1452">
        <f>O43/M41</f>
        <v>0</v>
      </c>
      <c r="AW41" s="595">
        <v>30000</v>
      </c>
      <c r="AX41" s="595"/>
      <c r="AY41" s="595"/>
      <c r="AZ41" s="595">
        <f t="shared" si="4"/>
        <v>30000</v>
      </c>
      <c r="BA41" s="595"/>
      <c r="BB41" s="595"/>
      <c r="BC41" s="595">
        <f t="shared" si="34"/>
        <v>60000</v>
      </c>
      <c r="BD41" s="595"/>
      <c r="BE41" s="595"/>
      <c r="BF41" s="595">
        <f t="shared" si="35"/>
        <v>60000</v>
      </c>
      <c r="BG41" s="596" t="e">
        <f>IF(AW41&lt;=#REF!,#REF!,IF(AW41&lt;=#REF!,#REF!,IF(AW41&lt;=#REF!,#REF!,IF(AW41&lt;=#REF!,#REF!,IF(AW41&lt;=#REF!,#REF!,IF(AW41&lt;=#REF!,#REF!,IF(AW41&lt;=#REF!,#REF!,0.05)))))))</f>
        <v>#REF!</v>
      </c>
      <c r="BH41" s="595" t="e">
        <f t="shared" si="36"/>
        <v>#REF!</v>
      </c>
      <c r="BI41" s="596"/>
      <c r="BJ41" s="596" t="e">
        <f>IF(AZ41&lt;=#REF!,#REF!,IF(AZ41&lt;=#REF!,#REF!,IF(AZ41&lt;=#REF!,#REF!,IF(AZ41&lt;=#REF!,#REF!,IF(AZ41&lt;=#REF!,#REF!,IF(AZ41&lt;=#REF!,#REF!,IF(AZ41&lt;=#REF!,#REF!,0.05)))))))</f>
        <v>#REF!</v>
      </c>
      <c r="BK41" s="595" t="e">
        <f t="shared" si="37"/>
        <v>#REF!</v>
      </c>
      <c r="BL41" s="596"/>
      <c r="BM41" s="596" t="e">
        <f>IF(BC41&lt;=#REF!,#REF!,IF(BC41&lt;=#REF!,#REF!,IF(BC41&lt;=#REF!,#REF!,IF(BC41&lt;=#REF!,#REF!,IF(BC41&lt;=#REF!,#REF!,IF(BC41&lt;=#REF!,#REF!,IF(BC41&lt;=#REF!,#REF!,0.05)))))))</f>
        <v>#REF!</v>
      </c>
      <c r="BN41" s="595" t="e">
        <f t="shared" si="38"/>
        <v>#REF!</v>
      </c>
      <c r="BO41" s="596"/>
      <c r="BP41" s="597" t="e">
        <f>IF(BF41&lt;=#REF!,#REF!,IF(BF41&lt;=#REF!,#REF!,IF(BF41&lt;=#REF!,#REF!,IF(BF41&lt;=#REF!,#REF!,IF(BF41&lt;=#REF!,#REF!,IF(BF41&lt;=#REF!,#REF!,IF(BF41&lt;=#REF!,#REF!,0.05)))))))</f>
        <v>#REF!</v>
      </c>
      <c r="BQ41" s="595" t="e">
        <f t="shared" si="39"/>
        <v>#REF!</v>
      </c>
      <c r="BS41" s="598" t="e">
        <f t="shared" si="40"/>
        <v>#REF!</v>
      </c>
      <c r="BU41" s="598" t="e">
        <f t="shared" si="41"/>
        <v>#REF!</v>
      </c>
      <c r="BV41" s="599" t="e">
        <f t="shared" si="42"/>
        <v>#REF!</v>
      </c>
      <c r="BW41" s="596" t="e">
        <f t="shared" si="43"/>
        <v>#REF!</v>
      </c>
      <c r="CM41" s="595">
        <v>30000</v>
      </c>
      <c r="CN41" s="595"/>
      <c r="CO41" s="595"/>
      <c r="CP41" s="595">
        <f t="shared" si="15"/>
        <v>30000</v>
      </c>
      <c r="CQ41" s="595"/>
      <c r="CR41" s="595"/>
      <c r="CS41" s="595">
        <f t="shared" si="16"/>
        <v>60000</v>
      </c>
      <c r="CT41" s="595"/>
      <c r="CU41" s="595"/>
      <c r="CV41" s="595">
        <f t="shared" si="17"/>
        <v>60000</v>
      </c>
      <c r="CW41" s="596">
        <f t="shared" si="29"/>
        <v>0.05</v>
      </c>
      <c r="CX41" s="595">
        <f t="shared" si="18"/>
        <v>1500</v>
      </c>
      <c r="CY41" s="596"/>
      <c r="CZ41" s="596">
        <f t="shared" si="30"/>
        <v>0.03</v>
      </c>
      <c r="DA41" s="595">
        <f t="shared" si="19"/>
        <v>900</v>
      </c>
      <c r="DB41" s="596"/>
      <c r="DC41" s="596">
        <f t="shared" si="31"/>
        <v>0.18</v>
      </c>
      <c r="DD41" s="595">
        <f t="shared" si="20"/>
        <v>11232</v>
      </c>
      <c r="DE41" s="596"/>
      <c r="DF41" s="597">
        <f t="shared" si="32"/>
        <v>-0.06</v>
      </c>
      <c r="DG41" s="595">
        <f t="shared" si="21"/>
        <v>-3600</v>
      </c>
      <c r="DI41" s="598">
        <f t="shared" si="22"/>
        <v>4902.2400000000007</v>
      </c>
      <c r="DK41" s="598">
        <f t="shared" si="23"/>
        <v>74934.240000000005</v>
      </c>
      <c r="DL41" s="599">
        <f t="shared" si="24"/>
        <v>10032</v>
      </c>
      <c r="DM41" s="596">
        <f t="shared" si="25"/>
        <v>0.13387738369001939</v>
      </c>
    </row>
    <row r="42" spans="1:117" s="585" customFormat="1">
      <c r="A42" s="701" t="s">
        <v>1157</v>
      </c>
      <c r="B42" s="702">
        <f>0.05+IF(D40&lt;=5000,0.1,IF(D40&lt;=10000,0.06,0.04))</f>
        <v>0.15000000000000002</v>
      </c>
      <c r="C42" s="703"/>
      <c r="D42" s="1793">
        <f>ROUNDUP(D40*B42,0)</f>
        <v>0</v>
      </c>
      <c r="E42" s="600"/>
      <c r="G42" s="705"/>
      <c r="H42" s="706" t="s">
        <v>201</v>
      </c>
      <c r="I42" s="707"/>
      <c r="K42" s="1091" t="s">
        <v>672</v>
      </c>
      <c r="L42" s="1452">
        <f>$B$45/M42</f>
        <v>0</v>
      </c>
      <c r="M42" s="1093">
        <v>2</v>
      </c>
      <c r="N42" s="1731" t="s">
        <v>673</v>
      </c>
      <c r="O42" s="1452">
        <f>O43/M42</f>
        <v>0</v>
      </c>
      <c r="AB42" s="1477" t="s">
        <v>987</v>
      </c>
      <c r="AW42" s="595">
        <v>31000</v>
      </c>
      <c r="AX42" s="595"/>
      <c r="AY42" s="595"/>
      <c r="AZ42" s="595">
        <f t="shared" si="4"/>
        <v>31000</v>
      </c>
      <c r="BA42" s="595"/>
      <c r="BB42" s="595"/>
      <c r="BC42" s="595">
        <f t="shared" si="34"/>
        <v>62000</v>
      </c>
      <c r="BD42" s="595"/>
      <c r="BE42" s="595"/>
      <c r="BF42" s="595">
        <f t="shared" si="35"/>
        <v>62000</v>
      </c>
      <c r="BG42" s="596" t="e">
        <f>IF(AW42&lt;=#REF!,#REF!,IF(AW42&lt;=#REF!,#REF!,IF(AW42&lt;=#REF!,#REF!,IF(AW42&lt;=#REF!,#REF!,IF(AW42&lt;=#REF!,#REF!,IF(AW42&lt;=#REF!,#REF!,IF(AW42&lt;=#REF!,#REF!,0.05)))))))</f>
        <v>#REF!</v>
      </c>
      <c r="BH42" s="595" t="e">
        <f t="shared" si="36"/>
        <v>#REF!</v>
      </c>
      <c r="BI42" s="596"/>
      <c r="BJ42" s="596" t="e">
        <f>IF(AZ42&lt;=#REF!,#REF!,IF(AZ42&lt;=#REF!,#REF!,IF(AZ42&lt;=#REF!,#REF!,IF(AZ42&lt;=#REF!,#REF!,IF(AZ42&lt;=#REF!,#REF!,IF(AZ42&lt;=#REF!,#REF!,IF(AZ42&lt;=#REF!,#REF!,0.05)))))))</f>
        <v>#REF!</v>
      </c>
      <c r="BK42" s="595" t="e">
        <f t="shared" si="37"/>
        <v>#REF!</v>
      </c>
      <c r="BL42" s="596"/>
      <c r="BM42" s="596" t="e">
        <f>IF(BC42&lt;=#REF!,#REF!,IF(BC42&lt;=#REF!,#REF!,IF(BC42&lt;=#REF!,#REF!,IF(BC42&lt;=#REF!,#REF!,IF(BC42&lt;=#REF!,#REF!,IF(BC42&lt;=#REF!,#REF!,IF(BC42&lt;=#REF!,#REF!,0.05)))))))</f>
        <v>#REF!</v>
      </c>
      <c r="BN42" s="595" t="e">
        <f t="shared" si="38"/>
        <v>#REF!</v>
      </c>
      <c r="BO42" s="596"/>
      <c r="BP42" s="597" t="e">
        <f>IF(BF42&lt;=#REF!,#REF!,IF(BF42&lt;=#REF!,#REF!,IF(BF42&lt;=#REF!,#REF!,IF(BF42&lt;=#REF!,#REF!,IF(BF42&lt;=#REF!,#REF!,IF(BF42&lt;=#REF!,#REF!,IF(BF42&lt;=#REF!,#REF!,0.05)))))))</f>
        <v>#REF!</v>
      </c>
      <c r="BQ42" s="595" t="e">
        <f t="shared" si="39"/>
        <v>#REF!</v>
      </c>
      <c r="BS42" s="598" t="e">
        <f t="shared" si="40"/>
        <v>#REF!</v>
      </c>
      <c r="BU42" s="598" t="e">
        <f t="shared" si="41"/>
        <v>#REF!</v>
      </c>
      <c r="BV42" s="599" t="e">
        <f t="shared" si="42"/>
        <v>#REF!</v>
      </c>
      <c r="BW42" s="596" t="e">
        <f t="shared" si="43"/>
        <v>#REF!</v>
      </c>
      <c r="CM42" s="595">
        <v>31000</v>
      </c>
      <c r="CN42" s="595"/>
      <c r="CO42" s="595"/>
      <c r="CP42" s="595">
        <f t="shared" si="15"/>
        <v>31000</v>
      </c>
      <c r="CQ42" s="595"/>
      <c r="CR42" s="595"/>
      <c r="CS42" s="595">
        <f t="shared" si="16"/>
        <v>62000</v>
      </c>
      <c r="CT42" s="595"/>
      <c r="CU42" s="595"/>
      <c r="CV42" s="595">
        <f t="shared" si="17"/>
        <v>62000</v>
      </c>
      <c r="CW42" s="596">
        <f t="shared" si="29"/>
        <v>0.05</v>
      </c>
      <c r="CX42" s="595">
        <f t="shared" si="18"/>
        <v>1550</v>
      </c>
      <c r="CY42" s="596"/>
      <c r="CZ42" s="596">
        <f t="shared" si="30"/>
        <v>0.03</v>
      </c>
      <c r="DA42" s="595">
        <f t="shared" si="19"/>
        <v>930</v>
      </c>
      <c r="DB42" s="596"/>
      <c r="DC42" s="596">
        <f t="shared" si="31"/>
        <v>0.18</v>
      </c>
      <c r="DD42" s="595">
        <f t="shared" si="20"/>
        <v>11606.4</v>
      </c>
      <c r="DE42" s="596"/>
      <c r="DF42" s="597">
        <f t="shared" si="32"/>
        <v>-0.06</v>
      </c>
      <c r="DG42" s="595">
        <f t="shared" si="21"/>
        <v>-3720</v>
      </c>
      <c r="DI42" s="598">
        <f t="shared" si="22"/>
        <v>5065.6480000000001</v>
      </c>
      <c r="DK42" s="598">
        <f t="shared" si="23"/>
        <v>77432.047999999995</v>
      </c>
      <c r="DL42" s="599">
        <f t="shared" si="24"/>
        <v>10366.4</v>
      </c>
      <c r="DM42" s="596">
        <f t="shared" si="25"/>
        <v>0.13387738369001942</v>
      </c>
    </row>
    <row r="43" spans="1:117" s="585" customFormat="1">
      <c r="A43" s="708" t="s">
        <v>3</v>
      </c>
      <c r="B43" s="709"/>
      <c r="C43" s="710"/>
      <c r="D43" s="710">
        <f>SUM(D40:D42)</f>
        <v>0</v>
      </c>
      <c r="E43" s="711" t="e">
        <f>D43/B45</f>
        <v>#DIV/0!</v>
      </c>
      <c r="F43" s="712" t="s">
        <v>80</v>
      </c>
      <c r="G43" s="629"/>
      <c r="H43" s="713">
        <f>D43</f>
        <v>0</v>
      </c>
      <c r="I43" s="596"/>
      <c r="J43" s="600"/>
      <c r="K43" s="1453" t="s">
        <v>938</v>
      </c>
      <c r="L43" s="1454">
        <f>B45</f>
        <v>0</v>
      </c>
      <c r="O43" s="1460">
        <f>I47</f>
        <v>0</v>
      </c>
      <c r="P43" s="1459" t="s">
        <v>939</v>
      </c>
      <c r="Q43" s="1461">
        <f>J47</f>
        <v>0</v>
      </c>
      <c r="R43" s="699" t="s">
        <v>941</v>
      </c>
      <c r="S43" s="1462" t="e">
        <f>Q43/O43</f>
        <v>#DIV/0!</v>
      </c>
      <c r="T43" s="1094" t="s">
        <v>940</v>
      </c>
      <c r="AB43" s="1460">
        <f>B45</f>
        <v>0</v>
      </c>
      <c r="AC43" s="1459" t="s">
        <v>939</v>
      </c>
      <c r="AD43" s="1461">
        <f>D45</f>
        <v>0</v>
      </c>
      <c r="AE43" s="699" t="s">
        <v>941</v>
      </c>
      <c r="AF43" s="1462" t="e">
        <f>AD43/AB43</f>
        <v>#DIV/0!</v>
      </c>
      <c r="AG43" s="1094" t="s">
        <v>940</v>
      </c>
      <c r="AW43" s="595">
        <v>32000</v>
      </c>
      <c r="AX43" s="595"/>
      <c r="AY43" s="595"/>
      <c r="AZ43" s="595">
        <f t="shared" si="4"/>
        <v>32000</v>
      </c>
      <c r="BA43" s="595"/>
      <c r="BB43" s="595"/>
      <c r="BC43" s="595">
        <f t="shared" si="34"/>
        <v>64000</v>
      </c>
      <c r="BD43" s="595"/>
      <c r="BE43" s="595"/>
      <c r="BF43" s="595">
        <f t="shared" si="35"/>
        <v>64000</v>
      </c>
      <c r="BG43" s="596" t="e">
        <f>IF(AW43&lt;=#REF!,#REF!,IF(AW43&lt;=#REF!,#REF!,IF(AW43&lt;=#REF!,#REF!,IF(AW43&lt;=#REF!,#REF!,IF(AW43&lt;=#REF!,#REF!,IF(AW43&lt;=#REF!,#REF!,IF(AW43&lt;=#REF!,#REF!,0.05)))))))</f>
        <v>#REF!</v>
      </c>
      <c r="BH43" s="595" t="e">
        <f t="shared" si="36"/>
        <v>#REF!</v>
      </c>
      <c r="BI43" s="596"/>
      <c r="BJ43" s="596" t="e">
        <f>IF(AZ43&lt;=#REF!,#REF!,IF(AZ43&lt;=#REF!,#REF!,IF(AZ43&lt;=#REF!,#REF!,IF(AZ43&lt;=#REF!,#REF!,IF(AZ43&lt;=#REF!,#REF!,IF(AZ43&lt;=#REF!,#REF!,IF(AZ43&lt;=#REF!,#REF!,0.05)))))))</f>
        <v>#REF!</v>
      </c>
      <c r="BK43" s="595" t="e">
        <f t="shared" si="37"/>
        <v>#REF!</v>
      </c>
      <c r="BL43" s="596"/>
      <c r="BM43" s="596" t="e">
        <f>IF(BC43&lt;=#REF!,#REF!,IF(BC43&lt;=#REF!,#REF!,IF(BC43&lt;=#REF!,#REF!,IF(BC43&lt;=#REF!,#REF!,IF(BC43&lt;=#REF!,#REF!,IF(BC43&lt;=#REF!,#REF!,IF(BC43&lt;=#REF!,#REF!,0.05)))))))</f>
        <v>#REF!</v>
      </c>
      <c r="BN43" s="595" t="e">
        <f t="shared" si="38"/>
        <v>#REF!</v>
      </c>
      <c r="BO43" s="596"/>
      <c r="BP43" s="597" t="e">
        <f>IF(BF43&lt;=#REF!,#REF!,IF(BF43&lt;=#REF!,#REF!,IF(BF43&lt;=#REF!,#REF!,IF(BF43&lt;=#REF!,#REF!,IF(BF43&lt;=#REF!,#REF!,IF(BF43&lt;=#REF!,#REF!,IF(BF43&lt;=#REF!,#REF!,0.05)))))))</f>
        <v>#REF!</v>
      </c>
      <c r="BQ43" s="595" t="e">
        <f t="shared" si="39"/>
        <v>#REF!</v>
      </c>
      <c r="BS43" s="598" t="e">
        <f t="shared" si="40"/>
        <v>#REF!</v>
      </c>
      <c r="BU43" s="598" t="e">
        <f t="shared" si="41"/>
        <v>#REF!</v>
      </c>
      <c r="BV43" s="599" t="e">
        <f t="shared" si="42"/>
        <v>#REF!</v>
      </c>
      <c r="BW43" s="596" t="e">
        <f t="shared" si="43"/>
        <v>#REF!</v>
      </c>
      <c r="CM43" s="595">
        <v>32000</v>
      </c>
      <c r="CN43" s="595"/>
      <c r="CO43" s="595"/>
      <c r="CP43" s="595">
        <f t="shared" si="15"/>
        <v>32000</v>
      </c>
      <c r="CQ43" s="595"/>
      <c r="CR43" s="595"/>
      <c r="CS43" s="595">
        <f t="shared" si="16"/>
        <v>64000</v>
      </c>
      <c r="CT43" s="595"/>
      <c r="CU43" s="595"/>
      <c r="CV43" s="595">
        <f t="shared" si="17"/>
        <v>64000</v>
      </c>
      <c r="CW43" s="596">
        <f t="shared" si="29"/>
        <v>0.05</v>
      </c>
      <c r="CX43" s="595">
        <f t="shared" si="18"/>
        <v>1600</v>
      </c>
      <c r="CY43" s="596"/>
      <c r="CZ43" s="596">
        <f t="shared" si="30"/>
        <v>0.03</v>
      </c>
      <c r="DA43" s="595">
        <f t="shared" si="19"/>
        <v>960</v>
      </c>
      <c r="DB43" s="596"/>
      <c r="DC43" s="596">
        <f t="shared" si="31"/>
        <v>0.18</v>
      </c>
      <c r="DD43" s="595">
        <f t="shared" si="20"/>
        <v>11980.8</v>
      </c>
      <c r="DE43" s="596"/>
      <c r="DF43" s="597">
        <f t="shared" si="32"/>
        <v>-0.06</v>
      </c>
      <c r="DG43" s="595">
        <f t="shared" si="21"/>
        <v>-3840</v>
      </c>
      <c r="DI43" s="598">
        <f t="shared" si="22"/>
        <v>5229.0560000000005</v>
      </c>
      <c r="DK43" s="598">
        <f t="shared" si="23"/>
        <v>79929.856</v>
      </c>
      <c r="DL43" s="599">
        <f t="shared" si="24"/>
        <v>10700.8</v>
      </c>
      <c r="DM43" s="596">
        <f t="shared" si="25"/>
        <v>0.13387738369001939</v>
      </c>
    </row>
    <row r="44" spans="1:117" s="585" customFormat="1">
      <c r="A44" s="714" t="s">
        <v>569</v>
      </c>
      <c r="B44" s="715">
        <f>E20+E24</f>
        <v>0</v>
      </c>
      <c r="C44" s="714"/>
      <c r="D44" s="715"/>
      <c r="E44" s="600"/>
      <c r="G44" s="716"/>
      <c r="H44" s="600"/>
      <c r="I44" s="600"/>
      <c r="L44" s="717" t="s">
        <v>600</v>
      </c>
      <c r="M44" s="718"/>
      <c r="O44" s="1481" t="s">
        <v>715</v>
      </c>
      <c r="P44" s="1130" t="s">
        <v>714</v>
      </c>
      <c r="Q44" s="1091" t="s">
        <v>712</v>
      </c>
      <c r="R44" s="1138" t="s">
        <v>713</v>
      </c>
      <c r="AB44" s="1132" t="s">
        <v>715</v>
      </c>
      <c r="AC44" s="1130" t="s">
        <v>714</v>
      </c>
      <c r="AD44" s="1091" t="s">
        <v>712</v>
      </c>
      <c r="AE44" s="1138" t="s">
        <v>713</v>
      </c>
      <c r="AW44" s="595">
        <v>33000</v>
      </c>
      <c r="AX44" s="595"/>
      <c r="AY44" s="595"/>
      <c r="AZ44" s="595">
        <f t="shared" si="4"/>
        <v>33000</v>
      </c>
      <c r="BA44" s="595"/>
      <c r="BB44" s="595"/>
      <c r="BC44" s="595">
        <f t="shared" si="34"/>
        <v>66000</v>
      </c>
      <c r="BD44" s="595"/>
      <c r="BE44" s="595"/>
      <c r="BF44" s="595">
        <f t="shared" si="35"/>
        <v>66000</v>
      </c>
      <c r="BG44" s="596" t="e">
        <f>IF(AW44&lt;=#REF!,#REF!,IF(AW44&lt;=#REF!,#REF!,IF(AW44&lt;=#REF!,#REF!,IF(AW44&lt;=#REF!,#REF!,IF(AW44&lt;=#REF!,#REF!,IF(AW44&lt;=#REF!,#REF!,IF(AW44&lt;=#REF!,#REF!,0.05)))))))</f>
        <v>#REF!</v>
      </c>
      <c r="BH44" s="595" t="e">
        <f t="shared" si="36"/>
        <v>#REF!</v>
      </c>
      <c r="BI44" s="596"/>
      <c r="BJ44" s="596" t="e">
        <f>IF(AZ44&lt;=#REF!,#REF!,IF(AZ44&lt;=#REF!,#REF!,IF(AZ44&lt;=#REF!,#REF!,IF(AZ44&lt;=#REF!,#REF!,IF(AZ44&lt;=#REF!,#REF!,IF(AZ44&lt;=#REF!,#REF!,IF(AZ44&lt;=#REF!,#REF!,0.05)))))))</f>
        <v>#REF!</v>
      </c>
      <c r="BK44" s="595" t="e">
        <f t="shared" si="37"/>
        <v>#REF!</v>
      </c>
      <c r="BL44" s="596"/>
      <c r="BM44" s="596" t="e">
        <f>IF(BC44&lt;=#REF!,#REF!,IF(BC44&lt;=#REF!,#REF!,IF(BC44&lt;=#REF!,#REF!,IF(BC44&lt;=#REF!,#REF!,IF(BC44&lt;=#REF!,#REF!,IF(BC44&lt;=#REF!,#REF!,IF(BC44&lt;=#REF!,#REF!,0.05)))))))</f>
        <v>#REF!</v>
      </c>
      <c r="BN44" s="595" t="e">
        <f t="shared" si="38"/>
        <v>#REF!</v>
      </c>
      <c r="BO44" s="596"/>
      <c r="BP44" s="597" t="e">
        <f>IF(BF44&lt;=#REF!,#REF!,IF(BF44&lt;=#REF!,#REF!,IF(BF44&lt;=#REF!,#REF!,IF(BF44&lt;=#REF!,#REF!,IF(BF44&lt;=#REF!,#REF!,IF(BF44&lt;=#REF!,#REF!,IF(BF44&lt;=#REF!,#REF!,0.05)))))))</f>
        <v>#REF!</v>
      </c>
      <c r="BQ44" s="595" t="e">
        <f t="shared" si="39"/>
        <v>#REF!</v>
      </c>
      <c r="BS44" s="598" t="e">
        <f t="shared" si="40"/>
        <v>#REF!</v>
      </c>
      <c r="BU44" s="598" t="e">
        <f t="shared" si="41"/>
        <v>#REF!</v>
      </c>
      <c r="BV44" s="599" t="e">
        <f t="shared" si="42"/>
        <v>#REF!</v>
      </c>
      <c r="BW44" s="596" t="e">
        <f t="shared" si="43"/>
        <v>#REF!</v>
      </c>
      <c r="CM44" s="595">
        <v>33000</v>
      </c>
      <c r="CN44" s="595"/>
      <c r="CO44" s="595"/>
      <c r="CP44" s="595">
        <f t="shared" si="15"/>
        <v>33000</v>
      </c>
      <c r="CQ44" s="595"/>
      <c r="CR44" s="595"/>
      <c r="CS44" s="595">
        <f t="shared" si="16"/>
        <v>66000</v>
      </c>
      <c r="CT44" s="595"/>
      <c r="CU44" s="595"/>
      <c r="CV44" s="595">
        <f t="shared" si="17"/>
        <v>66000</v>
      </c>
      <c r="CW44" s="596">
        <f t="shared" si="29"/>
        <v>0.05</v>
      </c>
      <c r="CX44" s="595">
        <f t="shared" si="18"/>
        <v>1650</v>
      </c>
      <c r="CY44" s="596"/>
      <c r="CZ44" s="596">
        <f t="shared" si="30"/>
        <v>0.03</v>
      </c>
      <c r="DA44" s="595">
        <f t="shared" si="19"/>
        <v>990</v>
      </c>
      <c r="DB44" s="596"/>
      <c r="DC44" s="596">
        <f t="shared" si="31"/>
        <v>0.18</v>
      </c>
      <c r="DD44" s="595">
        <f t="shared" si="20"/>
        <v>12355.199999999999</v>
      </c>
      <c r="DE44" s="596"/>
      <c r="DF44" s="597">
        <f t="shared" si="32"/>
        <v>-0.06</v>
      </c>
      <c r="DG44" s="595">
        <f t="shared" si="21"/>
        <v>-3960</v>
      </c>
      <c r="DI44" s="598">
        <f t="shared" si="22"/>
        <v>5392.4639999999999</v>
      </c>
      <c r="DK44" s="598">
        <f t="shared" si="23"/>
        <v>82427.66399999999</v>
      </c>
      <c r="DL44" s="599">
        <f t="shared" si="24"/>
        <v>11035.199999999999</v>
      </c>
      <c r="DM44" s="596">
        <f t="shared" si="25"/>
        <v>0.13387738369001942</v>
      </c>
    </row>
    <row r="45" spans="1:117" s="585" customFormat="1">
      <c r="A45" s="719" t="s">
        <v>45</v>
      </c>
      <c r="B45" s="720">
        <f>E20+E24</f>
        <v>0</v>
      </c>
      <c r="C45" s="719" t="s">
        <v>46</v>
      </c>
      <c r="D45" s="721">
        <f>E34+E37</f>
        <v>0</v>
      </c>
      <c r="E45" s="722" t="s">
        <v>429</v>
      </c>
      <c r="F45" s="723" t="e">
        <f>D45/B45</f>
        <v>#DIV/0!</v>
      </c>
      <c r="G45" s="724" t="s">
        <v>81</v>
      </c>
      <c r="H45" s="725" t="s">
        <v>82</v>
      </c>
      <c r="I45" s="726" t="s">
        <v>204</v>
      </c>
      <c r="J45" s="727" t="s">
        <v>48</v>
      </c>
      <c r="K45" s="728" t="s">
        <v>506</v>
      </c>
      <c r="L45" s="729" t="s">
        <v>597</v>
      </c>
      <c r="M45" s="729" t="s">
        <v>598</v>
      </c>
      <c r="O45" s="1480">
        <v>3</v>
      </c>
      <c r="P45" s="1131">
        <f>P50/O45</f>
        <v>5</v>
      </c>
      <c r="Q45" s="1136">
        <f>O45*P45*R45*8</f>
        <v>3864.0000000000005</v>
      </c>
      <c r="R45" s="1137">
        <f>C47</f>
        <v>32.200000000000003</v>
      </c>
      <c r="AB45" s="1480">
        <v>3</v>
      </c>
      <c r="AC45" s="1131">
        <f>AC50/AB45</f>
        <v>5</v>
      </c>
      <c r="AD45" s="1136">
        <f>AB45*AC45*AE45*8</f>
        <v>3864.0000000000005</v>
      </c>
      <c r="AE45" s="1137">
        <f>C47</f>
        <v>32.200000000000003</v>
      </c>
      <c r="AW45" s="595">
        <v>34000</v>
      </c>
      <c r="AX45" s="595"/>
      <c r="AY45" s="595"/>
      <c r="AZ45" s="595">
        <f t="shared" si="4"/>
        <v>34000</v>
      </c>
      <c r="BA45" s="595"/>
      <c r="BB45" s="595"/>
      <c r="BC45" s="595">
        <f t="shared" si="34"/>
        <v>68000</v>
      </c>
      <c r="BD45" s="595"/>
      <c r="BE45" s="595"/>
      <c r="BF45" s="595">
        <f t="shared" si="35"/>
        <v>68000</v>
      </c>
      <c r="BG45" s="596" t="e">
        <f>IF(AW45&lt;=#REF!,#REF!,IF(AW45&lt;=#REF!,#REF!,IF(AW45&lt;=#REF!,#REF!,IF(AW45&lt;=#REF!,#REF!,IF(AW45&lt;=#REF!,#REF!,IF(AW45&lt;=#REF!,#REF!,IF(AW45&lt;=#REF!,#REF!,0.05)))))))</f>
        <v>#REF!</v>
      </c>
      <c r="BH45" s="595" t="e">
        <f t="shared" si="36"/>
        <v>#REF!</v>
      </c>
      <c r="BI45" s="596"/>
      <c r="BJ45" s="596" t="e">
        <f>IF(AZ45&lt;=#REF!,#REF!,IF(AZ45&lt;=#REF!,#REF!,IF(AZ45&lt;=#REF!,#REF!,IF(AZ45&lt;=#REF!,#REF!,IF(AZ45&lt;=#REF!,#REF!,IF(AZ45&lt;=#REF!,#REF!,IF(AZ45&lt;=#REF!,#REF!,0.05)))))))</f>
        <v>#REF!</v>
      </c>
      <c r="BK45" s="595" t="e">
        <f t="shared" si="37"/>
        <v>#REF!</v>
      </c>
      <c r="BL45" s="596"/>
      <c r="BM45" s="596" t="e">
        <f>IF(BC45&lt;=#REF!,#REF!,IF(BC45&lt;=#REF!,#REF!,IF(BC45&lt;=#REF!,#REF!,IF(BC45&lt;=#REF!,#REF!,IF(BC45&lt;=#REF!,#REF!,IF(BC45&lt;=#REF!,#REF!,IF(BC45&lt;=#REF!,#REF!,0.05)))))))</f>
        <v>#REF!</v>
      </c>
      <c r="BN45" s="595" t="e">
        <f t="shared" si="38"/>
        <v>#REF!</v>
      </c>
      <c r="BO45" s="596"/>
      <c r="BP45" s="597" t="e">
        <f>IF(BF45&lt;=#REF!,#REF!,IF(BF45&lt;=#REF!,#REF!,IF(BF45&lt;=#REF!,#REF!,IF(BF45&lt;=#REF!,#REF!,IF(BF45&lt;=#REF!,#REF!,IF(BF45&lt;=#REF!,#REF!,IF(BF45&lt;=#REF!,#REF!,0.05)))))))</f>
        <v>#REF!</v>
      </c>
      <c r="BQ45" s="595" t="e">
        <f t="shared" si="39"/>
        <v>#REF!</v>
      </c>
      <c r="BS45" s="598" t="e">
        <f t="shared" si="40"/>
        <v>#REF!</v>
      </c>
      <c r="BU45" s="598" t="e">
        <f t="shared" si="41"/>
        <v>#REF!</v>
      </c>
      <c r="BV45" s="599" t="e">
        <f t="shared" si="42"/>
        <v>#REF!</v>
      </c>
      <c r="BW45" s="596" t="e">
        <f t="shared" si="43"/>
        <v>#REF!</v>
      </c>
      <c r="CM45" s="595">
        <v>34000</v>
      </c>
      <c r="CN45" s="595"/>
      <c r="CO45" s="595"/>
      <c r="CP45" s="595">
        <f t="shared" si="15"/>
        <v>34000</v>
      </c>
      <c r="CQ45" s="595"/>
      <c r="CR45" s="595"/>
      <c r="CS45" s="595">
        <f t="shared" si="16"/>
        <v>68000</v>
      </c>
      <c r="CT45" s="595"/>
      <c r="CU45" s="595"/>
      <c r="CV45" s="595">
        <f t="shared" si="17"/>
        <v>68000</v>
      </c>
      <c r="CW45" s="596">
        <f t="shared" si="29"/>
        <v>0.05</v>
      </c>
      <c r="CX45" s="595">
        <f t="shared" si="18"/>
        <v>1700</v>
      </c>
      <c r="CY45" s="596"/>
      <c r="CZ45" s="596">
        <f t="shared" si="30"/>
        <v>0.03</v>
      </c>
      <c r="DA45" s="595">
        <f t="shared" si="19"/>
        <v>1020</v>
      </c>
      <c r="DB45" s="596"/>
      <c r="DC45" s="596">
        <f t="shared" si="31"/>
        <v>0.18</v>
      </c>
      <c r="DD45" s="595">
        <f t="shared" si="20"/>
        <v>12729.6</v>
      </c>
      <c r="DE45" s="596"/>
      <c r="DF45" s="597">
        <f t="shared" si="32"/>
        <v>-0.06</v>
      </c>
      <c r="DG45" s="595">
        <f t="shared" si="21"/>
        <v>-4080</v>
      </c>
      <c r="DI45" s="598">
        <f t="shared" si="22"/>
        <v>5555.8720000000012</v>
      </c>
      <c r="DK45" s="598">
        <f t="shared" si="23"/>
        <v>84925.472000000009</v>
      </c>
      <c r="DL45" s="599">
        <f t="shared" si="24"/>
        <v>11369.6</v>
      </c>
      <c r="DM45" s="596">
        <f t="shared" si="25"/>
        <v>0.13387738369001939</v>
      </c>
    </row>
    <row r="46" spans="1:117" s="585" customFormat="1">
      <c r="A46" s="730" t="s">
        <v>52</v>
      </c>
      <c r="B46" s="731" t="s">
        <v>42</v>
      </c>
      <c r="C46" s="731" t="s">
        <v>47</v>
      </c>
      <c r="D46" s="732" t="s">
        <v>51</v>
      </c>
      <c r="E46" s="775" t="str">
        <f>(IF(D5="Yes","PW","-"))</f>
        <v>-</v>
      </c>
      <c r="F46" s="734" t="s">
        <v>86</v>
      </c>
      <c r="G46" s="735" t="s">
        <v>93</v>
      </c>
      <c r="H46" s="736"/>
      <c r="K46" s="737"/>
      <c r="L46" s="738">
        <v>2</v>
      </c>
      <c r="M46" s="738">
        <v>2</v>
      </c>
      <c r="N46" s="585" t="s">
        <v>188</v>
      </c>
      <c r="O46" s="1456" t="s">
        <v>709</v>
      </c>
      <c r="P46" s="1508" t="s">
        <v>951</v>
      </c>
      <c r="Q46" s="1508" t="s">
        <v>707</v>
      </c>
      <c r="R46" s="1508" t="s">
        <v>441</v>
      </c>
      <c r="S46" s="1508" t="s">
        <v>443</v>
      </c>
      <c r="T46" s="1509" t="s">
        <v>710</v>
      </c>
      <c r="U46" s="1508" t="s">
        <v>103</v>
      </c>
      <c r="V46" s="1509" t="s">
        <v>711</v>
      </c>
      <c r="W46" s="1508" t="s">
        <v>442</v>
      </c>
      <c r="AB46" s="1456" t="s">
        <v>709</v>
      </c>
      <c r="AC46" s="1508" t="s">
        <v>951</v>
      </c>
      <c r="AD46" s="1508" t="s">
        <v>707</v>
      </c>
      <c r="AE46" s="1508" t="s">
        <v>441</v>
      </c>
      <c r="AF46" s="1508" t="s">
        <v>443</v>
      </c>
      <c r="AG46" s="1509" t="s">
        <v>710</v>
      </c>
      <c r="AH46" s="1508" t="s">
        <v>103</v>
      </c>
      <c r="AI46" s="1509" t="s">
        <v>711</v>
      </c>
      <c r="AJ46" s="1508" t="s">
        <v>442</v>
      </c>
      <c r="AW46" s="595">
        <v>35000</v>
      </c>
      <c r="AX46" s="595"/>
      <c r="AY46" s="595"/>
      <c r="AZ46" s="595">
        <f t="shared" si="4"/>
        <v>35000</v>
      </c>
      <c r="BA46" s="595"/>
      <c r="BB46" s="595"/>
      <c r="BC46" s="595">
        <f t="shared" si="34"/>
        <v>70000</v>
      </c>
      <c r="BD46" s="595"/>
      <c r="BE46" s="595"/>
      <c r="BF46" s="595">
        <f t="shared" si="35"/>
        <v>70000</v>
      </c>
      <c r="BG46" s="596" t="e">
        <f>IF(AW46&lt;=#REF!,#REF!,IF(AW46&lt;=#REF!,#REF!,IF(AW46&lt;=#REF!,#REF!,IF(AW46&lt;=#REF!,#REF!,IF(AW46&lt;=#REF!,#REF!,IF(AW46&lt;=#REF!,#REF!,IF(AW46&lt;=#REF!,#REF!,0.05)))))))</f>
        <v>#REF!</v>
      </c>
      <c r="BH46" s="595" t="e">
        <f t="shared" si="36"/>
        <v>#REF!</v>
      </c>
      <c r="BI46" s="596"/>
      <c r="BJ46" s="596" t="e">
        <f>IF(AZ46&lt;=#REF!,#REF!,IF(AZ46&lt;=#REF!,#REF!,IF(AZ46&lt;=#REF!,#REF!,IF(AZ46&lt;=#REF!,#REF!,IF(AZ46&lt;=#REF!,#REF!,IF(AZ46&lt;=#REF!,#REF!,IF(AZ46&lt;=#REF!,#REF!,0.05)))))))</f>
        <v>#REF!</v>
      </c>
      <c r="BK46" s="595" t="e">
        <f t="shared" si="37"/>
        <v>#REF!</v>
      </c>
      <c r="BL46" s="596"/>
      <c r="BM46" s="596" t="e">
        <f>IF(BC46&lt;=#REF!,#REF!,IF(BC46&lt;=#REF!,#REF!,IF(BC46&lt;=#REF!,#REF!,IF(BC46&lt;=#REF!,#REF!,IF(BC46&lt;=#REF!,#REF!,IF(BC46&lt;=#REF!,#REF!,IF(BC46&lt;=#REF!,#REF!,0.05)))))))</f>
        <v>#REF!</v>
      </c>
      <c r="BN46" s="595" t="e">
        <f t="shared" si="38"/>
        <v>#REF!</v>
      </c>
      <c r="BO46" s="596"/>
      <c r="BP46" s="597" t="e">
        <f>IF(BF46&lt;=#REF!,#REF!,IF(BF46&lt;=#REF!,#REF!,IF(BF46&lt;=#REF!,#REF!,IF(BF46&lt;=#REF!,#REF!,IF(BF46&lt;=#REF!,#REF!,IF(BF46&lt;=#REF!,#REF!,IF(BF46&lt;=#REF!,#REF!,0.05)))))))</f>
        <v>#REF!</v>
      </c>
      <c r="BQ46" s="595" t="e">
        <f t="shared" si="39"/>
        <v>#REF!</v>
      </c>
      <c r="BS46" s="598" t="e">
        <f t="shared" si="40"/>
        <v>#REF!</v>
      </c>
      <c r="BU46" s="598" t="e">
        <f t="shared" si="41"/>
        <v>#REF!</v>
      </c>
      <c r="BV46" s="599" t="e">
        <f t="shared" si="42"/>
        <v>#REF!</v>
      </c>
      <c r="BW46" s="596" t="e">
        <f t="shared" si="43"/>
        <v>#REF!</v>
      </c>
      <c r="CM46" s="595">
        <v>35000</v>
      </c>
      <c r="CN46" s="595"/>
      <c r="CO46" s="595"/>
      <c r="CP46" s="595">
        <f t="shared" si="15"/>
        <v>35000</v>
      </c>
      <c r="CQ46" s="595"/>
      <c r="CR46" s="595"/>
      <c r="CS46" s="595">
        <f t="shared" si="16"/>
        <v>70000</v>
      </c>
      <c r="CT46" s="595"/>
      <c r="CU46" s="595"/>
      <c r="CV46" s="595">
        <f t="shared" si="17"/>
        <v>70000</v>
      </c>
      <c r="CW46" s="596">
        <f t="shared" si="29"/>
        <v>0.05</v>
      </c>
      <c r="CX46" s="595">
        <f t="shared" si="18"/>
        <v>1750</v>
      </c>
      <c r="CY46" s="596"/>
      <c r="CZ46" s="596">
        <f t="shared" si="30"/>
        <v>0.03</v>
      </c>
      <c r="DA46" s="595">
        <f t="shared" si="19"/>
        <v>1050</v>
      </c>
      <c r="DB46" s="596"/>
      <c r="DC46" s="596">
        <f t="shared" si="31"/>
        <v>0.18</v>
      </c>
      <c r="DD46" s="595">
        <f t="shared" si="20"/>
        <v>13104</v>
      </c>
      <c r="DE46" s="596"/>
      <c r="DF46" s="597">
        <f t="shared" si="32"/>
        <v>-0.06</v>
      </c>
      <c r="DG46" s="595">
        <f t="shared" si="21"/>
        <v>-4200</v>
      </c>
      <c r="DI46" s="598">
        <f t="shared" si="22"/>
        <v>5719.2800000000007</v>
      </c>
      <c r="DK46" s="598">
        <f t="shared" si="23"/>
        <v>87423.28</v>
      </c>
      <c r="DL46" s="599">
        <f t="shared" si="24"/>
        <v>11704</v>
      </c>
      <c r="DM46" s="596">
        <f t="shared" si="25"/>
        <v>0.13387738369001942</v>
      </c>
    </row>
    <row r="47" spans="1:117" s="585" customFormat="1">
      <c r="A47" s="739">
        <v>3</v>
      </c>
      <c r="B47" s="600">
        <v>5</v>
      </c>
      <c r="C47" s="740">
        <v>32.200000000000003</v>
      </c>
      <c r="D47" s="741">
        <f>(A47*B47*C47)*IF($E$45="8 hour days",8,10)</f>
        <v>3864.0000000000005</v>
      </c>
      <c r="E47" s="1365" t="s">
        <v>606</v>
      </c>
      <c r="F47" s="742">
        <f>I47/(D47/C47)</f>
        <v>0</v>
      </c>
      <c r="G47" s="743" t="s">
        <v>84</v>
      </c>
      <c r="H47" s="744"/>
      <c r="I47" s="745">
        <f>E20</f>
        <v>0</v>
      </c>
      <c r="J47" s="745">
        <f>E34</f>
        <v>0</v>
      </c>
      <c r="K47" s="737" t="e">
        <f>J47/I47</f>
        <v>#DIV/0!</v>
      </c>
      <c r="L47" s="624">
        <v>3</v>
      </c>
      <c r="M47" s="624">
        <v>3</v>
      </c>
      <c r="N47" s="600" t="s">
        <v>189</v>
      </c>
      <c r="O47" s="1457" t="s">
        <v>331</v>
      </c>
      <c r="P47" s="1061">
        <v>3</v>
      </c>
      <c r="Q47" s="585">
        <f>P47</f>
        <v>3</v>
      </c>
      <c r="R47" s="585">
        <f>P47</f>
        <v>3</v>
      </c>
      <c r="S47" s="585">
        <f>P47</f>
        <v>3</v>
      </c>
      <c r="T47" s="1066">
        <f>P47</f>
        <v>3</v>
      </c>
      <c r="U47" s="585">
        <f>P47</f>
        <v>3</v>
      </c>
      <c r="V47" s="1066">
        <f>P47</f>
        <v>3</v>
      </c>
      <c r="W47" s="585">
        <f>P47</f>
        <v>3</v>
      </c>
      <c r="AB47" s="1457" t="s">
        <v>331</v>
      </c>
      <c r="AC47" s="1061">
        <v>3</v>
      </c>
      <c r="AD47" s="585">
        <f>AC47</f>
        <v>3</v>
      </c>
      <c r="AE47" s="585">
        <f>AC47</f>
        <v>3</v>
      </c>
      <c r="AF47" s="585">
        <f>AC47</f>
        <v>3</v>
      </c>
      <c r="AG47" s="1407"/>
      <c r="AH47" s="585">
        <f>AC47</f>
        <v>3</v>
      </c>
      <c r="AI47" s="1407"/>
      <c r="AJ47" s="585">
        <f>AC47</f>
        <v>3</v>
      </c>
      <c r="AW47" s="595">
        <v>36000</v>
      </c>
      <c r="AX47" s="595"/>
      <c r="AY47" s="595"/>
      <c r="AZ47" s="595">
        <f t="shared" si="4"/>
        <v>36000</v>
      </c>
      <c r="BA47" s="595"/>
      <c r="BB47" s="595"/>
      <c r="BC47" s="595">
        <f t="shared" si="34"/>
        <v>72000</v>
      </c>
      <c r="BD47" s="595"/>
      <c r="BE47" s="595"/>
      <c r="BF47" s="595">
        <f t="shared" si="35"/>
        <v>72000</v>
      </c>
      <c r="BG47" s="596" t="e">
        <f>IF(AW47&lt;=#REF!,#REF!,IF(AW47&lt;=#REF!,#REF!,IF(AW47&lt;=#REF!,#REF!,IF(AW47&lt;=#REF!,#REF!,IF(AW47&lt;=#REF!,#REF!,IF(AW47&lt;=#REF!,#REF!,IF(AW47&lt;=#REF!,#REF!,0.05)))))))</f>
        <v>#REF!</v>
      </c>
      <c r="BH47" s="595" t="e">
        <f t="shared" si="36"/>
        <v>#REF!</v>
      </c>
      <c r="BI47" s="596"/>
      <c r="BJ47" s="596" t="e">
        <f>IF(AZ47&lt;=#REF!,#REF!,IF(AZ47&lt;=#REF!,#REF!,IF(AZ47&lt;=#REF!,#REF!,IF(AZ47&lt;=#REF!,#REF!,IF(AZ47&lt;=#REF!,#REF!,IF(AZ47&lt;=#REF!,#REF!,IF(AZ47&lt;=#REF!,#REF!,0.05)))))))</f>
        <v>#REF!</v>
      </c>
      <c r="BK47" s="595" t="e">
        <f t="shared" si="37"/>
        <v>#REF!</v>
      </c>
      <c r="BL47" s="596"/>
      <c r="BM47" s="596" t="e">
        <f>IF(BC47&lt;=#REF!,#REF!,IF(BC47&lt;=#REF!,#REF!,IF(BC47&lt;=#REF!,#REF!,IF(BC47&lt;=#REF!,#REF!,IF(BC47&lt;=#REF!,#REF!,IF(BC47&lt;=#REF!,#REF!,IF(BC47&lt;=#REF!,#REF!,0.05)))))))</f>
        <v>#REF!</v>
      </c>
      <c r="BN47" s="595" t="e">
        <f t="shared" si="38"/>
        <v>#REF!</v>
      </c>
      <c r="BO47" s="596"/>
      <c r="BP47" s="597" t="e">
        <f>IF(BF47&lt;=#REF!,#REF!,IF(BF47&lt;=#REF!,#REF!,IF(BF47&lt;=#REF!,#REF!,IF(BF47&lt;=#REF!,#REF!,IF(BF47&lt;=#REF!,#REF!,IF(BF47&lt;=#REF!,#REF!,IF(BF47&lt;=#REF!,#REF!,0.05)))))))</f>
        <v>#REF!</v>
      </c>
      <c r="BQ47" s="595" t="e">
        <f t="shared" si="39"/>
        <v>#REF!</v>
      </c>
      <c r="BS47" s="598" t="e">
        <f t="shared" si="40"/>
        <v>#REF!</v>
      </c>
      <c r="BU47" s="598" t="e">
        <f t="shared" si="41"/>
        <v>#REF!</v>
      </c>
      <c r="BV47" s="599" t="e">
        <f t="shared" si="42"/>
        <v>#REF!</v>
      </c>
      <c r="BW47" s="596" t="e">
        <f t="shared" si="43"/>
        <v>#REF!</v>
      </c>
      <c r="CM47" s="595">
        <v>36000</v>
      </c>
      <c r="CN47" s="595"/>
      <c r="CO47" s="595"/>
      <c r="CP47" s="595">
        <f t="shared" si="15"/>
        <v>36000</v>
      </c>
      <c r="CQ47" s="595"/>
      <c r="CR47" s="595"/>
      <c r="CS47" s="595">
        <f t="shared" si="16"/>
        <v>72000</v>
      </c>
      <c r="CT47" s="595"/>
      <c r="CU47" s="595"/>
      <c r="CV47" s="595">
        <f t="shared" si="17"/>
        <v>72000</v>
      </c>
      <c r="CW47" s="596">
        <f t="shared" si="29"/>
        <v>0.05</v>
      </c>
      <c r="CX47" s="595">
        <f t="shared" si="18"/>
        <v>1800</v>
      </c>
      <c r="CY47" s="596"/>
      <c r="CZ47" s="596">
        <f t="shared" si="30"/>
        <v>0.03</v>
      </c>
      <c r="DA47" s="595">
        <f t="shared" si="19"/>
        <v>1080</v>
      </c>
      <c r="DB47" s="596"/>
      <c r="DC47" s="596">
        <f t="shared" si="31"/>
        <v>0.18</v>
      </c>
      <c r="DD47" s="595">
        <f t="shared" si="20"/>
        <v>13478.4</v>
      </c>
      <c r="DE47" s="596"/>
      <c r="DF47" s="597">
        <f t="shared" si="32"/>
        <v>-0.06</v>
      </c>
      <c r="DG47" s="595">
        <f t="shared" si="21"/>
        <v>-4320</v>
      </c>
      <c r="DI47" s="598">
        <f t="shared" si="22"/>
        <v>5882.6880000000001</v>
      </c>
      <c r="DK47" s="598">
        <f t="shared" si="23"/>
        <v>89921.088000000003</v>
      </c>
      <c r="DL47" s="599">
        <f t="shared" si="24"/>
        <v>12038.4</v>
      </c>
      <c r="DM47" s="596">
        <f t="shared" si="25"/>
        <v>0.13387738369001939</v>
      </c>
    </row>
    <row r="48" spans="1:117" s="585" customFormat="1">
      <c r="A48" s="739"/>
      <c r="B48" s="600"/>
      <c r="C48" s="746">
        <f>C47</f>
        <v>32.200000000000003</v>
      </c>
      <c r="D48" s="741">
        <f t="shared" ref="D48:D50" si="44">(A48*B48*C48)*IF($E$45="8 hour days",8,10)</f>
        <v>0</v>
      </c>
      <c r="E48" s="1366" t="s">
        <v>894</v>
      </c>
      <c r="F48" s="742" t="e">
        <f t="shared" ref="F48:F50" si="45">I48/(D48/C48)</f>
        <v>#DIV/0!</v>
      </c>
      <c r="G48" s="743" t="s">
        <v>84</v>
      </c>
      <c r="H48" s="744"/>
      <c r="I48" s="745">
        <f>E24</f>
        <v>0</v>
      </c>
      <c r="J48" s="745">
        <f>E37</f>
        <v>0</v>
      </c>
      <c r="K48" s="747" t="e">
        <f>J48/I48</f>
        <v>#DIV/0!</v>
      </c>
      <c r="L48" s="738">
        <v>3</v>
      </c>
      <c r="M48" s="738">
        <v>3.5</v>
      </c>
      <c r="N48" s="585" t="s">
        <v>599</v>
      </c>
      <c r="O48" s="1458" t="s">
        <v>42</v>
      </c>
      <c r="P48" s="784">
        <v>1.5</v>
      </c>
      <c r="Q48" s="784">
        <v>1</v>
      </c>
      <c r="R48" s="784">
        <v>0.5</v>
      </c>
      <c r="S48" s="784">
        <v>1</v>
      </c>
      <c r="T48" s="1334">
        <v>0</v>
      </c>
      <c r="U48" s="784">
        <v>0.5</v>
      </c>
      <c r="V48" s="1334">
        <v>0</v>
      </c>
      <c r="W48" s="784">
        <f>U48</f>
        <v>0.5</v>
      </c>
      <c r="AB48" s="1458" t="s">
        <v>42</v>
      </c>
      <c r="AC48" s="784">
        <v>1.5</v>
      </c>
      <c r="AD48" s="784">
        <v>1</v>
      </c>
      <c r="AE48" s="784">
        <v>0.5</v>
      </c>
      <c r="AF48" s="784">
        <v>1</v>
      </c>
      <c r="AG48" s="1473"/>
      <c r="AH48" s="784">
        <v>0.5</v>
      </c>
      <c r="AI48" s="1473"/>
      <c r="AJ48" s="784">
        <v>0.5</v>
      </c>
      <c r="AW48" s="595">
        <v>37000</v>
      </c>
      <c r="AX48" s="595"/>
      <c r="AY48" s="595"/>
      <c r="AZ48" s="595">
        <f t="shared" si="4"/>
        <v>37000</v>
      </c>
      <c r="BA48" s="595"/>
      <c r="BB48" s="595"/>
      <c r="BC48" s="595">
        <f t="shared" si="34"/>
        <v>74000</v>
      </c>
      <c r="BD48" s="595"/>
      <c r="BE48" s="595"/>
      <c r="BF48" s="595">
        <f t="shared" si="35"/>
        <v>74000</v>
      </c>
      <c r="BG48" s="596" t="e">
        <f>IF(AW48&lt;=#REF!,#REF!,IF(AW48&lt;=#REF!,#REF!,IF(AW48&lt;=#REF!,#REF!,IF(AW48&lt;=#REF!,#REF!,IF(AW48&lt;=#REF!,#REF!,IF(AW48&lt;=#REF!,#REF!,IF(AW48&lt;=#REF!,#REF!,0.05)))))))</f>
        <v>#REF!</v>
      </c>
      <c r="BH48" s="595" t="e">
        <f t="shared" si="36"/>
        <v>#REF!</v>
      </c>
      <c r="BI48" s="596"/>
      <c r="BJ48" s="596" t="e">
        <f>IF(AZ48&lt;=#REF!,#REF!,IF(AZ48&lt;=#REF!,#REF!,IF(AZ48&lt;=#REF!,#REF!,IF(AZ48&lt;=#REF!,#REF!,IF(AZ48&lt;=#REF!,#REF!,IF(AZ48&lt;=#REF!,#REF!,IF(AZ48&lt;=#REF!,#REF!,0.05)))))))</f>
        <v>#REF!</v>
      </c>
      <c r="BK48" s="595" t="e">
        <f t="shared" si="37"/>
        <v>#REF!</v>
      </c>
      <c r="BL48" s="596"/>
      <c r="BM48" s="596" t="e">
        <f>IF(BC48&lt;=#REF!,#REF!,IF(BC48&lt;=#REF!,#REF!,IF(BC48&lt;=#REF!,#REF!,IF(BC48&lt;=#REF!,#REF!,IF(BC48&lt;=#REF!,#REF!,IF(BC48&lt;=#REF!,#REF!,IF(BC48&lt;=#REF!,#REF!,0.05)))))))</f>
        <v>#REF!</v>
      </c>
      <c r="BN48" s="595" t="e">
        <f t="shared" si="38"/>
        <v>#REF!</v>
      </c>
      <c r="BO48" s="596"/>
      <c r="BP48" s="597" t="e">
        <f>IF(BF48&lt;=#REF!,#REF!,IF(BF48&lt;=#REF!,#REF!,IF(BF48&lt;=#REF!,#REF!,IF(BF48&lt;=#REF!,#REF!,IF(BF48&lt;=#REF!,#REF!,IF(BF48&lt;=#REF!,#REF!,IF(BF48&lt;=#REF!,#REF!,0.05)))))))</f>
        <v>#REF!</v>
      </c>
      <c r="BQ48" s="595" t="e">
        <f t="shared" si="39"/>
        <v>#REF!</v>
      </c>
      <c r="BS48" s="598" t="e">
        <f t="shared" si="40"/>
        <v>#REF!</v>
      </c>
      <c r="BU48" s="598" t="e">
        <f t="shared" si="41"/>
        <v>#REF!</v>
      </c>
      <c r="BV48" s="599" t="e">
        <f t="shared" si="42"/>
        <v>#REF!</v>
      </c>
      <c r="BW48" s="596" t="e">
        <f t="shared" si="43"/>
        <v>#REF!</v>
      </c>
      <c r="CM48" s="595">
        <v>37000</v>
      </c>
      <c r="CN48" s="595"/>
      <c r="CO48" s="595"/>
      <c r="CP48" s="595">
        <f t="shared" si="15"/>
        <v>37000</v>
      </c>
      <c r="CQ48" s="595"/>
      <c r="CR48" s="595"/>
      <c r="CS48" s="595">
        <f t="shared" si="16"/>
        <v>74000</v>
      </c>
      <c r="CT48" s="595"/>
      <c r="CU48" s="595"/>
      <c r="CV48" s="595">
        <f t="shared" si="17"/>
        <v>74000</v>
      </c>
      <c r="CW48" s="596">
        <f t="shared" si="29"/>
        <v>0.05</v>
      </c>
      <c r="CX48" s="595">
        <f t="shared" si="18"/>
        <v>1850</v>
      </c>
      <c r="CY48" s="596"/>
      <c r="CZ48" s="596">
        <f t="shared" si="30"/>
        <v>0.03</v>
      </c>
      <c r="DA48" s="595">
        <f t="shared" si="19"/>
        <v>1110</v>
      </c>
      <c r="DB48" s="596"/>
      <c r="DC48" s="596">
        <f t="shared" si="31"/>
        <v>0.18</v>
      </c>
      <c r="DD48" s="595">
        <f t="shared" si="20"/>
        <v>13852.8</v>
      </c>
      <c r="DE48" s="596"/>
      <c r="DF48" s="597">
        <f t="shared" si="32"/>
        <v>-0.06</v>
      </c>
      <c r="DG48" s="595">
        <f t="shared" si="21"/>
        <v>-4440</v>
      </c>
      <c r="DI48" s="598">
        <f t="shared" si="22"/>
        <v>6046.0960000000005</v>
      </c>
      <c r="DK48" s="598">
        <f t="shared" si="23"/>
        <v>92418.896000000008</v>
      </c>
      <c r="DL48" s="599">
        <f t="shared" si="24"/>
        <v>12372.8</v>
      </c>
      <c r="DM48" s="596">
        <f t="shared" si="25"/>
        <v>0.13387738369001939</v>
      </c>
    </row>
    <row r="49" spans="1:117" s="585" customFormat="1">
      <c r="A49" s="739"/>
      <c r="B49" s="600"/>
      <c r="C49" s="746">
        <f>C47</f>
        <v>32.200000000000003</v>
      </c>
      <c r="D49" s="741">
        <f t="shared" si="44"/>
        <v>0</v>
      </c>
      <c r="E49" s="733"/>
      <c r="F49" s="742" t="e">
        <f t="shared" ref="F49" si="46">I49/(D49/C49)</f>
        <v>#DIV/0!</v>
      </c>
      <c r="G49" s="743" t="s">
        <v>84</v>
      </c>
      <c r="H49" s="744"/>
      <c r="I49" s="745">
        <f>H26</f>
        <v>0</v>
      </c>
      <c r="J49" s="745">
        <f>H36</f>
        <v>0</v>
      </c>
      <c r="K49" s="747" t="e">
        <f>J49/I49</f>
        <v>#DIV/0!</v>
      </c>
      <c r="L49" s="738">
        <v>4</v>
      </c>
      <c r="M49" s="738">
        <v>4.5</v>
      </c>
      <c r="N49" s="585" t="s">
        <v>602</v>
      </c>
      <c r="O49" s="1103"/>
      <c r="P49" s="585">
        <f t="shared" ref="P49:W49" si="47">P47*P48</f>
        <v>4.5</v>
      </c>
      <c r="Q49" s="585">
        <f t="shared" si="47"/>
        <v>3</v>
      </c>
      <c r="R49" s="585">
        <f t="shared" si="47"/>
        <v>1.5</v>
      </c>
      <c r="S49" s="585">
        <f t="shared" si="47"/>
        <v>3</v>
      </c>
      <c r="T49" s="1066">
        <f t="shared" si="47"/>
        <v>0</v>
      </c>
      <c r="U49" s="585">
        <f t="shared" si="47"/>
        <v>1.5</v>
      </c>
      <c r="V49" s="1066">
        <f t="shared" si="47"/>
        <v>0</v>
      </c>
      <c r="W49" s="585">
        <f t="shared" si="47"/>
        <v>1.5</v>
      </c>
      <c r="AB49" s="1103"/>
      <c r="AC49" s="585">
        <f t="shared" ref="AC49:AJ49" si="48">AC47*AC48</f>
        <v>4.5</v>
      </c>
      <c r="AD49" s="585">
        <f t="shared" si="48"/>
        <v>3</v>
      </c>
      <c r="AE49" s="585">
        <f t="shared" si="48"/>
        <v>1.5</v>
      </c>
      <c r="AF49" s="585">
        <f t="shared" si="48"/>
        <v>3</v>
      </c>
      <c r="AG49" s="1066">
        <f t="shared" si="48"/>
        <v>0</v>
      </c>
      <c r="AH49" s="585">
        <f t="shared" si="48"/>
        <v>1.5</v>
      </c>
      <c r="AI49" s="1066">
        <f t="shared" si="48"/>
        <v>0</v>
      </c>
      <c r="AJ49" s="585">
        <f t="shared" si="48"/>
        <v>1.5</v>
      </c>
      <c r="AW49" s="595"/>
      <c r="AX49" s="595"/>
      <c r="AY49" s="595"/>
      <c r="AZ49" s="595"/>
      <c r="BA49" s="595"/>
      <c r="BB49" s="595"/>
      <c r="BC49" s="595"/>
      <c r="BD49" s="595"/>
      <c r="BE49" s="595"/>
      <c r="BF49" s="595"/>
      <c r="BG49" s="596"/>
      <c r="BH49" s="595"/>
      <c r="BI49" s="596"/>
      <c r="BJ49" s="596"/>
      <c r="BK49" s="595"/>
      <c r="BL49" s="596"/>
      <c r="BM49" s="596"/>
      <c r="BN49" s="595"/>
      <c r="BO49" s="596"/>
      <c r="BP49" s="597"/>
      <c r="BQ49" s="595"/>
      <c r="BS49" s="598"/>
      <c r="BU49" s="598"/>
      <c r="BV49" s="599"/>
      <c r="BW49" s="596"/>
      <c r="CM49" s="595"/>
      <c r="CN49" s="595"/>
      <c r="CO49" s="595"/>
      <c r="CP49" s="595"/>
      <c r="CQ49" s="595"/>
      <c r="CR49" s="595"/>
      <c r="CS49" s="595"/>
      <c r="CT49" s="595"/>
      <c r="CU49" s="595"/>
      <c r="CV49" s="595"/>
      <c r="CW49" s="596"/>
      <c r="CX49" s="595"/>
      <c r="CY49" s="596"/>
      <c r="CZ49" s="596"/>
      <c r="DA49" s="595"/>
      <c r="DB49" s="596"/>
      <c r="DC49" s="596"/>
      <c r="DD49" s="595"/>
      <c r="DE49" s="596"/>
      <c r="DF49" s="597"/>
      <c r="DG49" s="595"/>
      <c r="DI49" s="598"/>
      <c r="DK49" s="598"/>
      <c r="DL49" s="599"/>
      <c r="DM49" s="596"/>
    </row>
    <row r="50" spans="1:117" s="585" customFormat="1">
      <c r="A50" s="739"/>
      <c r="B50" s="600"/>
      <c r="C50" s="746">
        <f>C47</f>
        <v>32.200000000000003</v>
      </c>
      <c r="D50" s="741">
        <f t="shared" si="44"/>
        <v>0</v>
      </c>
      <c r="E50" s="733"/>
      <c r="F50" s="742" t="e">
        <f t="shared" si="45"/>
        <v>#DIV/0!</v>
      </c>
      <c r="G50" s="743" t="s">
        <v>84</v>
      </c>
      <c r="H50" s="744"/>
      <c r="I50" s="748">
        <f>H26</f>
        <v>0</v>
      </c>
      <c r="J50" s="749">
        <f>H36</f>
        <v>0</v>
      </c>
      <c r="K50" s="1451" t="e">
        <f>J50/I50</f>
        <v>#DIV/0!</v>
      </c>
      <c r="L50" s="738">
        <v>4.5</v>
      </c>
      <c r="M50" s="738">
        <v>5</v>
      </c>
      <c r="N50" s="585" t="s">
        <v>603</v>
      </c>
      <c r="P50" s="1134">
        <f>SUM(P49:W49)</f>
        <v>15</v>
      </c>
      <c r="Q50" s="954" t="s">
        <v>708</v>
      </c>
      <c r="AC50" s="1134">
        <f>SUM(AC49:AJ49)</f>
        <v>15</v>
      </c>
      <c r="AD50" s="954" t="s">
        <v>708</v>
      </c>
      <c r="AW50" s="595">
        <v>37000</v>
      </c>
      <c r="AX50" s="595"/>
      <c r="AY50" s="595"/>
      <c r="AZ50" s="595">
        <f t="shared" si="4"/>
        <v>37000</v>
      </c>
      <c r="BA50" s="595"/>
      <c r="BB50" s="595"/>
      <c r="BC50" s="595">
        <f t="shared" si="34"/>
        <v>74000</v>
      </c>
      <c r="BD50" s="595"/>
      <c r="BE50" s="595"/>
      <c r="BF50" s="595">
        <f t="shared" si="35"/>
        <v>74000</v>
      </c>
      <c r="BG50" s="596" t="e">
        <f>IF(AW50&lt;=#REF!,#REF!,IF(AW50&lt;=#REF!,#REF!,IF(AW50&lt;=#REF!,#REF!,IF(AW50&lt;=#REF!,#REF!,IF(AW50&lt;=#REF!,#REF!,IF(AW50&lt;=#REF!,#REF!,IF(AW50&lt;=#REF!,#REF!,0.05)))))))</f>
        <v>#REF!</v>
      </c>
      <c r="BH50" s="595" t="e">
        <f t="shared" si="36"/>
        <v>#REF!</v>
      </c>
      <c r="BI50" s="596"/>
      <c r="BJ50" s="596" t="e">
        <f>IF(AZ50&lt;=#REF!,#REF!,IF(AZ50&lt;=#REF!,#REF!,IF(AZ50&lt;=#REF!,#REF!,IF(AZ50&lt;=#REF!,#REF!,IF(AZ50&lt;=#REF!,#REF!,IF(AZ50&lt;=#REF!,#REF!,IF(AZ50&lt;=#REF!,#REF!,0.05)))))))</f>
        <v>#REF!</v>
      </c>
      <c r="BK50" s="595" t="e">
        <f t="shared" si="37"/>
        <v>#REF!</v>
      </c>
      <c r="BL50" s="596"/>
      <c r="BM50" s="596" t="e">
        <f>IF(BC50&lt;=#REF!,#REF!,IF(BC50&lt;=#REF!,#REF!,IF(BC50&lt;=#REF!,#REF!,IF(BC50&lt;=#REF!,#REF!,IF(BC50&lt;=#REF!,#REF!,IF(BC50&lt;=#REF!,#REF!,IF(BC50&lt;=#REF!,#REF!,0.05)))))))</f>
        <v>#REF!</v>
      </c>
      <c r="BN50" s="595" t="e">
        <f t="shared" si="38"/>
        <v>#REF!</v>
      </c>
      <c r="BO50" s="596"/>
      <c r="BP50" s="597" t="e">
        <f>IF(BF50&lt;=#REF!,#REF!,IF(BF50&lt;=#REF!,#REF!,IF(BF50&lt;=#REF!,#REF!,IF(BF50&lt;=#REF!,#REF!,IF(BF50&lt;=#REF!,#REF!,IF(BF50&lt;=#REF!,#REF!,IF(BF50&lt;=#REF!,#REF!,0.05)))))))</f>
        <v>#REF!</v>
      </c>
      <c r="BQ50" s="595" t="e">
        <f t="shared" si="39"/>
        <v>#REF!</v>
      </c>
      <c r="BS50" s="598" t="e">
        <f t="shared" si="40"/>
        <v>#REF!</v>
      </c>
      <c r="BU50" s="598" t="e">
        <f t="shared" si="41"/>
        <v>#REF!</v>
      </c>
      <c r="BV50" s="599" t="e">
        <f t="shared" si="42"/>
        <v>#REF!</v>
      </c>
      <c r="BW50" s="596" t="e">
        <f t="shared" si="43"/>
        <v>#REF!</v>
      </c>
      <c r="CM50" s="595">
        <v>37000</v>
      </c>
      <c r="CN50" s="595"/>
      <c r="CO50" s="595"/>
      <c r="CP50" s="595">
        <f t="shared" si="15"/>
        <v>37000</v>
      </c>
      <c r="CQ50" s="595"/>
      <c r="CR50" s="595"/>
      <c r="CS50" s="595">
        <f t="shared" si="16"/>
        <v>74000</v>
      </c>
      <c r="CT50" s="595"/>
      <c r="CU50" s="595"/>
      <c r="CV50" s="595">
        <f t="shared" si="17"/>
        <v>74000</v>
      </c>
      <c r="CW50" s="596">
        <f t="shared" si="29"/>
        <v>0.05</v>
      </c>
      <c r="CX50" s="595">
        <f t="shared" si="18"/>
        <v>1850</v>
      </c>
      <c r="CY50" s="596"/>
      <c r="CZ50" s="596">
        <f t="shared" si="30"/>
        <v>0.03</v>
      </c>
      <c r="DA50" s="595">
        <f t="shared" si="19"/>
        <v>1110</v>
      </c>
      <c r="DB50" s="596"/>
      <c r="DC50" s="596">
        <f t="shared" si="31"/>
        <v>0.18</v>
      </c>
      <c r="DD50" s="595">
        <f t="shared" si="20"/>
        <v>13852.8</v>
      </c>
      <c r="DE50" s="596"/>
      <c r="DF50" s="597">
        <f t="shared" si="32"/>
        <v>-0.06</v>
      </c>
      <c r="DG50" s="595">
        <f t="shared" si="21"/>
        <v>-4440</v>
      </c>
      <c r="DI50" s="598">
        <f t="shared" si="22"/>
        <v>6046.0960000000005</v>
      </c>
      <c r="DK50" s="598">
        <f t="shared" si="23"/>
        <v>92418.896000000008</v>
      </c>
      <c r="DL50" s="599">
        <f t="shared" si="24"/>
        <v>12372.8</v>
      </c>
      <c r="DM50" s="596">
        <f t="shared" si="25"/>
        <v>0.13387738369001939</v>
      </c>
    </row>
    <row r="51" spans="1:117" s="585" customFormat="1">
      <c r="A51" s="750" t="s">
        <v>53</v>
      </c>
      <c r="B51" s="751" t="s">
        <v>44</v>
      </c>
      <c r="C51" s="751" t="s">
        <v>43</v>
      </c>
      <c r="D51" s="752"/>
      <c r="E51" s="733"/>
      <c r="F51" s="753"/>
      <c r="G51" s="600"/>
      <c r="H51" s="1171" t="s">
        <v>504</v>
      </c>
      <c r="I51" s="754">
        <f>SUM(I47:I50)</f>
        <v>0</v>
      </c>
      <c r="J51" s="754">
        <f>SUM(J47:J50)</f>
        <v>0</v>
      </c>
      <c r="K51" s="1451" t="e">
        <f>J51/I51</f>
        <v>#DIV/0!</v>
      </c>
      <c r="O51" s="684">
        <f>O53/M41</f>
        <v>0</v>
      </c>
      <c r="P51" s="1730" t="s">
        <v>1159</v>
      </c>
      <c r="AW51" s="595">
        <v>38000</v>
      </c>
      <c r="AX51" s="595"/>
      <c r="AY51" s="595"/>
      <c r="AZ51" s="595">
        <f t="shared" si="4"/>
        <v>38000</v>
      </c>
      <c r="BA51" s="595"/>
      <c r="BB51" s="595"/>
      <c r="BC51" s="595">
        <f t="shared" si="34"/>
        <v>76000</v>
      </c>
      <c r="BD51" s="595"/>
      <c r="BE51" s="595"/>
      <c r="BF51" s="595">
        <f t="shared" si="35"/>
        <v>76000</v>
      </c>
      <c r="BG51" s="596" t="e">
        <f>IF(AW51&lt;=#REF!,#REF!,IF(AW51&lt;=#REF!,#REF!,IF(AW51&lt;=#REF!,#REF!,IF(AW51&lt;=#REF!,#REF!,IF(AW51&lt;=#REF!,#REF!,IF(AW51&lt;=#REF!,#REF!,IF(AW51&lt;=#REF!,#REF!,0.05)))))))</f>
        <v>#REF!</v>
      </c>
      <c r="BH51" s="595" t="e">
        <f t="shared" si="36"/>
        <v>#REF!</v>
      </c>
      <c r="BI51" s="596"/>
      <c r="BJ51" s="596" t="e">
        <f>IF(AZ51&lt;=#REF!,#REF!,IF(AZ51&lt;=#REF!,#REF!,IF(AZ51&lt;=#REF!,#REF!,IF(AZ51&lt;=#REF!,#REF!,IF(AZ51&lt;=#REF!,#REF!,IF(AZ51&lt;=#REF!,#REF!,IF(AZ51&lt;=#REF!,#REF!,0.05)))))))</f>
        <v>#REF!</v>
      </c>
      <c r="BK51" s="595" t="e">
        <f t="shared" si="37"/>
        <v>#REF!</v>
      </c>
      <c r="BL51" s="596"/>
      <c r="BM51" s="596" t="e">
        <f>IF(BC51&lt;=#REF!,#REF!,IF(BC51&lt;=#REF!,#REF!,IF(BC51&lt;=#REF!,#REF!,IF(BC51&lt;=#REF!,#REF!,IF(BC51&lt;=#REF!,#REF!,IF(BC51&lt;=#REF!,#REF!,IF(BC51&lt;=#REF!,#REF!,0.05)))))))</f>
        <v>#REF!</v>
      </c>
      <c r="BN51" s="595" t="e">
        <f t="shared" si="38"/>
        <v>#REF!</v>
      </c>
      <c r="BO51" s="596"/>
      <c r="BP51" s="597" t="e">
        <f>IF(BF51&lt;=#REF!,#REF!,IF(BF51&lt;=#REF!,#REF!,IF(BF51&lt;=#REF!,#REF!,IF(BF51&lt;=#REF!,#REF!,IF(BF51&lt;=#REF!,#REF!,IF(BF51&lt;=#REF!,#REF!,IF(BF51&lt;=#REF!,#REF!,0.05)))))))</f>
        <v>#REF!</v>
      </c>
      <c r="BQ51" s="595" t="e">
        <f t="shared" si="39"/>
        <v>#REF!</v>
      </c>
      <c r="BS51" s="598" t="e">
        <f t="shared" si="40"/>
        <v>#REF!</v>
      </c>
      <c r="BU51" s="598" t="e">
        <f t="shared" si="41"/>
        <v>#REF!</v>
      </c>
      <c r="BV51" s="599" t="e">
        <f t="shared" si="42"/>
        <v>#REF!</v>
      </c>
      <c r="BW51" s="596" t="e">
        <f t="shared" si="43"/>
        <v>#REF!</v>
      </c>
      <c r="CM51" s="595">
        <v>38000</v>
      </c>
      <c r="CN51" s="595"/>
      <c r="CO51" s="595"/>
      <c r="CP51" s="595">
        <f t="shared" si="15"/>
        <v>38000</v>
      </c>
      <c r="CQ51" s="595"/>
      <c r="CR51" s="595"/>
      <c r="CS51" s="595">
        <f t="shared" si="16"/>
        <v>76000</v>
      </c>
      <c r="CT51" s="595"/>
      <c r="CU51" s="595"/>
      <c r="CV51" s="595">
        <f t="shared" si="17"/>
        <v>76000</v>
      </c>
      <c r="CW51" s="596">
        <f t="shared" si="29"/>
        <v>0.05</v>
      </c>
      <c r="CX51" s="595">
        <f t="shared" si="18"/>
        <v>1900</v>
      </c>
      <c r="CY51" s="596"/>
      <c r="CZ51" s="596">
        <f t="shared" si="30"/>
        <v>0.03</v>
      </c>
      <c r="DA51" s="595">
        <f t="shared" si="19"/>
        <v>1140</v>
      </c>
      <c r="DB51" s="596"/>
      <c r="DC51" s="596">
        <f t="shared" si="31"/>
        <v>0.18</v>
      </c>
      <c r="DD51" s="595">
        <f t="shared" si="20"/>
        <v>14227.199999999999</v>
      </c>
      <c r="DE51" s="596"/>
      <c r="DF51" s="597">
        <f t="shared" si="32"/>
        <v>-0.06</v>
      </c>
      <c r="DG51" s="595">
        <f t="shared" si="21"/>
        <v>-4560</v>
      </c>
      <c r="DI51" s="598">
        <f t="shared" si="22"/>
        <v>6209.5040000000008</v>
      </c>
      <c r="DK51" s="598">
        <f t="shared" si="23"/>
        <v>94916.703999999998</v>
      </c>
      <c r="DL51" s="599">
        <f t="shared" si="24"/>
        <v>12707.199999999999</v>
      </c>
      <c r="DM51" s="596">
        <f t="shared" si="25"/>
        <v>0.13387738369001939</v>
      </c>
    </row>
    <row r="52" spans="1:117" s="585" customFormat="1">
      <c r="A52" s="755">
        <f>(A47*B47)+(A48*B48)+(A49*B49)+(A50*B50)</f>
        <v>15</v>
      </c>
      <c r="B52" s="1775">
        <v>0</v>
      </c>
      <c r="C52" s="756">
        <v>32.200000000000003</v>
      </c>
      <c r="D52" s="757">
        <f>(A52*B52*C52)</f>
        <v>0</v>
      </c>
      <c r="E52" s="758" t="s">
        <v>1142</v>
      </c>
      <c r="F52" s="753"/>
      <c r="G52" s="705"/>
      <c r="H52" s="1143"/>
      <c r="I52" s="760">
        <f>(((D53-D52)/C47)/A47)/40</f>
        <v>0.99999999999999978</v>
      </c>
      <c r="J52" s="761" t="s">
        <v>117</v>
      </c>
      <c r="K52" s="762"/>
      <c r="L52" s="763"/>
      <c r="M52" s="770" t="s">
        <v>604</v>
      </c>
      <c r="N52" s="763"/>
      <c r="O52" s="684">
        <f>O53/M42</f>
        <v>0</v>
      </c>
      <c r="P52" s="685" t="s">
        <v>1158</v>
      </c>
      <c r="AB52" s="1382" t="s">
        <v>1038</v>
      </c>
      <c r="AC52" s="1476"/>
      <c r="AW52" s="595">
        <v>39000</v>
      </c>
      <c r="AX52" s="595"/>
      <c r="AY52" s="595"/>
      <c r="AZ52" s="595">
        <f t="shared" si="4"/>
        <v>39000</v>
      </c>
      <c r="BA52" s="595"/>
      <c r="BB52" s="595"/>
      <c r="BC52" s="595">
        <f t="shared" si="34"/>
        <v>78000</v>
      </c>
      <c r="BD52" s="595"/>
      <c r="BE52" s="595"/>
      <c r="BF52" s="595">
        <f t="shared" si="35"/>
        <v>78000</v>
      </c>
      <c r="BG52" s="596" t="e">
        <f>IF(AW52&lt;=#REF!,#REF!,IF(AW52&lt;=#REF!,#REF!,IF(AW52&lt;=#REF!,#REF!,IF(AW52&lt;=#REF!,#REF!,IF(AW52&lt;=#REF!,#REF!,IF(AW52&lt;=#REF!,#REF!,IF(AW52&lt;=#REF!,#REF!,0.05)))))))</f>
        <v>#REF!</v>
      </c>
      <c r="BH52" s="595" t="e">
        <f t="shared" si="36"/>
        <v>#REF!</v>
      </c>
      <c r="BI52" s="596"/>
      <c r="BJ52" s="596" t="e">
        <f>IF(AZ52&lt;=#REF!,#REF!,IF(AZ52&lt;=#REF!,#REF!,IF(AZ52&lt;=#REF!,#REF!,IF(AZ52&lt;=#REF!,#REF!,IF(AZ52&lt;=#REF!,#REF!,IF(AZ52&lt;=#REF!,#REF!,IF(AZ52&lt;=#REF!,#REF!,0.05)))))))</f>
        <v>#REF!</v>
      </c>
      <c r="BK52" s="595" t="e">
        <f t="shared" si="37"/>
        <v>#REF!</v>
      </c>
      <c r="BL52" s="596"/>
      <c r="BM52" s="596" t="e">
        <f>IF(BC52&lt;=#REF!,#REF!,IF(BC52&lt;=#REF!,#REF!,IF(BC52&lt;=#REF!,#REF!,IF(BC52&lt;=#REF!,#REF!,IF(BC52&lt;=#REF!,#REF!,IF(BC52&lt;=#REF!,#REF!,IF(BC52&lt;=#REF!,#REF!,0.05)))))))</f>
        <v>#REF!</v>
      </c>
      <c r="BN52" s="595" t="e">
        <f t="shared" si="38"/>
        <v>#REF!</v>
      </c>
      <c r="BO52" s="596"/>
      <c r="BP52" s="597" t="e">
        <f>IF(BF52&lt;=#REF!,#REF!,IF(BF52&lt;=#REF!,#REF!,IF(BF52&lt;=#REF!,#REF!,IF(BF52&lt;=#REF!,#REF!,IF(BF52&lt;=#REF!,#REF!,IF(BF52&lt;=#REF!,#REF!,IF(BF52&lt;=#REF!,#REF!,0.05)))))))</f>
        <v>#REF!</v>
      </c>
      <c r="BQ52" s="595" t="e">
        <f t="shared" si="39"/>
        <v>#REF!</v>
      </c>
      <c r="BS52" s="598" t="e">
        <f t="shared" si="40"/>
        <v>#REF!</v>
      </c>
      <c r="BU52" s="598" t="e">
        <f t="shared" si="41"/>
        <v>#REF!</v>
      </c>
      <c r="BV52" s="599" t="e">
        <f t="shared" si="42"/>
        <v>#REF!</v>
      </c>
      <c r="BW52" s="596" t="e">
        <f t="shared" si="43"/>
        <v>#REF!</v>
      </c>
      <c r="CM52" s="595">
        <v>39000</v>
      </c>
      <c r="CN52" s="595"/>
      <c r="CO52" s="595"/>
      <c r="CP52" s="595">
        <f t="shared" si="15"/>
        <v>39000</v>
      </c>
      <c r="CQ52" s="595"/>
      <c r="CR52" s="595"/>
      <c r="CS52" s="595">
        <f t="shared" si="16"/>
        <v>78000</v>
      </c>
      <c r="CT52" s="595"/>
      <c r="CU52" s="595"/>
      <c r="CV52" s="595">
        <f t="shared" si="17"/>
        <v>78000</v>
      </c>
      <c r="CW52" s="596">
        <f t="shared" si="29"/>
        <v>0.05</v>
      </c>
      <c r="CX52" s="595">
        <f t="shared" si="18"/>
        <v>1950</v>
      </c>
      <c r="CY52" s="596"/>
      <c r="CZ52" s="596">
        <f t="shared" si="30"/>
        <v>0.03</v>
      </c>
      <c r="DA52" s="595">
        <f t="shared" si="19"/>
        <v>1170</v>
      </c>
      <c r="DB52" s="596"/>
      <c r="DC52" s="596">
        <f t="shared" si="31"/>
        <v>0.18</v>
      </c>
      <c r="DD52" s="595">
        <f t="shared" si="20"/>
        <v>14601.6</v>
      </c>
      <c r="DE52" s="596"/>
      <c r="DF52" s="597">
        <f t="shared" si="32"/>
        <v>-0.06</v>
      </c>
      <c r="DG52" s="595">
        <f t="shared" si="21"/>
        <v>-4680</v>
      </c>
      <c r="DI52" s="598">
        <f t="shared" si="22"/>
        <v>6372.9120000000012</v>
      </c>
      <c r="DK52" s="598">
        <f t="shared" si="23"/>
        <v>97414.512000000002</v>
      </c>
      <c r="DL52" s="599">
        <f t="shared" si="24"/>
        <v>13041.6</v>
      </c>
      <c r="DM52" s="596">
        <f t="shared" si="25"/>
        <v>0.13387738369001942</v>
      </c>
    </row>
    <row r="53" spans="1:117" s="585" customFormat="1">
      <c r="A53" s="764" t="s">
        <v>144</v>
      </c>
      <c r="B53" s="765"/>
      <c r="C53" s="766"/>
      <c r="D53" s="767">
        <f>ROUNDUP(SUM(D47:D52),0)</f>
        <v>3864</v>
      </c>
      <c r="E53" s="766" t="e">
        <f>D53/B45</f>
        <v>#DIV/0!</v>
      </c>
      <c r="F53" s="766" t="s">
        <v>87</v>
      </c>
      <c r="G53" s="1144"/>
      <c r="H53" s="1145"/>
      <c r="I53" s="768">
        <f>ROUNDUP(I52,0)</f>
        <v>1</v>
      </c>
      <c r="J53" s="769" t="s">
        <v>118</v>
      </c>
      <c r="K53" s="762"/>
      <c r="M53" s="763" t="s">
        <v>62</v>
      </c>
      <c r="O53" s="1460">
        <f>I48</f>
        <v>0</v>
      </c>
      <c r="P53" s="1459" t="s">
        <v>939</v>
      </c>
      <c r="Q53" s="1461">
        <f>J48</f>
        <v>0</v>
      </c>
      <c r="R53" s="699" t="s">
        <v>941</v>
      </c>
      <c r="S53" s="1462" t="e">
        <f>Q53/O53</f>
        <v>#DIV/0!</v>
      </c>
      <c r="T53" s="1094" t="s">
        <v>940</v>
      </c>
      <c r="AB53" s="1460">
        <f>B45</f>
        <v>0</v>
      </c>
      <c r="AC53" s="1459" t="s">
        <v>939</v>
      </c>
      <c r="AD53" s="1461">
        <f>D45</f>
        <v>0</v>
      </c>
      <c r="AE53" s="699" t="s">
        <v>941</v>
      </c>
      <c r="AF53" s="1462" t="e">
        <f>AD53/AB53</f>
        <v>#DIV/0!</v>
      </c>
      <c r="AG53" s="1094" t="s">
        <v>940</v>
      </c>
    </row>
    <row r="54" spans="1:117" s="585" customFormat="1" ht="16.2" thickBot="1">
      <c r="A54" s="1527" t="s">
        <v>1030</v>
      </c>
      <c r="B54" s="1533" t="s">
        <v>1047</v>
      </c>
      <c r="C54" s="1557">
        <f>IF(D5="Yes",5%,0)</f>
        <v>0</v>
      </c>
      <c r="D54" s="1529">
        <f>ROUNDUP((D53*C54),0)</f>
        <v>0</v>
      </c>
      <c r="E54" s="1556" t="s">
        <v>1044</v>
      </c>
      <c r="F54" s="1558"/>
      <c r="G54" s="827"/>
      <c r="H54" s="1525"/>
      <c r="I54" s="1526"/>
      <c r="J54" s="1043"/>
      <c r="K54" s="629"/>
      <c r="M54" s="763" t="s">
        <v>63</v>
      </c>
      <c r="O54" s="1481" t="s">
        <v>715</v>
      </c>
      <c r="P54" s="1130" t="s">
        <v>714</v>
      </c>
      <c r="Q54" s="1091" t="s">
        <v>712</v>
      </c>
      <c r="R54" s="1138" t="s">
        <v>713</v>
      </c>
      <c r="AB54" s="1132" t="s">
        <v>715</v>
      </c>
      <c r="AC54" s="1130" t="s">
        <v>714</v>
      </c>
      <c r="AD54" s="1091" t="s">
        <v>712</v>
      </c>
      <c r="AE54" s="1138" t="s">
        <v>713</v>
      </c>
    </row>
    <row r="55" spans="1:117" s="585" customFormat="1">
      <c r="A55" s="771" t="s">
        <v>145</v>
      </c>
      <c r="B55" s="766"/>
      <c r="C55" s="772">
        <v>0.12</v>
      </c>
      <c r="D55" s="773">
        <f>ROUNDUP((D53+D54)*C55,0)</f>
        <v>464</v>
      </c>
      <c r="E55" s="600"/>
      <c r="F55" s="600"/>
      <c r="G55" s="1146"/>
      <c r="H55" s="1146"/>
      <c r="I55" s="1585" t="s">
        <v>1052</v>
      </c>
      <c r="J55" s="1586"/>
      <c r="K55" s="1587" t="s">
        <v>1062</v>
      </c>
      <c r="L55" s="1588"/>
      <c r="M55" s="763" t="s">
        <v>64</v>
      </c>
      <c r="O55" s="1480">
        <v>3</v>
      </c>
      <c r="P55" s="1131">
        <f>P60/O55</f>
        <v>5</v>
      </c>
      <c r="Q55" s="1136">
        <f>O55*P55*R55*8</f>
        <v>3864.0000000000005</v>
      </c>
      <c r="R55" s="1137">
        <f>C48</f>
        <v>32.200000000000003</v>
      </c>
      <c r="AB55" s="1480">
        <v>3</v>
      </c>
      <c r="AC55" s="1131">
        <f>AC60/AB55</f>
        <v>6</v>
      </c>
      <c r="AD55" s="1136">
        <f>AB55*AC55*AE55*8</f>
        <v>4636.8</v>
      </c>
      <c r="AE55" s="1137">
        <f>C47</f>
        <v>32.200000000000003</v>
      </c>
    </row>
    <row r="56" spans="1:117" s="585" customFormat="1">
      <c r="A56" s="600"/>
      <c r="B56" s="775"/>
      <c r="C56" s="629"/>
      <c r="D56" s="629"/>
      <c r="E56" s="629"/>
      <c r="F56" s="600"/>
      <c r="G56" s="600"/>
      <c r="H56" s="834"/>
      <c r="I56" s="1576" t="s">
        <v>1049</v>
      </c>
      <c r="J56" s="1577">
        <f>SUM(J57:J58)</f>
        <v>0</v>
      </c>
      <c r="K56" s="1576" t="s">
        <v>1049</v>
      </c>
      <c r="L56" s="1577">
        <f>SUM(L57:L58)</f>
        <v>0</v>
      </c>
      <c r="M56" s="763" t="s">
        <v>65</v>
      </c>
      <c r="O56" s="1456" t="s">
        <v>709</v>
      </c>
      <c r="P56" s="1508" t="s">
        <v>951</v>
      </c>
      <c r="Q56" s="1508" t="s">
        <v>707</v>
      </c>
      <c r="R56" s="1508" t="s">
        <v>441</v>
      </c>
      <c r="S56" s="1508" t="s">
        <v>443</v>
      </c>
      <c r="T56" s="1509" t="s">
        <v>710</v>
      </c>
      <c r="U56" s="1508" t="s">
        <v>103</v>
      </c>
      <c r="V56" s="1509" t="s">
        <v>711</v>
      </c>
      <c r="W56" s="1508" t="s">
        <v>442</v>
      </c>
      <c r="AB56" s="1456" t="s">
        <v>709</v>
      </c>
      <c r="AC56" s="1508" t="s">
        <v>951</v>
      </c>
      <c r="AD56" s="1508" t="s">
        <v>707</v>
      </c>
      <c r="AE56" s="1508" t="s">
        <v>441</v>
      </c>
      <c r="AF56" s="1508" t="s">
        <v>443</v>
      </c>
      <c r="AG56" s="1509" t="s">
        <v>710</v>
      </c>
      <c r="AH56" s="1508" t="s">
        <v>103</v>
      </c>
      <c r="AI56" s="1509" t="s">
        <v>711</v>
      </c>
      <c r="AJ56" s="1508" t="s">
        <v>442</v>
      </c>
    </row>
    <row r="57" spans="1:117" s="585" customFormat="1">
      <c r="A57" s="621" t="s">
        <v>130</v>
      </c>
      <c r="B57" s="622" t="s">
        <v>11</v>
      </c>
      <c r="C57" s="778" t="s">
        <v>1</v>
      </c>
      <c r="D57" s="12" t="s">
        <v>51</v>
      </c>
      <c r="E57" s="600"/>
      <c r="F57" s="600"/>
      <c r="G57" s="780"/>
      <c r="H57" s="834"/>
      <c r="I57" s="1578" t="s">
        <v>1050</v>
      </c>
      <c r="J57" s="1579">
        <v>0</v>
      </c>
      <c r="K57" s="1578" t="s">
        <v>1050</v>
      </c>
      <c r="L57" s="1579">
        <v>0</v>
      </c>
      <c r="M57" s="763" t="s">
        <v>66</v>
      </c>
      <c r="O57" s="1457" t="s">
        <v>331</v>
      </c>
      <c r="P57" s="1061">
        <v>3</v>
      </c>
      <c r="Q57" s="585">
        <f>P57</f>
        <v>3</v>
      </c>
      <c r="R57" s="585">
        <f>P57</f>
        <v>3</v>
      </c>
      <c r="S57" s="585">
        <f>P57</f>
        <v>3</v>
      </c>
      <c r="T57" s="1066">
        <f>P57</f>
        <v>3</v>
      </c>
      <c r="U57" s="585">
        <f>P57</f>
        <v>3</v>
      </c>
      <c r="V57" s="1066">
        <f>P57</f>
        <v>3</v>
      </c>
      <c r="W57" s="585">
        <f>P57</f>
        <v>3</v>
      </c>
      <c r="AB57" s="1457" t="s">
        <v>331</v>
      </c>
      <c r="AC57" s="1061">
        <v>3</v>
      </c>
      <c r="AD57" s="585">
        <f>AC57</f>
        <v>3</v>
      </c>
      <c r="AE57" s="585">
        <f>AC57</f>
        <v>3</v>
      </c>
      <c r="AF57" s="585">
        <f>AC57</f>
        <v>3</v>
      </c>
      <c r="AG57" s="1066">
        <f>AC57</f>
        <v>3</v>
      </c>
      <c r="AH57" s="585">
        <f>AC57</f>
        <v>3</v>
      </c>
      <c r="AI57" s="1407"/>
      <c r="AJ57" s="585">
        <f>AC57</f>
        <v>3</v>
      </c>
    </row>
    <row r="58" spans="1:117" s="585" customFormat="1">
      <c r="A58" s="628" t="s">
        <v>17</v>
      </c>
      <c r="B58" s="774">
        <f>ROUNDUP(IF(B45&gt;2000,B45/1000,2),0)</f>
        <v>2</v>
      </c>
      <c r="C58" s="629">
        <v>35</v>
      </c>
      <c r="D58" s="648">
        <f t="shared" ref="D58:D61" si="49">ROUNDUP(B58*C58,0)</f>
        <v>70</v>
      </c>
      <c r="E58" s="600"/>
      <c r="F58" s="600"/>
      <c r="G58" s="781"/>
      <c r="H58" s="782"/>
      <c r="I58" s="1580" t="s">
        <v>1051</v>
      </c>
      <c r="J58" s="1581">
        <v>0</v>
      </c>
      <c r="K58" s="1580" t="s">
        <v>1051</v>
      </c>
      <c r="L58" s="1581">
        <v>0</v>
      </c>
      <c r="M58" s="763" t="s">
        <v>67</v>
      </c>
      <c r="O58" s="1458" t="s">
        <v>42</v>
      </c>
      <c r="P58" s="784">
        <v>1.5</v>
      </c>
      <c r="Q58" s="784">
        <v>1</v>
      </c>
      <c r="R58" s="784">
        <v>0.5</v>
      </c>
      <c r="S58" s="784">
        <v>1</v>
      </c>
      <c r="T58" s="1334">
        <v>0</v>
      </c>
      <c r="U58" s="784">
        <v>0.5</v>
      </c>
      <c r="V58" s="1334">
        <v>0</v>
      </c>
      <c r="W58" s="784">
        <f>U58</f>
        <v>0.5</v>
      </c>
      <c r="AB58" s="1458" t="s">
        <v>42</v>
      </c>
      <c r="AC58" s="784">
        <v>1.5</v>
      </c>
      <c r="AD58" s="784">
        <v>1</v>
      </c>
      <c r="AE58" s="784">
        <v>0.5</v>
      </c>
      <c r="AF58" s="784">
        <v>1</v>
      </c>
      <c r="AG58" s="1334">
        <v>1</v>
      </c>
      <c r="AH58" s="784">
        <v>0.5</v>
      </c>
      <c r="AI58" s="1473"/>
      <c r="AJ58" s="784">
        <v>0.5</v>
      </c>
    </row>
    <row r="59" spans="1:117" s="585" customFormat="1">
      <c r="A59" s="628" t="s">
        <v>75</v>
      </c>
      <c r="B59" s="774">
        <f>B45</f>
        <v>0</v>
      </c>
      <c r="C59" s="629">
        <v>0.33</v>
      </c>
      <c r="D59" s="648">
        <f>ROUNDUP(IF((B59*C59)&gt;150,(B59*C59),150),0)</f>
        <v>150</v>
      </c>
      <c r="E59" s="600"/>
      <c r="F59" s="600"/>
      <c r="G59" s="600"/>
      <c r="H59" s="774"/>
      <c r="I59" s="864" t="s">
        <v>1070</v>
      </c>
      <c r="J59" s="1582"/>
      <c r="K59" s="864" t="s">
        <v>1071</v>
      </c>
      <c r="L59" s="1582"/>
      <c r="O59" s="1103"/>
      <c r="P59" s="585">
        <f>P57*P58</f>
        <v>4.5</v>
      </c>
      <c r="Q59" s="585">
        <f t="shared" ref="Q59:W59" si="50">Q57*Q58</f>
        <v>3</v>
      </c>
      <c r="R59" s="585">
        <f t="shared" si="50"/>
        <v>1.5</v>
      </c>
      <c r="S59" s="585">
        <f t="shared" si="50"/>
        <v>3</v>
      </c>
      <c r="T59" s="1066">
        <f t="shared" si="50"/>
        <v>0</v>
      </c>
      <c r="U59" s="585">
        <f t="shared" si="50"/>
        <v>1.5</v>
      </c>
      <c r="V59" s="1066">
        <f t="shared" si="50"/>
        <v>0</v>
      </c>
      <c r="W59" s="585">
        <f t="shared" si="50"/>
        <v>1.5</v>
      </c>
      <c r="AB59" s="1103"/>
      <c r="AC59" s="585">
        <f>AC57*AC58</f>
        <v>4.5</v>
      </c>
      <c r="AD59" s="585">
        <f t="shared" ref="AD59:AJ59" si="51">AD57*AD58</f>
        <v>3</v>
      </c>
      <c r="AE59" s="585">
        <f t="shared" si="51"/>
        <v>1.5</v>
      </c>
      <c r="AF59" s="585">
        <f t="shared" si="51"/>
        <v>3</v>
      </c>
      <c r="AG59" s="1066">
        <f t="shared" si="51"/>
        <v>3</v>
      </c>
      <c r="AH59" s="585">
        <f t="shared" si="51"/>
        <v>1.5</v>
      </c>
      <c r="AI59" s="1066">
        <f t="shared" si="51"/>
        <v>0</v>
      </c>
      <c r="AJ59" s="585">
        <f t="shared" si="51"/>
        <v>1.5</v>
      </c>
    </row>
    <row r="60" spans="1:117" s="585" customFormat="1" ht="16.2" thickBot="1">
      <c r="A60" s="628" t="s">
        <v>174</v>
      </c>
      <c r="B60" s="774"/>
      <c r="C60" s="629">
        <v>0.33</v>
      </c>
      <c r="D60" s="648">
        <f t="shared" si="49"/>
        <v>0</v>
      </c>
      <c r="E60" s="787" t="s">
        <v>1246</v>
      </c>
      <c r="F60" s="600"/>
      <c r="G60" s="600"/>
      <c r="H60" s="774"/>
      <c r="I60" s="1583" t="s">
        <v>1082</v>
      </c>
      <c r="J60" s="1584"/>
      <c r="K60" s="1583" t="s">
        <v>1083</v>
      </c>
      <c r="L60" s="1584"/>
      <c r="P60" s="1134">
        <f>SUM(P59:W59)</f>
        <v>15</v>
      </c>
      <c r="Q60" s="954" t="s">
        <v>708</v>
      </c>
      <c r="AC60" s="1134">
        <f>SUM(AC59:AJ59)</f>
        <v>18</v>
      </c>
      <c r="AD60" s="954" t="s">
        <v>708</v>
      </c>
    </row>
    <row r="61" spans="1:117" s="585" customFormat="1" ht="16.2" thickBot="1">
      <c r="A61" s="628" t="s">
        <v>28</v>
      </c>
      <c r="B61" s="774"/>
      <c r="C61" s="629"/>
      <c r="D61" s="648">
        <f t="shared" si="49"/>
        <v>0</v>
      </c>
      <c r="E61" s="600"/>
      <c r="F61" s="600"/>
      <c r="G61" s="600"/>
      <c r="H61" s="782"/>
      <c r="I61" s="1593" t="s">
        <v>1075</v>
      </c>
      <c r="J61" s="1591">
        <f>IF((J56/2)&lt;23,23,(J56/2))</f>
        <v>23</v>
      </c>
      <c r="K61" s="1592" t="s">
        <v>1075</v>
      </c>
      <c r="L61" s="1591">
        <f>IF((L56/2)&lt;23,23,(L56/2))</f>
        <v>23</v>
      </c>
      <c r="AB61" s="1478" t="s">
        <v>947</v>
      </c>
    </row>
    <row r="62" spans="1:117" s="585" customFormat="1" ht="16.2" thickBot="1">
      <c r="A62" s="1565" t="s">
        <v>132</v>
      </c>
      <c r="B62" s="1566"/>
      <c r="C62" s="1567"/>
      <c r="D62" s="1568">
        <f>SUM(D58:D61)</f>
        <v>220</v>
      </c>
      <c r="E62" s="600"/>
      <c r="F62" s="600"/>
      <c r="G62" s="662"/>
      <c r="H62" s="793"/>
      <c r="I62" s="629"/>
      <c r="J62" s="1595" t="s">
        <v>1081</v>
      </c>
      <c r="K62" s="1594"/>
      <c r="L62" s="1072" t="s">
        <v>1080</v>
      </c>
      <c r="O62" s="1460">
        <f>I49</f>
        <v>0</v>
      </c>
      <c r="P62" s="1459" t="s">
        <v>939</v>
      </c>
      <c r="Q62" s="1461">
        <f>J49</f>
        <v>0</v>
      </c>
      <c r="R62" s="699" t="s">
        <v>941</v>
      </c>
      <c r="S62" s="1462" t="e">
        <f>Q62/O62</f>
        <v>#DIV/0!</v>
      </c>
      <c r="T62" s="1094" t="s">
        <v>940</v>
      </c>
      <c r="AB62" s="1460">
        <f>B45</f>
        <v>0</v>
      </c>
      <c r="AC62" s="1459" t="s">
        <v>939</v>
      </c>
      <c r="AD62" s="1461">
        <f>D45</f>
        <v>0</v>
      </c>
      <c r="AE62" s="699" t="s">
        <v>941</v>
      </c>
      <c r="AF62" s="1462" t="e">
        <f>AD62/AB62</f>
        <v>#DIV/0!</v>
      </c>
      <c r="AG62" s="1094" t="s">
        <v>940</v>
      </c>
    </row>
    <row r="63" spans="1:117" s="585" customFormat="1">
      <c r="A63" s="600"/>
      <c r="B63" s="775"/>
      <c r="C63" s="629"/>
      <c r="D63" s="629"/>
      <c r="E63" s="600"/>
      <c r="F63" s="600"/>
      <c r="G63" s="600"/>
      <c r="H63" s="1046" t="str">
        <f>E45</f>
        <v>8 hour days</v>
      </c>
      <c r="I63" s="629"/>
      <c r="J63" s="1562"/>
      <c r="O63" s="1481" t="s">
        <v>715</v>
      </c>
      <c r="P63" s="1130" t="s">
        <v>714</v>
      </c>
      <c r="Q63" s="1091" t="s">
        <v>712</v>
      </c>
      <c r="R63" s="1138" t="s">
        <v>713</v>
      </c>
      <c r="AB63" s="1132" t="s">
        <v>715</v>
      </c>
      <c r="AC63" s="1130" t="s">
        <v>714</v>
      </c>
      <c r="AD63" s="1091" t="s">
        <v>712</v>
      </c>
      <c r="AE63" s="1138" t="s">
        <v>713</v>
      </c>
    </row>
    <row r="64" spans="1:117" s="585" customFormat="1">
      <c r="A64" s="621" t="s">
        <v>131</v>
      </c>
      <c r="B64" s="622" t="s">
        <v>11</v>
      </c>
      <c r="C64" s="778" t="s">
        <v>1</v>
      </c>
      <c r="D64" s="12" t="s">
        <v>51</v>
      </c>
      <c r="E64" s="600"/>
      <c r="F64" s="600"/>
      <c r="G64" s="1409" t="s">
        <v>567</v>
      </c>
      <c r="H64" s="1410">
        <f>(((A47*B47)+(A48*B48)+(A49*B49)+(A50*B50))*IF($E$45="8 hour days",8,10))+(A52*B52)</f>
        <v>120</v>
      </c>
      <c r="I64" s="629"/>
      <c r="J64" s="1562"/>
      <c r="K64" s="605"/>
      <c r="O64" s="1480">
        <v>3</v>
      </c>
      <c r="P64" s="1131">
        <f>P69/O64</f>
        <v>5</v>
      </c>
      <c r="Q64" s="1136">
        <f>O64*P64*R64*8</f>
        <v>3864.0000000000005</v>
      </c>
      <c r="R64" s="1137">
        <f>C49</f>
        <v>32.200000000000003</v>
      </c>
      <c r="AB64" s="1480">
        <v>3</v>
      </c>
      <c r="AC64" s="1131">
        <f>AC69/AB64</f>
        <v>4</v>
      </c>
      <c r="AD64" s="1136">
        <f>AB64*AC64*AE64*8</f>
        <v>3091.2000000000003</v>
      </c>
      <c r="AE64" s="1137">
        <f>C47</f>
        <v>32.200000000000003</v>
      </c>
    </row>
    <row r="65" spans="1:36" s="585" customFormat="1">
      <c r="A65" s="628" t="s">
        <v>68</v>
      </c>
      <c r="B65" s="774" t="b">
        <f>IF(B4="No",((D53-D52)/C47)/8)</f>
        <v>0</v>
      </c>
      <c r="C65" s="629">
        <v>70</v>
      </c>
      <c r="D65" s="648">
        <f t="shared" ref="D65:D66" si="52">ROUNDUP(B65*C65,0)</f>
        <v>0</v>
      </c>
      <c r="E65" s="600"/>
      <c r="F65" s="600"/>
      <c r="G65" s="1048" t="s">
        <v>568</v>
      </c>
      <c r="H65" s="1389">
        <f>H64/IF($E$45="8 hour days",8,10)/H66</f>
        <v>5</v>
      </c>
      <c r="I65" s="629"/>
      <c r="J65" s="1562"/>
      <c r="O65" s="1456" t="s">
        <v>709</v>
      </c>
      <c r="P65" s="1508" t="s">
        <v>951</v>
      </c>
      <c r="Q65" s="1508" t="s">
        <v>707</v>
      </c>
      <c r="R65" s="1508" t="s">
        <v>441</v>
      </c>
      <c r="S65" s="1508" t="s">
        <v>443</v>
      </c>
      <c r="T65" s="1509" t="s">
        <v>710</v>
      </c>
      <c r="U65" s="1508" t="s">
        <v>103</v>
      </c>
      <c r="V65" s="1509" t="s">
        <v>711</v>
      </c>
      <c r="W65" s="1508" t="s">
        <v>442</v>
      </c>
      <c r="AB65" s="1456" t="s">
        <v>709</v>
      </c>
      <c r="AC65" s="1508" t="s">
        <v>951</v>
      </c>
      <c r="AD65" s="1508" t="s">
        <v>707</v>
      </c>
      <c r="AE65" s="1508" t="s">
        <v>950</v>
      </c>
      <c r="AF65" s="1712" t="s">
        <v>949</v>
      </c>
      <c r="AG65" s="1509" t="s">
        <v>710</v>
      </c>
      <c r="AH65" s="1508" t="s">
        <v>103</v>
      </c>
      <c r="AI65" s="1509" t="s">
        <v>711</v>
      </c>
      <c r="AJ65" s="1508" t="s">
        <v>442</v>
      </c>
    </row>
    <row r="66" spans="1:36" s="585" customFormat="1">
      <c r="A66" s="628" t="s">
        <v>69</v>
      </c>
      <c r="B66" s="774" t="b">
        <f>B65</f>
        <v>0</v>
      </c>
      <c r="C66" s="629">
        <v>45</v>
      </c>
      <c r="D66" s="648">
        <f t="shared" si="52"/>
        <v>0</v>
      </c>
      <c r="E66" s="795"/>
      <c r="F66" s="600"/>
      <c r="G66" s="1444" t="s">
        <v>931</v>
      </c>
      <c r="H66" s="1445">
        <f>A47</f>
        <v>3</v>
      </c>
      <c r="I66" s="629"/>
      <c r="J66" s="1562"/>
      <c r="O66" s="1457" t="s">
        <v>331</v>
      </c>
      <c r="P66" s="1061">
        <v>3</v>
      </c>
      <c r="Q66" s="585">
        <f>P66</f>
        <v>3</v>
      </c>
      <c r="R66" s="585">
        <f>P66</f>
        <v>3</v>
      </c>
      <c r="S66" s="585">
        <f>P66</f>
        <v>3</v>
      </c>
      <c r="T66" s="1066">
        <f>P66</f>
        <v>3</v>
      </c>
      <c r="U66" s="585">
        <f>P66</f>
        <v>3</v>
      </c>
      <c r="V66" s="1066">
        <f>P66</f>
        <v>3</v>
      </c>
      <c r="W66" s="585">
        <f>P66</f>
        <v>3</v>
      </c>
      <c r="AB66" s="1457" t="s">
        <v>331</v>
      </c>
      <c r="AC66" s="1061">
        <v>3</v>
      </c>
      <c r="AD66" s="585">
        <f>AC66</f>
        <v>3</v>
      </c>
      <c r="AE66" s="1407"/>
      <c r="AF66" s="585">
        <f>AC66</f>
        <v>3</v>
      </c>
      <c r="AG66" s="1407"/>
      <c r="AH66" s="1407"/>
      <c r="AI66" s="1407"/>
      <c r="AJ66" s="585">
        <f>AC66</f>
        <v>3</v>
      </c>
    </row>
    <row r="67" spans="1:36" s="585" customFormat="1">
      <c r="A67" s="628"/>
      <c r="B67" s="774"/>
      <c r="C67" s="629"/>
      <c r="D67" s="648"/>
      <c r="E67" s="600"/>
      <c r="F67" s="600"/>
      <c r="G67" s="600"/>
      <c r="H67" s="774"/>
      <c r="I67" s="629"/>
      <c r="J67" s="1562"/>
      <c r="O67" s="1458" t="s">
        <v>42</v>
      </c>
      <c r="P67" s="784">
        <v>1.5</v>
      </c>
      <c r="Q67" s="784">
        <v>1</v>
      </c>
      <c r="R67" s="784">
        <v>0.5</v>
      </c>
      <c r="S67" s="784">
        <v>1</v>
      </c>
      <c r="T67" s="1334">
        <v>0</v>
      </c>
      <c r="U67" s="784">
        <v>0.5</v>
      </c>
      <c r="V67" s="1334">
        <v>0</v>
      </c>
      <c r="W67" s="784">
        <f>U67</f>
        <v>0.5</v>
      </c>
      <c r="AB67" s="1458" t="s">
        <v>42</v>
      </c>
      <c r="AC67" s="784">
        <v>1.5</v>
      </c>
      <c r="AD67" s="784">
        <v>1</v>
      </c>
      <c r="AE67" s="1473"/>
      <c r="AF67" s="784">
        <v>1</v>
      </c>
      <c r="AG67" s="1473"/>
      <c r="AH67" s="1473"/>
      <c r="AI67" s="1473"/>
      <c r="AJ67" s="784">
        <v>0.5</v>
      </c>
    </row>
    <row r="68" spans="1:36" s="585" customFormat="1">
      <c r="A68" s="1565" t="s">
        <v>133</v>
      </c>
      <c r="B68" s="1566"/>
      <c r="C68" s="1567"/>
      <c r="D68" s="1568">
        <f>SUM(D65:D67)</f>
        <v>0</v>
      </c>
      <c r="E68" s="600"/>
      <c r="F68" s="600"/>
      <c r="G68" s="662"/>
      <c r="H68" s="793"/>
      <c r="I68" s="714"/>
      <c r="J68" s="1561"/>
      <c r="O68" s="1103"/>
      <c r="P68" s="585">
        <f>P66*P67</f>
        <v>4.5</v>
      </c>
      <c r="Q68" s="585">
        <f t="shared" ref="Q68:W68" si="53">Q66*Q67</f>
        <v>3</v>
      </c>
      <c r="R68" s="585">
        <f t="shared" si="53"/>
        <v>1.5</v>
      </c>
      <c r="S68" s="585">
        <f t="shared" si="53"/>
        <v>3</v>
      </c>
      <c r="T68" s="1066">
        <f t="shared" si="53"/>
        <v>0</v>
      </c>
      <c r="U68" s="585">
        <f t="shared" si="53"/>
        <v>1.5</v>
      </c>
      <c r="V68" s="1066">
        <f t="shared" si="53"/>
        <v>0</v>
      </c>
      <c r="W68" s="585">
        <f t="shared" si="53"/>
        <v>1.5</v>
      </c>
      <c r="AB68" s="1103"/>
      <c r="AC68" s="585">
        <f>AC66*AC67</f>
        <v>4.5</v>
      </c>
      <c r="AD68" s="585">
        <f t="shared" ref="AD68:AJ68" si="54">AD66*AD67</f>
        <v>3</v>
      </c>
      <c r="AE68" s="585">
        <f t="shared" si="54"/>
        <v>0</v>
      </c>
      <c r="AF68" s="585">
        <f t="shared" si="54"/>
        <v>3</v>
      </c>
      <c r="AG68" s="1066">
        <f t="shared" si="54"/>
        <v>0</v>
      </c>
      <c r="AH68" s="585">
        <f t="shared" si="54"/>
        <v>0</v>
      </c>
      <c r="AI68" s="1066">
        <f t="shared" si="54"/>
        <v>0</v>
      </c>
      <c r="AJ68" s="585">
        <f t="shared" si="54"/>
        <v>1.5</v>
      </c>
    </row>
    <row r="69" spans="1:36" s="585" customFormat="1">
      <c r="A69" s="600"/>
      <c r="B69" s="775"/>
      <c r="C69" s="629"/>
      <c r="D69" s="629"/>
      <c r="E69" s="600"/>
      <c r="F69" s="600"/>
      <c r="G69" s="600"/>
      <c r="I69" s="714"/>
      <c r="J69" s="1561"/>
      <c r="P69" s="1134">
        <f>SUM(P68:W68)</f>
        <v>15</v>
      </c>
      <c r="Q69" s="954" t="s">
        <v>708</v>
      </c>
      <c r="AC69" s="1134">
        <f>SUM(AC68:AJ68)</f>
        <v>12</v>
      </c>
      <c r="AD69" s="954" t="s">
        <v>708</v>
      </c>
    </row>
    <row r="70" spans="1:36" s="585" customFormat="1">
      <c r="A70" s="796" t="s">
        <v>9</v>
      </c>
      <c r="B70" s="797"/>
      <c r="C70" s="798"/>
      <c r="D70" s="799">
        <f>ROUNDUP(SUM(D43,D53:D55,D62,D68),0)</f>
        <v>4548</v>
      </c>
      <c r="E70" s="800" t="e">
        <f>D70/B45</f>
        <v>#DIV/0!</v>
      </c>
      <c r="F70" s="801" t="s">
        <v>377</v>
      </c>
      <c r="G70" s="600"/>
      <c r="AB70" s="1479" t="s">
        <v>948</v>
      </c>
    </row>
    <row r="71" spans="1:36" s="585" customFormat="1">
      <c r="A71" s="600"/>
      <c r="B71" s="775"/>
      <c r="C71" s="629"/>
      <c r="D71" s="629"/>
      <c r="E71" s="600"/>
      <c r="F71" s="600"/>
      <c r="G71" s="600"/>
      <c r="O71" s="1460">
        <f>I50</f>
        <v>0</v>
      </c>
      <c r="P71" s="1459" t="s">
        <v>939</v>
      </c>
      <c r="Q71" s="1461">
        <f>J50</f>
        <v>0</v>
      </c>
      <c r="R71" s="699" t="s">
        <v>941</v>
      </c>
      <c r="S71" s="1462" t="e">
        <f>Q71/O71</f>
        <v>#DIV/0!</v>
      </c>
      <c r="T71" s="1094" t="s">
        <v>940</v>
      </c>
      <c r="AB71" s="1460">
        <f>B45</f>
        <v>0</v>
      </c>
      <c r="AC71" s="1459" t="s">
        <v>939</v>
      </c>
      <c r="AD71" s="1461">
        <f>D45</f>
        <v>0</v>
      </c>
      <c r="AE71" s="699" t="s">
        <v>941</v>
      </c>
      <c r="AF71" s="1462" t="e">
        <f>AD71/AB71</f>
        <v>#DIV/0!</v>
      </c>
      <c r="AG71" s="1094" t="s">
        <v>940</v>
      </c>
    </row>
    <row r="72" spans="1:36" s="585" customFormat="1">
      <c r="A72" s="621" t="s">
        <v>8</v>
      </c>
      <c r="B72" s="622" t="s">
        <v>7</v>
      </c>
      <c r="C72" s="816"/>
      <c r="D72" s="12" t="s">
        <v>51</v>
      </c>
      <c r="E72" s="600"/>
      <c r="F72" s="810">
        <f>SUM(D70,D82,D85)</f>
        <v>4548</v>
      </c>
      <c r="G72" s="811" t="s">
        <v>428</v>
      </c>
      <c r="H72" s="812"/>
      <c r="I72" s="813" t="e">
        <f>F72/C87</f>
        <v>#DIV/0!</v>
      </c>
      <c r="O72" s="1481" t="s">
        <v>715</v>
      </c>
      <c r="P72" s="1130" t="s">
        <v>714</v>
      </c>
      <c r="Q72" s="1091" t="s">
        <v>712</v>
      </c>
      <c r="R72" s="1138" t="s">
        <v>713</v>
      </c>
      <c r="AB72" s="1132" t="s">
        <v>715</v>
      </c>
      <c r="AC72" s="1130" t="s">
        <v>714</v>
      </c>
      <c r="AD72" s="1091" t="s">
        <v>712</v>
      </c>
      <c r="AE72" s="1138" t="s">
        <v>713</v>
      </c>
    </row>
    <row r="73" spans="1:36" s="585" customFormat="1">
      <c r="A73" s="817" t="s">
        <v>215</v>
      </c>
      <c r="B73" s="122">
        <f>IF(D70&lt;6500,0.52,IF(D70&lt;15000,0.45,IF(D70&lt;22500,0.35,IF(D70&lt;32500,0.32,0.3))))</f>
        <v>0.52</v>
      </c>
      <c r="C73" s="629"/>
      <c r="D73" s="9">
        <f>ROUNDUP(SUM(D70,D80,D83)/(1-B73),0)-ROUNDUP(SUM(D70,D80),0)</f>
        <v>4927</v>
      </c>
      <c r="E73" s="600"/>
      <c r="F73" s="814">
        <f>(((A47*B47)+(A48*B48)+(A49*B49)+(A50*B50))*IF($E$45="8 hour days",8,10))+(A52*B52)</f>
        <v>120</v>
      </c>
      <c r="G73" s="815" t="s">
        <v>505</v>
      </c>
      <c r="H73" s="815"/>
      <c r="O73" s="1480">
        <v>3</v>
      </c>
      <c r="P73" s="1131">
        <f>P78/O73</f>
        <v>5</v>
      </c>
      <c r="Q73" s="1136">
        <f>O73*P73*R73*8</f>
        <v>3864.0000000000005</v>
      </c>
      <c r="R73" s="1137">
        <f>C50</f>
        <v>32.200000000000003</v>
      </c>
      <c r="AB73" s="1480">
        <v>3</v>
      </c>
      <c r="AC73" s="1131">
        <f>AC78/AB73</f>
        <v>6</v>
      </c>
      <c r="AD73" s="1136">
        <f>AB73*AC73*AE73*8</f>
        <v>4636.8</v>
      </c>
      <c r="AE73" s="1137">
        <f>C47</f>
        <v>32.200000000000003</v>
      </c>
    </row>
    <row r="74" spans="1:36" s="585" customFormat="1">
      <c r="A74" s="817" t="s">
        <v>148</v>
      </c>
      <c r="B74" s="818" t="b">
        <f>IF(B5="yes",IF(D70&gt;=60000,-0.04,IF(B4="yes",IF(D70&gt;=13000,-0.025,0))))</f>
        <v>0</v>
      </c>
      <c r="C74" s="629"/>
      <c r="D74" s="648">
        <f>ROUNDUP(SUM(D70,D73)*B74,0)</f>
        <v>0</v>
      </c>
      <c r="E74" s="600"/>
      <c r="F74" s="1446">
        <f>F87/H65</f>
        <v>985.4</v>
      </c>
      <c r="G74" s="1447" t="s">
        <v>1036</v>
      </c>
      <c r="H74" s="809" t="str">
        <f>E45</f>
        <v>8 hour days</v>
      </c>
      <c r="O74" s="1456" t="s">
        <v>709</v>
      </c>
      <c r="P74" s="1508" t="s">
        <v>951</v>
      </c>
      <c r="Q74" s="1508" t="s">
        <v>707</v>
      </c>
      <c r="R74" s="1508" t="s">
        <v>441</v>
      </c>
      <c r="S74" s="1508" t="s">
        <v>443</v>
      </c>
      <c r="T74" s="1509" t="s">
        <v>710</v>
      </c>
      <c r="U74" s="1508" t="s">
        <v>103</v>
      </c>
      <c r="V74" s="1509" t="s">
        <v>711</v>
      </c>
      <c r="W74" s="1508" t="s">
        <v>442</v>
      </c>
      <c r="AB74" s="1456" t="s">
        <v>709</v>
      </c>
      <c r="AC74" s="1508" t="s">
        <v>951</v>
      </c>
      <c r="AD74" s="1508" t="s">
        <v>707</v>
      </c>
      <c r="AE74" s="1508" t="s">
        <v>441</v>
      </c>
      <c r="AF74" s="1712" t="s">
        <v>440</v>
      </c>
      <c r="AG74" s="1509" t="s">
        <v>710</v>
      </c>
      <c r="AH74" s="1508" t="s">
        <v>103</v>
      </c>
      <c r="AI74" s="1474" t="s">
        <v>711</v>
      </c>
      <c r="AJ74" s="1508" t="s">
        <v>442</v>
      </c>
    </row>
    <row r="75" spans="1:36" s="585" customFormat="1">
      <c r="A75" s="628" t="s">
        <v>724</v>
      </c>
      <c r="B75" s="819">
        <v>0.03</v>
      </c>
      <c r="C75" s="803"/>
      <c r="D75" s="648">
        <f>ROUNDUP(SUM(D70:D74,D77,D80,D83)*B75,0)</f>
        <v>285</v>
      </c>
      <c r="E75" s="600"/>
      <c r="O75" s="1457" t="s">
        <v>331</v>
      </c>
      <c r="P75" s="1061">
        <v>3</v>
      </c>
      <c r="Q75" s="585">
        <f>P75</f>
        <v>3</v>
      </c>
      <c r="R75" s="585">
        <f>P75</f>
        <v>3</v>
      </c>
      <c r="S75" s="585">
        <f>P75</f>
        <v>3</v>
      </c>
      <c r="T75" s="1066">
        <f>P75</f>
        <v>3</v>
      </c>
      <c r="U75" s="585">
        <f>P75</f>
        <v>3</v>
      </c>
      <c r="V75" s="1066">
        <f>P75</f>
        <v>3</v>
      </c>
      <c r="W75" s="585">
        <f>P75</f>
        <v>3</v>
      </c>
      <c r="AB75" s="1457" t="s">
        <v>331</v>
      </c>
      <c r="AC75" s="1061">
        <v>3</v>
      </c>
      <c r="AD75" s="585">
        <f>AC75</f>
        <v>3</v>
      </c>
      <c r="AE75" s="1407"/>
      <c r="AF75" s="585">
        <f>AC75</f>
        <v>3</v>
      </c>
      <c r="AG75" s="1066">
        <f>AC75</f>
        <v>3</v>
      </c>
      <c r="AH75" s="585">
        <f>AC75</f>
        <v>3</v>
      </c>
      <c r="AI75" s="1066">
        <f>AC75</f>
        <v>3</v>
      </c>
      <c r="AJ75" s="585">
        <f>AC75</f>
        <v>3</v>
      </c>
    </row>
    <row r="76" spans="1:36" s="585" customFormat="1">
      <c r="A76" s="628" t="s">
        <v>135</v>
      </c>
      <c r="B76" s="819">
        <v>0.13</v>
      </c>
      <c r="C76" s="803"/>
      <c r="D76" s="648">
        <f>(ROUNDUP(SUM(D70:D75,D77,D80,D83)*B76,0))+0</f>
        <v>1269</v>
      </c>
      <c r="E76" s="600"/>
      <c r="F76" s="600"/>
      <c r="G76" s="775"/>
      <c r="I76" s="808"/>
      <c r="J76" s="809"/>
      <c r="O76" s="1458" t="s">
        <v>42</v>
      </c>
      <c r="P76" s="784">
        <v>1.5</v>
      </c>
      <c r="Q76" s="784">
        <v>1</v>
      </c>
      <c r="R76" s="784">
        <v>0.5</v>
      </c>
      <c r="S76" s="784">
        <v>1</v>
      </c>
      <c r="T76" s="1334">
        <v>0</v>
      </c>
      <c r="U76" s="784">
        <v>0.5</v>
      </c>
      <c r="V76" s="1334">
        <v>0</v>
      </c>
      <c r="W76" s="784">
        <f>U76</f>
        <v>0.5</v>
      </c>
      <c r="AB76" s="1458" t="s">
        <v>42</v>
      </c>
      <c r="AC76" s="784">
        <v>1.5</v>
      </c>
      <c r="AD76" s="784">
        <v>1</v>
      </c>
      <c r="AE76" s="1473"/>
      <c r="AF76" s="784">
        <v>1</v>
      </c>
      <c r="AG76" s="1334">
        <v>1</v>
      </c>
      <c r="AH76" s="784">
        <v>0.5</v>
      </c>
      <c r="AI76" s="1475">
        <v>0.5</v>
      </c>
      <c r="AJ76" s="784">
        <v>0.5</v>
      </c>
    </row>
    <row r="77" spans="1:36" s="585" customFormat="1">
      <c r="A77" s="820" t="s">
        <v>210</v>
      </c>
      <c r="B77" s="1575" t="s">
        <v>1060</v>
      </c>
      <c r="C77" s="1563"/>
      <c r="D77" s="1574">
        <v>0</v>
      </c>
      <c r="E77" s="600"/>
      <c r="O77" s="1103"/>
      <c r="P77" s="585">
        <f>P75*P76</f>
        <v>4.5</v>
      </c>
      <c r="Q77" s="585">
        <f t="shared" ref="Q77:W77" si="55">Q75*Q76</f>
        <v>3</v>
      </c>
      <c r="R77" s="585">
        <f t="shared" si="55"/>
        <v>1.5</v>
      </c>
      <c r="S77" s="585">
        <f t="shared" si="55"/>
        <v>3</v>
      </c>
      <c r="T77" s="1066">
        <f t="shared" si="55"/>
        <v>0</v>
      </c>
      <c r="U77" s="585">
        <f t="shared" si="55"/>
        <v>1.5</v>
      </c>
      <c r="V77" s="1066">
        <f t="shared" si="55"/>
        <v>0</v>
      </c>
      <c r="W77" s="585">
        <f t="shared" si="55"/>
        <v>1.5</v>
      </c>
      <c r="AB77" s="1103"/>
      <c r="AC77" s="585">
        <f>AC75*AC76</f>
        <v>4.5</v>
      </c>
      <c r="AD77" s="585">
        <f t="shared" ref="AD77:AJ77" si="56">AD75*AD76</f>
        <v>3</v>
      </c>
      <c r="AE77" s="585">
        <f t="shared" si="56"/>
        <v>0</v>
      </c>
      <c r="AF77" s="585">
        <f t="shared" si="56"/>
        <v>3</v>
      </c>
      <c r="AG77" s="1066">
        <f t="shared" si="56"/>
        <v>3</v>
      </c>
      <c r="AH77" s="585">
        <f t="shared" si="56"/>
        <v>1.5</v>
      </c>
      <c r="AI77" s="1066">
        <f t="shared" si="56"/>
        <v>1.5</v>
      </c>
      <c r="AJ77" s="585">
        <f t="shared" si="56"/>
        <v>1.5</v>
      </c>
    </row>
    <row r="78" spans="1:36" s="585" customFormat="1">
      <c r="A78" s="600"/>
      <c r="B78" s="775"/>
      <c r="C78" s="629"/>
      <c r="D78" s="629"/>
      <c r="E78" s="600"/>
      <c r="P78" s="1134">
        <f>SUM(P77:W77)</f>
        <v>15</v>
      </c>
      <c r="Q78" s="954" t="s">
        <v>708</v>
      </c>
      <c r="AC78" s="1134">
        <f>SUM(AC77:AJ77)</f>
        <v>18</v>
      </c>
      <c r="AD78" s="954" t="s">
        <v>708</v>
      </c>
    </row>
    <row r="79" spans="1:36" s="585" customFormat="1">
      <c r="A79" s="621" t="s">
        <v>152</v>
      </c>
      <c r="B79" s="622" t="s">
        <v>7</v>
      </c>
      <c r="C79" s="778"/>
      <c r="D79" s="12" t="s">
        <v>51</v>
      </c>
      <c r="E79" s="600"/>
      <c r="J79" s="1646">
        <f>(J82-J80-J81)</f>
        <v>11029</v>
      </c>
      <c r="K79" s="590"/>
      <c r="AB79" s="1543" t="s">
        <v>437</v>
      </c>
    </row>
    <row r="80" spans="1:36" s="585" customFormat="1">
      <c r="A80" s="628" t="s">
        <v>15</v>
      </c>
      <c r="B80" s="802">
        <f>IF($B$6="no",0,0.09475)</f>
        <v>9.4750000000000001E-2</v>
      </c>
      <c r="C80" s="803"/>
      <c r="D80" s="648">
        <f>ROUNDUP(SUM(D43)*B80,0)</f>
        <v>0</v>
      </c>
      <c r="E80" s="600"/>
      <c r="J80" s="1646"/>
      <c r="K80" s="585" t="s">
        <v>1118</v>
      </c>
      <c r="AB80" s="1460">
        <f>B45</f>
        <v>0</v>
      </c>
      <c r="AC80" s="1459" t="s">
        <v>939</v>
      </c>
      <c r="AD80" s="1461">
        <f>D45</f>
        <v>0</v>
      </c>
      <c r="AE80" s="699" t="s">
        <v>941</v>
      </c>
      <c r="AF80" s="1462" t="e">
        <f>AD80/AB80</f>
        <v>#DIV/0!</v>
      </c>
      <c r="AG80" s="1094" t="s">
        <v>940</v>
      </c>
    </row>
    <row r="81" spans="1:36" s="585" customFormat="1">
      <c r="A81" s="804" t="str">
        <f>Polish!A75</f>
        <v>Kansas Remodel Tax</v>
      </c>
      <c r="B81" s="805">
        <f>IF(D6="yes",0.1,0)</f>
        <v>0</v>
      </c>
      <c r="C81" s="629"/>
      <c r="D81" s="648">
        <f>ROUNDUP(SUM(D53:D55,D62,D68,D73:D77,D83)*B81,0)</f>
        <v>0</v>
      </c>
      <c r="E81" s="758" t="str">
        <f>IF(D6="yes","*10% is placeholder. Adjust to actual if project awarded"," ")</f>
        <v xml:space="preserve"> </v>
      </c>
      <c r="J81" s="1647"/>
      <c r="K81" s="784" t="s">
        <v>1119</v>
      </c>
      <c r="AB81" s="1132" t="s">
        <v>715</v>
      </c>
      <c r="AC81" s="1130" t="s">
        <v>714</v>
      </c>
      <c r="AD81" s="1091" t="s">
        <v>712</v>
      </c>
      <c r="AE81" s="1138" t="s">
        <v>713</v>
      </c>
    </row>
    <row r="82" spans="1:36" s="585" customFormat="1">
      <c r="A82" s="1565" t="s">
        <v>1054</v>
      </c>
      <c r="B82" s="1566"/>
      <c r="C82" s="1567"/>
      <c r="D82" s="1568">
        <f>SUM(D80:D81)</f>
        <v>0</v>
      </c>
      <c r="E82" s="758"/>
      <c r="J82" s="1646">
        <f>D88</f>
        <v>11029</v>
      </c>
      <c r="K82" s="590" t="s">
        <v>1117</v>
      </c>
      <c r="AB82" s="1480">
        <v>3</v>
      </c>
      <c r="AC82" s="1131">
        <f>AC87/AB82</f>
        <v>4.5</v>
      </c>
      <c r="AD82" s="1136">
        <f>AB82*AC82*AE82*8</f>
        <v>3477.6000000000004</v>
      </c>
      <c r="AE82" s="1137">
        <f>C47</f>
        <v>32.200000000000003</v>
      </c>
    </row>
    <row r="83" spans="1:36" s="585" customFormat="1">
      <c r="A83" s="628" t="s">
        <v>1055</v>
      </c>
      <c r="B83" s="802"/>
      <c r="C83" s="629"/>
      <c r="D83" s="648">
        <f>ROUNDUP(B83*C83,0)</f>
        <v>0</v>
      </c>
      <c r="E83" s="600"/>
      <c r="F83" s="600"/>
      <c r="G83" s="600"/>
      <c r="AB83" s="1456" t="s">
        <v>709</v>
      </c>
      <c r="AC83" s="1508" t="s">
        <v>951</v>
      </c>
      <c r="AD83" s="1542" t="s">
        <v>707</v>
      </c>
      <c r="AE83" s="1508" t="s">
        <v>950</v>
      </c>
      <c r="AF83" s="1508" t="s">
        <v>1039</v>
      </c>
      <c r="AG83" s="1509" t="s">
        <v>710</v>
      </c>
      <c r="AH83" s="1508" t="s">
        <v>103</v>
      </c>
      <c r="AI83" s="1509" t="s">
        <v>711</v>
      </c>
      <c r="AJ83" s="1508" t="s">
        <v>442</v>
      </c>
    </row>
    <row r="84" spans="1:36" s="585" customFormat="1">
      <c r="A84" s="635" t="s">
        <v>20</v>
      </c>
      <c r="B84" s="806">
        <v>0</v>
      </c>
      <c r="C84" s="636"/>
      <c r="D84" s="807">
        <f>ROUNDUP(SUM(D70,D73,D74,D75:D77,D80,D81:D83)*B84,0)</f>
        <v>0</v>
      </c>
      <c r="E84" s="600"/>
      <c r="F84" s="600"/>
      <c r="G84" s="600"/>
      <c r="AB84" s="1457" t="s">
        <v>331</v>
      </c>
      <c r="AC84" s="1061">
        <v>3</v>
      </c>
      <c r="AD84" s="1066">
        <f>AC84</f>
        <v>3</v>
      </c>
      <c r="AE84" s="585">
        <f>AC84</f>
        <v>3</v>
      </c>
      <c r="AF84" s="585">
        <f>AC84</f>
        <v>3</v>
      </c>
      <c r="AG84" s="1407"/>
      <c r="AH84" s="1407"/>
      <c r="AI84" s="1407"/>
      <c r="AJ84" s="585">
        <f>AC84</f>
        <v>3</v>
      </c>
    </row>
    <row r="85" spans="1:36" s="585" customFormat="1">
      <c r="A85" s="789" t="s">
        <v>1061</v>
      </c>
      <c r="B85" s="790"/>
      <c r="C85" s="791"/>
      <c r="D85" s="792">
        <f>ROUNDUP(SUM(D83:D84),0)</f>
        <v>0</v>
      </c>
      <c r="E85" s="600"/>
      <c r="F85" s="600"/>
      <c r="J85" s="784"/>
      <c r="K85" s="1424" t="s">
        <v>211</v>
      </c>
      <c r="L85" s="1191"/>
      <c r="AB85" s="1458" t="s">
        <v>42</v>
      </c>
      <c r="AC85" s="784">
        <v>1.5</v>
      </c>
      <c r="AD85" s="1334">
        <v>1</v>
      </c>
      <c r="AE85" s="784">
        <v>0.5</v>
      </c>
      <c r="AF85" s="784">
        <v>1</v>
      </c>
      <c r="AG85" s="1473"/>
      <c r="AH85" s="1473"/>
      <c r="AI85" s="1473"/>
      <c r="AJ85" s="784">
        <v>0.5</v>
      </c>
    </row>
    <row r="86" spans="1:36" s="585" customFormat="1">
      <c r="A86" s="600"/>
      <c r="B86" s="825" t="s">
        <v>46</v>
      </c>
      <c r="C86" s="826">
        <f>D45</f>
        <v>0</v>
      </c>
      <c r="D86" s="629"/>
      <c r="E86" s="600"/>
      <c r="F86" s="759" t="s">
        <v>70</v>
      </c>
      <c r="G86" s="822" t="s">
        <v>378</v>
      </c>
      <c r="H86" s="1618" t="s">
        <v>1098</v>
      </c>
      <c r="I86" s="823"/>
      <c r="J86" s="824" t="s">
        <v>212</v>
      </c>
      <c r="K86" s="822" t="s">
        <v>213</v>
      </c>
      <c r="L86" s="822" t="s">
        <v>214</v>
      </c>
      <c r="AB86" s="1103"/>
      <c r="AC86" s="585">
        <f>AC84*AC85</f>
        <v>4.5</v>
      </c>
      <c r="AD86" s="1066">
        <f t="shared" ref="AD86:AJ86" si="57">AD84*AD85</f>
        <v>3</v>
      </c>
      <c r="AE86" s="585">
        <f t="shared" si="57"/>
        <v>1.5</v>
      </c>
      <c r="AF86" s="585">
        <f t="shared" si="57"/>
        <v>3</v>
      </c>
      <c r="AG86" s="1066">
        <f t="shared" si="57"/>
        <v>0</v>
      </c>
      <c r="AH86" s="585">
        <f t="shared" si="57"/>
        <v>0</v>
      </c>
      <c r="AI86" s="1066">
        <f t="shared" si="57"/>
        <v>0</v>
      </c>
      <c r="AJ86" s="585">
        <f t="shared" si="57"/>
        <v>1.5</v>
      </c>
    </row>
    <row r="87" spans="1:36" s="585" customFormat="1" ht="16.2" thickBot="1">
      <c r="A87" s="600"/>
      <c r="B87" s="825" t="s">
        <v>45</v>
      </c>
      <c r="C87" s="826">
        <f>B45</f>
        <v>0</v>
      </c>
      <c r="D87" s="629"/>
      <c r="E87" s="705" t="s">
        <v>18</v>
      </c>
      <c r="F87" s="1623">
        <f>SUM(D73,D74,D77)</f>
        <v>4927</v>
      </c>
      <c r="G87" s="1622">
        <f>F87/F73</f>
        <v>41.05833333333333</v>
      </c>
      <c r="H87" s="1619">
        <f>SUM(D73:D77)</f>
        <v>6481</v>
      </c>
      <c r="J87" s="828">
        <f>(H43+D62)/D88</f>
        <v>1.9947411370024482E-2</v>
      </c>
      <c r="K87" s="828">
        <f>(SUM(D53:D55)/D88)</f>
        <v>0.39241998367939068</v>
      </c>
      <c r="L87" s="828">
        <f>D68/D88</f>
        <v>0</v>
      </c>
      <c r="AC87" s="1134">
        <f>SUM(AC86:AJ86)</f>
        <v>13.5</v>
      </c>
      <c r="AD87" s="954" t="s">
        <v>708</v>
      </c>
    </row>
    <row r="88" spans="1:36" s="585" customFormat="1" ht="16.2" thickBot="1">
      <c r="A88" s="829" t="s">
        <v>6</v>
      </c>
      <c r="B88" s="830"/>
      <c r="C88" s="831" t="e">
        <f>D88/C87</f>
        <v>#DIV/0!</v>
      </c>
      <c r="D88" s="832">
        <f>SUM(D70,D73:D77,D82,D85)</f>
        <v>11029</v>
      </c>
      <c r="E88" s="629">
        <f>D88-(D80+D81)</f>
        <v>11029</v>
      </c>
      <c r="F88" s="1624">
        <f>F87/(D88)</f>
        <v>0.44673134463686642</v>
      </c>
      <c r="G88" s="1622">
        <f>C47</f>
        <v>32.200000000000003</v>
      </c>
      <c r="H88" s="1620">
        <f>H87/D88</f>
        <v>0.58763260495058478</v>
      </c>
      <c r="I88" s="1625" t="s">
        <v>1099</v>
      </c>
    </row>
    <row r="89" spans="1:36" s="585" customFormat="1">
      <c r="A89" s="834"/>
      <c r="B89" s="600" t="s">
        <v>5</v>
      </c>
      <c r="C89" s="629" t="e">
        <f>D89/C87</f>
        <v>#DIV/0!</v>
      </c>
      <c r="D89" s="629">
        <f>D88-D81</f>
        <v>11029</v>
      </c>
      <c r="E89" s="753" t="s">
        <v>146</v>
      </c>
      <c r="F89" s="833"/>
      <c r="G89" s="1621" t="s">
        <v>1100</v>
      </c>
      <c r="H89" s="590"/>
      <c r="I89" s="1633" t="s">
        <v>1105</v>
      </c>
      <c r="J89" s="1098">
        <f>SUM(D43,D62)</f>
        <v>220</v>
      </c>
      <c r="K89" s="1099">
        <f>J89/J92</f>
        <v>1.9947411370024482E-2</v>
      </c>
      <c r="L89" s="1100" t="s">
        <v>674</v>
      </c>
      <c r="M89" s="759" t="s">
        <v>675</v>
      </c>
    </row>
    <row r="90" spans="1:36" s="585" customFormat="1">
      <c r="A90" s="834"/>
      <c r="B90" s="835"/>
      <c r="C90" s="836"/>
      <c r="D90" s="836"/>
      <c r="E90" s="753"/>
      <c r="J90" s="1101">
        <f>SUM(D53:D55,D68)</f>
        <v>4328</v>
      </c>
      <c r="K90" s="1102">
        <f>J90/J92</f>
        <v>0.39241998367939068</v>
      </c>
      <c r="L90" s="1103" t="s">
        <v>676</v>
      </c>
      <c r="M90" s="600"/>
    </row>
    <row r="91" spans="1:36" s="585" customFormat="1">
      <c r="A91" s="834"/>
      <c r="B91" s="835"/>
      <c r="C91" s="836"/>
      <c r="D91" s="836"/>
      <c r="E91" s="753"/>
      <c r="J91" s="1104">
        <f>SUM(D73:D77,D82,D85)</f>
        <v>6481</v>
      </c>
      <c r="K91" s="1105">
        <f>J91/J92</f>
        <v>0.58763260495058478</v>
      </c>
      <c r="L91" s="1106" t="s">
        <v>677</v>
      </c>
      <c r="M91" s="600"/>
    </row>
    <row r="92" spans="1:36" s="585" customFormat="1">
      <c r="A92" s="633"/>
      <c r="B92" s="677"/>
      <c r="C92" s="640"/>
      <c r="D92" s="640"/>
      <c r="E92" s="775"/>
      <c r="J92" s="1104">
        <f>SUM(J89:J91)</f>
        <v>11029</v>
      </c>
      <c r="K92" s="1107">
        <f>SUM(K89:K91)</f>
        <v>1</v>
      </c>
      <c r="L92" s="1106" t="s">
        <v>2</v>
      </c>
    </row>
    <row r="93" spans="1:36" s="585" customFormat="1">
      <c r="A93" s="633"/>
      <c r="B93" s="677"/>
      <c r="C93" s="640"/>
      <c r="D93" s="640"/>
      <c r="E93" s="775"/>
    </row>
    <row r="94" spans="1:36" s="585" customFormat="1" ht="21">
      <c r="A94" s="1871" t="s">
        <v>430</v>
      </c>
      <c r="B94" s="1872"/>
      <c r="C94" s="1872"/>
      <c r="D94" s="1872"/>
      <c r="E94" s="1872"/>
      <c r="F94" s="1872"/>
      <c r="G94" s="1872"/>
      <c r="H94" s="1872"/>
      <c r="I94" s="1872"/>
      <c r="J94" s="1872"/>
      <c r="K94" s="1872"/>
      <c r="L94" s="1872"/>
      <c r="M94" s="1872"/>
      <c r="N94" s="1873"/>
    </row>
    <row r="95" spans="1:36" s="585" customFormat="1">
      <c r="A95" s="687"/>
      <c r="B95" s="837" t="s">
        <v>431</v>
      </c>
      <c r="C95" s="698"/>
      <c r="D95" s="837" t="s">
        <v>432</v>
      </c>
      <c r="E95" s="698"/>
      <c r="F95" s="837" t="s">
        <v>433</v>
      </c>
      <c r="G95" s="698"/>
      <c r="H95" s="837" t="s">
        <v>434</v>
      </c>
      <c r="I95" s="698"/>
      <c r="J95" s="837" t="s">
        <v>435</v>
      </c>
      <c r="K95" s="698"/>
      <c r="L95" s="837" t="s">
        <v>436</v>
      </c>
      <c r="M95" s="698"/>
      <c r="N95" s="837" t="s">
        <v>437</v>
      </c>
    </row>
    <row r="96" spans="1:36" s="585" customFormat="1">
      <c r="A96" s="687">
        <v>1</v>
      </c>
      <c r="B96" s="687" t="s">
        <v>438</v>
      </c>
      <c r="C96" s="687">
        <v>1</v>
      </c>
      <c r="D96" s="687" t="s">
        <v>438</v>
      </c>
      <c r="E96" s="687">
        <v>1</v>
      </c>
      <c r="F96" s="687" t="s">
        <v>438</v>
      </c>
      <c r="G96" s="687">
        <v>1</v>
      </c>
      <c r="H96" s="687" t="s">
        <v>438</v>
      </c>
      <c r="I96" s="687">
        <v>1</v>
      </c>
      <c r="J96" s="687" t="s">
        <v>438</v>
      </c>
      <c r="K96" s="687">
        <v>1</v>
      </c>
      <c r="L96" s="687" t="s">
        <v>438</v>
      </c>
      <c r="M96" s="687">
        <v>1</v>
      </c>
      <c r="N96" s="687" t="s">
        <v>438</v>
      </c>
    </row>
    <row r="97" spans="1:14" s="585" customFormat="1">
      <c r="A97" s="687">
        <v>2</v>
      </c>
      <c r="B97" s="687" t="s">
        <v>439</v>
      </c>
      <c r="C97" s="687">
        <v>2</v>
      </c>
      <c r="D97" s="687" t="s">
        <v>440</v>
      </c>
      <c r="E97" s="687">
        <v>2</v>
      </c>
      <c r="F97" s="687" t="s">
        <v>440</v>
      </c>
      <c r="G97" s="687">
        <v>2</v>
      </c>
      <c r="H97" s="687" t="s">
        <v>441</v>
      </c>
      <c r="I97" s="687">
        <v>2</v>
      </c>
      <c r="J97" s="687" t="s">
        <v>441</v>
      </c>
      <c r="K97" s="687">
        <v>2</v>
      </c>
      <c r="L97" s="687" t="s">
        <v>441</v>
      </c>
      <c r="M97" s="687">
        <v>2</v>
      </c>
      <c r="N97" s="687" t="s">
        <v>441</v>
      </c>
    </row>
    <row r="98" spans="1:14" s="585" customFormat="1">
      <c r="A98" s="687">
        <v>3</v>
      </c>
      <c r="B98" s="687" t="s">
        <v>442</v>
      </c>
      <c r="C98" s="687">
        <v>3</v>
      </c>
      <c r="D98" s="687" t="s">
        <v>443</v>
      </c>
      <c r="E98" s="687">
        <v>3</v>
      </c>
      <c r="F98" s="687" t="s">
        <v>443</v>
      </c>
      <c r="G98" s="687">
        <v>3</v>
      </c>
      <c r="H98" s="687" t="s">
        <v>443</v>
      </c>
      <c r="I98" s="687">
        <v>3</v>
      </c>
      <c r="J98" s="687" t="s">
        <v>443</v>
      </c>
      <c r="K98" s="687">
        <v>3</v>
      </c>
      <c r="L98" s="687" t="s">
        <v>443</v>
      </c>
      <c r="M98" s="687">
        <v>3</v>
      </c>
      <c r="N98" s="687" t="s">
        <v>444</v>
      </c>
    </row>
    <row r="99" spans="1:14" s="585" customFormat="1">
      <c r="A99" s="687">
        <v>4</v>
      </c>
      <c r="B99" s="687" t="s">
        <v>445</v>
      </c>
      <c r="C99" s="687">
        <v>4</v>
      </c>
      <c r="D99" s="687" t="s">
        <v>103</v>
      </c>
      <c r="E99" s="687">
        <v>4</v>
      </c>
      <c r="F99" s="687" t="s">
        <v>103</v>
      </c>
      <c r="G99" s="687">
        <v>4</v>
      </c>
      <c r="H99" s="687" t="s">
        <v>443</v>
      </c>
      <c r="I99" s="687">
        <v>4</v>
      </c>
      <c r="J99" s="687" t="s">
        <v>443</v>
      </c>
      <c r="K99" s="687">
        <v>4</v>
      </c>
      <c r="L99" s="687" t="s">
        <v>103</v>
      </c>
      <c r="M99" s="687">
        <v>4</v>
      </c>
      <c r="N99" s="687" t="s">
        <v>442</v>
      </c>
    </row>
    <row r="100" spans="1:14" s="585" customFormat="1">
      <c r="A100" s="687">
        <v>5</v>
      </c>
      <c r="B100" s="687" t="s">
        <v>446</v>
      </c>
      <c r="C100" s="687">
        <v>5</v>
      </c>
      <c r="D100" s="685" t="s">
        <v>447</v>
      </c>
      <c r="E100" s="687">
        <v>5</v>
      </c>
      <c r="F100" s="687" t="s">
        <v>442</v>
      </c>
      <c r="G100" s="687">
        <v>5</v>
      </c>
      <c r="H100" s="687" t="s">
        <v>103</v>
      </c>
      <c r="I100" s="687">
        <v>5</v>
      </c>
      <c r="J100" s="687" t="s">
        <v>103</v>
      </c>
      <c r="K100" s="687">
        <v>5</v>
      </c>
      <c r="L100" s="687" t="s">
        <v>442</v>
      </c>
      <c r="M100" s="687">
        <v>5</v>
      </c>
      <c r="N100" s="687" t="s">
        <v>445</v>
      </c>
    </row>
    <row r="101" spans="1:14" s="585" customFormat="1">
      <c r="A101" s="687"/>
      <c r="B101" s="687"/>
      <c r="C101" s="687">
        <v>6</v>
      </c>
      <c r="D101" s="687" t="s">
        <v>442</v>
      </c>
      <c r="E101" s="687">
        <v>6</v>
      </c>
      <c r="F101" s="687" t="s">
        <v>445</v>
      </c>
      <c r="G101" s="687">
        <v>6</v>
      </c>
      <c r="H101" s="687" t="s">
        <v>442</v>
      </c>
      <c r="I101" s="687">
        <v>6</v>
      </c>
      <c r="J101" s="687" t="s">
        <v>442</v>
      </c>
      <c r="K101" s="687">
        <v>6</v>
      </c>
      <c r="L101" s="687" t="s">
        <v>445</v>
      </c>
      <c r="M101" s="687">
        <v>6</v>
      </c>
      <c r="N101" s="687" t="s">
        <v>446</v>
      </c>
    </row>
    <row r="102" spans="1:14" s="585" customFormat="1">
      <c r="A102" s="687"/>
      <c r="B102" s="687"/>
      <c r="C102" s="687">
        <v>7</v>
      </c>
      <c r="D102" s="687" t="s">
        <v>445</v>
      </c>
      <c r="E102" s="687">
        <v>7</v>
      </c>
      <c r="F102" s="687" t="s">
        <v>446</v>
      </c>
      <c r="G102" s="687">
        <v>7</v>
      </c>
      <c r="H102" s="687" t="s">
        <v>445</v>
      </c>
      <c r="I102" s="687">
        <v>7</v>
      </c>
      <c r="J102" s="687" t="s">
        <v>445</v>
      </c>
      <c r="K102" s="687">
        <v>7</v>
      </c>
      <c r="L102" s="687" t="s">
        <v>446</v>
      </c>
      <c r="M102" s="687"/>
      <c r="N102" s="687"/>
    </row>
    <row r="103" spans="1:14" s="585" customFormat="1">
      <c r="A103" s="687"/>
      <c r="B103" s="687"/>
      <c r="C103" s="687">
        <v>8</v>
      </c>
      <c r="D103" s="687" t="s">
        <v>446</v>
      </c>
      <c r="E103" s="687"/>
      <c r="F103" s="687"/>
      <c r="G103" s="687">
        <v>8</v>
      </c>
      <c r="H103" s="687" t="s">
        <v>446</v>
      </c>
      <c r="I103" s="687">
        <v>8</v>
      </c>
      <c r="J103" s="687" t="s">
        <v>446</v>
      </c>
      <c r="K103" s="687"/>
      <c r="L103" s="687"/>
      <c r="M103" s="687"/>
      <c r="N103" s="687"/>
    </row>
    <row r="104" spans="1:14" s="585" customFormat="1">
      <c r="I104" s="838"/>
    </row>
    <row r="105" spans="1:14" s="585" customFormat="1"/>
    <row r="106" spans="1:14" s="585" customFormat="1">
      <c r="A106" s="839"/>
    </row>
    <row r="107" spans="1:14" s="585" customFormat="1">
      <c r="A107" s="840"/>
      <c r="G107" s="841"/>
    </row>
    <row r="108" spans="1:14" s="585" customFormat="1">
      <c r="A108" s="842"/>
      <c r="G108" s="843"/>
    </row>
    <row r="109" spans="1:14" s="585" customFormat="1">
      <c r="A109" s="844"/>
      <c r="G109" s="841"/>
    </row>
    <row r="110" spans="1:14" s="585" customFormat="1">
      <c r="A110" s="845"/>
    </row>
    <row r="111" spans="1:14" s="585" customFormat="1">
      <c r="A111" s="846"/>
    </row>
    <row r="112" spans="1:14" s="585" customFormat="1">
      <c r="A112" s="847"/>
      <c r="I112" s="838"/>
      <c r="L112" s="848"/>
      <c r="M112" s="827"/>
    </row>
    <row r="113" spans="1:45" s="585" customFormat="1">
      <c r="A113" s="849"/>
      <c r="I113" s="838"/>
      <c r="L113" s="848"/>
      <c r="M113" s="827"/>
    </row>
    <row r="114" spans="1:45" s="585" customFormat="1">
      <c r="I114" s="838"/>
      <c r="L114" s="848"/>
      <c r="M114" s="827"/>
    </row>
    <row r="115" spans="1:45" s="585" customFormat="1">
      <c r="I115" s="838"/>
      <c r="L115" s="848"/>
      <c r="M115" s="827"/>
    </row>
    <row r="116" spans="1:45" s="585" customFormat="1" ht="16.2" thickBot="1">
      <c r="B116" s="1314" t="s">
        <v>830</v>
      </c>
      <c r="C116" s="1314" t="s">
        <v>829</v>
      </c>
      <c r="I116" s="838"/>
      <c r="L116" s="848"/>
      <c r="M116" s="827"/>
    </row>
    <row r="117" spans="1:45" s="585" customFormat="1">
      <c r="A117" s="1308" t="s">
        <v>606</v>
      </c>
      <c r="B117" s="1309">
        <f>E20</f>
        <v>0</v>
      </c>
      <c r="C117" s="1310">
        <f>E34</f>
        <v>0</v>
      </c>
      <c r="I117" s="838"/>
      <c r="L117" s="848"/>
      <c r="M117" s="827"/>
    </row>
    <row r="118" spans="1:45" s="585" customFormat="1" ht="16.2" thickBot="1">
      <c r="A118" s="1311" t="s">
        <v>895</v>
      </c>
      <c r="B118" s="1312">
        <f>E24</f>
        <v>0</v>
      </c>
      <c r="C118" s="1313">
        <f>E37</f>
        <v>0</v>
      </c>
      <c r="I118" s="838"/>
      <c r="L118" s="848"/>
      <c r="M118" s="827"/>
    </row>
    <row r="119" spans="1:45" s="585" customFormat="1">
      <c r="A119" s="633"/>
      <c r="B119" s="745"/>
      <c r="I119" s="838"/>
      <c r="L119" s="848"/>
      <c r="M119" s="827"/>
    </row>
    <row r="120" spans="1:45" s="585" customFormat="1" ht="18">
      <c r="A120" s="1329" t="s">
        <v>887</v>
      </c>
      <c r="B120" s="745"/>
      <c r="I120" s="838"/>
      <c r="L120" s="848"/>
      <c r="M120" s="827"/>
    </row>
    <row r="121" spans="1:45" s="585" customFormat="1" ht="21">
      <c r="A121" s="633"/>
      <c r="B121" s="745"/>
      <c r="I121" s="1305" t="s">
        <v>848</v>
      </c>
      <c r="L121" s="848"/>
      <c r="M121" s="827"/>
      <c r="AA121" s="633"/>
      <c r="AB121" s="745"/>
      <c r="AI121" s="1306" t="s">
        <v>872</v>
      </c>
      <c r="AL121" s="848"/>
      <c r="AM121" s="827"/>
    </row>
    <row r="122" spans="1:45" s="585" customFormat="1" ht="21.6" thickBot="1">
      <c r="A122" s="1848" t="s">
        <v>886</v>
      </c>
      <c r="B122" s="1849"/>
      <c r="C122" s="1849"/>
      <c r="D122" s="1849"/>
      <c r="E122" s="1849"/>
      <c r="F122" s="1849"/>
      <c r="G122" s="1849"/>
      <c r="I122" s="1231" t="s">
        <v>48</v>
      </c>
      <c r="K122" s="1849" t="s">
        <v>885</v>
      </c>
      <c r="L122" s="1849"/>
      <c r="M122" s="1849"/>
      <c r="N122" s="1849"/>
      <c r="O122" s="1849"/>
      <c r="P122" s="1849"/>
      <c r="Q122" s="1849"/>
      <c r="AA122" s="1848" t="s">
        <v>886</v>
      </c>
      <c r="AB122" s="1849"/>
      <c r="AC122" s="1849"/>
      <c r="AD122" s="1849"/>
      <c r="AE122" s="1849"/>
      <c r="AF122" s="1849"/>
      <c r="AG122" s="1849"/>
      <c r="AI122" s="1304" t="s">
        <v>48</v>
      </c>
      <c r="AK122" s="1849" t="s">
        <v>885</v>
      </c>
      <c r="AL122" s="1849"/>
      <c r="AM122" s="1849"/>
      <c r="AN122" s="1849"/>
      <c r="AO122" s="1849"/>
      <c r="AP122" s="1849"/>
      <c r="AQ122" s="1849"/>
    </row>
    <row r="123" spans="1:45" s="585" customFormat="1" ht="16.2" thickBot="1">
      <c r="A123" s="1842" t="s">
        <v>838</v>
      </c>
      <c r="B123" s="1843"/>
      <c r="C123" s="1843"/>
      <c r="D123" s="1843"/>
      <c r="E123" s="1843"/>
      <c r="F123" s="1843"/>
      <c r="G123" s="1844"/>
      <c r="I123" s="1302">
        <f>E34</f>
        <v>0</v>
      </c>
      <c r="K123" s="1842" t="s">
        <v>844</v>
      </c>
      <c r="L123" s="1843"/>
      <c r="M123" s="1843"/>
      <c r="N123" s="1843"/>
      <c r="O123" s="1843"/>
      <c r="P123" s="1843"/>
      <c r="Q123" s="1844"/>
      <c r="AA123" s="1842" t="s">
        <v>838</v>
      </c>
      <c r="AB123" s="1843"/>
      <c r="AC123" s="1843"/>
      <c r="AD123" s="1843"/>
      <c r="AE123" s="1843"/>
      <c r="AF123" s="1843"/>
      <c r="AG123" s="1844"/>
      <c r="AI123" s="1301">
        <f>E37</f>
        <v>0</v>
      </c>
      <c r="AK123" s="1842" t="s">
        <v>844</v>
      </c>
      <c r="AL123" s="1843"/>
      <c r="AM123" s="1843"/>
      <c r="AN123" s="1843"/>
      <c r="AO123" s="1843"/>
      <c r="AP123" s="1843"/>
      <c r="AQ123" s="1844"/>
    </row>
    <row r="124" spans="1:45" s="585" customFormat="1" ht="16.2" thickBot="1">
      <c r="A124" s="142"/>
      <c r="B124" s="1194" t="s">
        <v>746</v>
      </c>
      <c r="C124" s="1195" t="s">
        <v>747</v>
      </c>
      <c r="D124" s="1196" t="s">
        <v>748</v>
      </c>
      <c r="E124" s="1196" t="s">
        <v>749</v>
      </c>
      <c r="F124" s="1196" t="s">
        <v>750</v>
      </c>
      <c r="G124" s="1197" t="s">
        <v>751</v>
      </c>
      <c r="I124" s="838"/>
      <c r="K124" s="142"/>
      <c r="L124" s="1194" t="s">
        <v>746</v>
      </c>
      <c r="M124" s="1195" t="s">
        <v>747</v>
      </c>
      <c r="N124" s="1196" t="s">
        <v>748</v>
      </c>
      <c r="O124" s="1196" t="s">
        <v>749</v>
      </c>
      <c r="P124" s="1196" t="s">
        <v>750</v>
      </c>
      <c r="Q124" s="1197" t="s">
        <v>751</v>
      </c>
      <c r="S124" s="1307" t="s">
        <v>859</v>
      </c>
      <c r="AA124" s="142"/>
      <c r="AB124" s="1194" t="s">
        <v>746</v>
      </c>
      <c r="AC124" s="1195" t="s">
        <v>747</v>
      </c>
      <c r="AD124" s="1196" t="s">
        <v>748</v>
      </c>
      <c r="AE124" s="1196" t="s">
        <v>749</v>
      </c>
      <c r="AF124" s="1196" t="s">
        <v>750</v>
      </c>
      <c r="AG124" s="1197" t="s">
        <v>751</v>
      </c>
      <c r="AI124" s="838"/>
      <c r="AK124" s="142"/>
      <c r="AL124" s="1194" t="s">
        <v>746</v>
      </c>
      <c r="AM124" s="1195" t="s">
        <v>747</v>
      </c>
      <c r="AN124" s="1196" t="s">
        <v>748</v>
      </c>
      <c r="AO124" s="1196" t="s">
        <v>749</v>
      </c>
      <c r="AP124" s="1196" t="s">
        <v>750</v>
      </c>
      <c r="AQ124" s="1197" t="s">
        <v>751</v>
      </c>
      <c r="AS124" s="1323" t="s">
        <v>873</v>
      </c>
    </row>
    <row r="125" spans="1:45" s="585" customFormat="1" ht="16.2" thickBot="1">
      <c r="A125" s="1232" t="s">
        <v>832</v>
      </c>
      <c r="B125" s="1204" t="s">
        <v>607</v>
      </c>
      <c r="C125" s="1319">
        <f>ROUNDUP(I123/30,0)</f>
        <v>0</v>
      </c>
      <c r="D125" s="1206" t="s">
        <v>834</v>
      </c>
      <c r="E125" s="1207">
        <f>ROUNDUP(C125/8,0)+ROUNDUP(C125/4,0)</f>
        <v>0</v>
      </c>
      <c r="F125" s="1208">
        <f>E125*CoveRez</f>
        <v>0</v>
      </c>
      <c r="G125" s="1209"/>
      <c r="I125" s="838"/>
      <c r="K125" s="1271" t="s">
        <v>832</v>
      </c>
      <c r="L125" s="1315" t="s">
        <v>129</v>
      </c>
      <c r="M125" s="1214">
        <v>35</v>
      </c>
      <c r="N125" s="1215" t="s">
        <v>843</v>
      </c>
      <c r="O125" s="1216">
        <f>ROUNDUP(I123/M125,0)</f>
        <v>0</v>
      </c>
      <c r="P125" s="1316">
        <f>O125*WR</f>
        <v>0</v>
      </c>
      <c r="Q125" s="1317" t="s">
        <v>855</v>
      </c>
      <c r="S125" s="585" t="s">
        <v>860</v>
      </c>
      <c r="AA125" s="1232" t="s">
        <v>832</v>
      </c>
      <c r="AB125" s="1204" t="s">
        <v>607</v>
      </c>
      <c r="AC125" s="1319">
        <f>ROUNDUP(AI123/30,0)</f>
        <v>0</v>
      </c>
      <c r="AD125" s="1206" t="s">
        <v>834</v>
      </c>
      <c r="AE125" s="1207">
        <f>ROUNDUP(AC125/8,0)+ROUNDUP(AC125/4,0)</f>
        <v>0</v>
      </c>
      <c r="AF125" s="1208">
        <f>AE125*CoveRez</f>
        <v>0</v>
      </c>
      <c r="AG125" s="1209"/>
      <c r="AI125" s="838"/>
      <c r="AK125" s="1271" t="s">
        <v>832</v>
      </c>
      <c r="AL125" s="1315" t="s">
        <v>129</v>
      </c>
      <c r="AM125" s="1214">
        <v>35</v>
      </c>
      <c r="AN125" s="1215" t="s">
        <v>843</v>
      </c>
      <c r="AO125" s="1216">
        <f>ROUNDUP(AI123/AM125,0)</f>
        <v>0</v>
      </c>
      <c r="AP125" s="1316">
        <f>AO125*WR</f>
        <v>0</v>
      </c>
      <c r="AQ125" s="1317" t="s">
        <v>855</v>
      </c>
      <c r="AS125" s="585" t="s">
        <v>860</v>
      </c>
    </row>
    <row r="126" spans="1:45" s="585" customFormat="1" ht="16.2" thickBot="1">
      <c r="A126" s="1263" t="s">
        <v>831</v>
      </c>
      <c r="B126" s="1264" t="s">
        <v>806</v>
      </c>
      <c r="C126" s="1265">
        <v>25</v>
      </c>
      <c r="D126" s="1266" t="s">
        <v>833</v>
      </c>
      <c r="E126" s="1267">
        <f>CEILING(C125*C126,50)</f>
        <v>0</v>
      </c>
      <c r="F126" s="1321">
        <f>E126*(IF($A$22=$R$189,Q28_40s,IF($A$22=$R$190,Q28_40s,IF($A$22=$R$191,Q28_40s,Silica))))</f>
        <v>0</v>
      </c>
      <c r="G126" s="1320" t="s">
        <v>857</v>
      </c>
      <c r="I126" s="838"/>
      <c r="L126" s="848"/>
      <c r="M126" s="827"/>
      <c r="S126" s="585" t="s">
        <v>861</v>
      </c>
      <c r="AA126" s="1263" t="s">
        <v>831</v>
      </c>
      <c r="AB126" s="1264" t="s">
        <v>806</v>
      </c>
      <c r="AC126" s="1265">
        <v>25</v>
      </c>
      <c r="AD126" s="1266" t="s">
        <v>833</v>
      </c>
      <c r="AE126" s="1267">
        <f>CEILING(AC125*AC126,50)</f>
        <v>0</v>
      </c>
      <c r="AF126" s="1321">
        <f>AE126*(IF($A$22=$R$189,Q28_40s,IF($A$22=$R$190,Q28_40s,IF($A$22=$R$191,Q28_40s,Silica))))</f>
        <v>0</v>
      </c>
      <c r="AG126" s="1320" t="s">
        <v>857</v>
      </c>
      <c r="AI126" s="838"/>
      <c r="AL126" s="848"/>
      <c r="AM126" s="827"/>
      <c r="AS126" s="585" t="s">
        <v>861</v>
      </c>
    </row>
    <row r="127" spans="1:45" s="585" customFormat="1" ht="16.2" thickBot="1">
      <c r="A127" s="633"/>
      <c r="B127" s="745"/>
      <c r="I127" s="838"/>
      <c r="L127" s="848"/>
      <c r="M127" s="827"/>
      <c r="S127" s="585" t="s">
        <v>862</v>
      </c>
      <c r="Y127" s="1621" t="s">
        <v>1187</v>
      </c>
      <c r="AA127" s="633"/>
      <c r="AB127" s="745"/>
      <c r="AI127" s="838"/>
      <c r="AL127" s="848"/>
      <c r="AM127" s="827"/>
      <c r="AS127" s="585" t="s">
        <v>862</v>
      </c>
    </row>
    <row r="128" spans="1:45" s="585" customFormat="1" ht="16.2" thickBot="1">
      <c r="A128" s="1842" t="s">
        <v>839</v>
      </c>
      <c r="B128" s="1843"/>
      <c r="C128" s="1843"/>
      <c r="D128" s="1843"/>
      <c r="E128" s="1843"/>
      <c r="F128" s="1843"/>
      <c r="G128" s="1844"/>
      <c r="I128" s="1302">
        <f>$I$123</f>
        <v>0</v>
      </c>
      <c r="K128" s="1842" t="s">
        <v>845</v>
      </c>
      <c r="L128" s="1843"/>
      <c r="M128" s="1843"/>
      <c r="N128" s="1843"/>
      <c r="O128" s="1843"/>
      <c r="P128" s="1843"/>
      <c r="Q128" s="1844"/>
      <c r="S128" s="585" t="s">
        <v>863</v>
      </c>
      <c r="V128" s="1801">
        <v>45676</v>
      </c>
      <c r="W128" s="1046" t="s">
        <v>1190</v>
      </c>
      <c r="X128" s="851" t="s">
        <v>1186</v>
      </c>
      <c r="Y128" s="1340">
        <v>50</v>
      </c>
      <c r="AA128" s="1842" t="s">
        <v>839</v>
      </c>
      <c r="AB128" s="1843"/>
      <c r="AC128" s="1843"/>
      <c r="AD128" s="1843"/>
      <c r="AE128" s="1843"/>
      <c r="AF128" s="1843"/>
      <c r="AG128" s="1844"/>
      <c r="AI128" s="1302">
        <f>$AI$123</f>
        <v>0</v>
      </c>
      <c r="AK128" s="1842" t="s">
        <v>845</v>
      </c>
      <c r="AL128" s="1843"/>
      <c r="AM128" s="1843"/>
      <c r="AN128" s="1843"/>
      <c r="AO128" s="1843"/>
      <c r="AP128" s="1843"/>
      <c r="AQ128" s="1844"/>
      <c r="AS128" s="585" t="s">
        <v>863</v>
      </c>
    </row>
    <row r="129" spans="1:45" s="585" customFormat="1" ht="16.2" thickBot="1">
      <c r="A129" s="142"/>
      <c r="B129" s="1194" t="s">
        <v>746</v>
      </c>
      <c r="C129" s="1195" t="s">
        <v>747</v>
      </c>
      <c r="D129" s="1196" t="s">
        <v>748</v>
      </c>
      <c r="E129" s="1196" t="s">
        <v>749</v>
      </c>
      <c r="F129" s="1196" t="s">
        <v>750</v>
      </c>
      <c r="G129" s="1197" t="s">
        <v>751</v>
      </c>
      <c r="I129" s="838"/>
      <c r="K129" s="142"/>
      <c r="L129" s="1194" t="s">
        <v>746</v>
      </c>
      <c r="M129" s="1195" t="s">
        <v>747</v>
      </c>
      <c r="N129" s="1196" t="s">
        <v>748</v>
      </c>
      <c r="O129" s="1196" t="s">
        <v>749</v>
      </c>
      <c r="P129" s="1196" t="s">
        <v>750</v>
      </c>
      <c r="Q129" s="1197" t="s">
        <v>751</v>
      </c>
      <c r="S129" s="585" t="s">
        <v>864</v>
      </c>
      <c r="V129" s="1799" t="s">
        <v>1185</v>
      </c>
      <c r="W129" s="1504">
        <f>19.8</f>
        <v>19.8</v>
      </c>
      <c r="X129" s="584" t="s">
        <v>1214</v>
      </c>
      <c r="Y129" s="1802">
        <f>W129/Y128</f>
        <v>0.39600000000000002</v>
      </c>
      <c r="AA129" s="142"/>
      <c r="AB129" s="1194" t="s">
        <v>746</v>
      </c>
      <c r="AC129" s="1195" t="s">
        <v>747</v>
      </c>
      <c r="AD129" s="1196" t="s">
        <v>748</v>
      </c>
      <c r="AE129" s="1196" t="s">
        <v>749</v>
      </c>
      <c r="AF129" s="1196" t="s">
        <v>750</v>
      </c>
      <c r="AG129" s="1197" t="s">
        <v>751</v>
      </c>
      <c r="AI129" s="838"/>
      <c r="AK129" s="142"/>
      <c r="AL129" s="1194" t="s">
        <v>746</v>
      </c>
      <c r="AM129" s="1195" t="s">
        <v>747</v>
      </c>
      <c r="AN129" s="1196" t="s">
        <v>748</v>
      </c>
      <c r="AO129" s="1196" t="s">
        <v>749</v>
      </c>
      <c r="AP129" s="1196" t="s">
        <v>750</v>
      </c>
      <c r="AQ129" s="1197" t="s">
        <v>751</v>
      </c>
      <c r="AS129" s="585" t="s">
        <v>864</v>
      </c>
    </row>
    <row r="130" spans="1:45" s="585" customFormat="1" ht="16.2" thickBot="1">
      <c r="A130" s="1232" t="s">
        <v>832</v>
      </c>
      <c r="B130" s="1204" t="s">
        <v>607</v>
      </c>
      <c r="C130" s="1319">
        <f>ROUNDUP(I128/20,0)</f>
        <v>0</v>
      </c>
      <c r="D130" s="1206" t="s">
        <v>834</v>
      </c>
      <c r="E130" s="1207">
        <f>ROUNDUP(C130/8,0)+ROUNDUP(C130/4,0)</f>
        <v>0</v>
      </c>
      <c r="F130" s="1208">
        <f>E130*CoveRez</f>
        <v>0</v>
      </c>
      <c r="G130" s="1209"/>
      <c r="I130" s="838"/>
      <c r="K130" s="1271" t="s">
        <v>832</v>
      </c>
      <c r="L130" s="1315" t="s">
        <v>129</v>
      </c>
      <c r="M130" s="1214">
        <v>25</v>
      </c>
      <c r="N130" s="1215" t="s">
        <v>843</v>
      </c>
      <c r="O130" s="1216">
        <f>ROUNDUP(I128/M130,0)</f>
        <v>0</v>
      </c>
      <c r="P130" s="1316">
        <f>O130*WR</f>
        <v>0</v>
      </c>
      <c r="Q130" s="1317" t="s">
        <v>856</v>
      </c>
      <c r="S130" s="585" t="s">
        <v>865</v>
      </c>
      <c r="V130" s="674" t="s">
        <v>1215</v>
      </c>
      <c r="W130" s="1504">
        <v>15.3</v>
      </c>
      <c r="X130" s="584" t="s">
        <v>1213</v>
      </c>
      <c r="Y130" s="1802">
        <f>W130/Y128</f>
        <v>0.30599999999999999</v>
      </c>
      <c r="AA130" s="1232" t="s">
        <v>832</v>
      </c>
      <c r="AB130" s="1204" t="s">
        <v>607</v>
      </c>
      <c r="AC130" s="1319">
        <f>ROUNDUP(AI128/20,0)</f>
        <v>0</v>
      </c>
      <c r="AD130" s="1206" t="s">
        <v>834</v>
      </c>
      <c r="AE130" s="1207">
        <f>ROUNDUP(AC130/8,0)+ROUNDUP(AC130/4,0)</f>
        <v>0</v>
      </c>
      <c r="AF130" s="1208">
        <f>AE130*CoveRez</f>
        <v>0</v>
      </c>
      <c r="AG130" s="1209"/>
      <c r="AI130" s="838"/>
      <c r="AK130" s="1271" t="s">
        <v>832</v>
      </c>
      <c r="AL130" s="1315" t="s">
        <v>129</v>
      </c>
      <c r="AM130" s="1214">
        <v>25</v>
      </c>
      <c r="AN130" s="1215" t="s">
        <v>843</v>
      </c>
      <c r="AO130" s="1216">
        <f>ROUNDUP(AI128/AM130,0)</f>
        <v>0</v>
      </c>
      <c r="AP130" s="1316">
        <f>AO130*WR</f>
        <v>0</v>
      </c>
      <c r="AQ130" s="1317" t="s">
        <v>856</v>
      </c>
      <c r="AS130" s="585" t="s">
        <v>865</v>
      </c>
    </row>
    <row r="131" spans="1:45" s="585" customFormat="1" ht="16.2" thickBot="1">
      <c r="A131" s="1263" t="s">
        <v>831</v>
      </c>
      <c r="B131" s="1264" t="s">
        <v>806</v>
      </c>
      <c r="C131" s="1265">
        <v>25</v>
      </c>
      <c r="D131" s="1266" t="s">
        <v>833</v>
      </c>
      <c r="E131" s="1267">
        <f>CEILING(C130*C131,50)</f>
        <v>0</v>
      </c>
      <c r="F131" s="1321">
        <f>E131*(IF($A$22=$R$189,Q28_40s,IF($A$22=$R$190,Q28_40s,IF($A$22=$R$191,Q28_40s,Silica))))</f>
        <v>0</v>
      </c>
      <c r="G131" s="1320" t="s">
        <v>857</v>
      </c>
      <c r="I131" s="838"/>
      <c r="L131" s="848"/>
      <c r="M131" s="827"/>
      <c r="S131" s="585" t="s">
        <v>866</v>
      </c>
      <c r="V131" s="590" t="s">
        <v>1189</v>
      </c>
      <c r="AA131" s="1263" t="s">
        <v>831</v>
      </c>
      <c r="AB131" s="1264" t="s">
        <v>806</v>
      </c>
      <c r="AC131" s="1265">
        <v>25</v>
      </c>
      <c r="AD131" s="1266" t="s">
        <v>833</v>
      </c>
      <c r="AE131" s="1267">
        <f>CEILING(AC130*AC131,50)</f>
        <v>0</v>
      </c>
      <c r="AF131" s="1321">
        <f>AE131*(IF($A$22=$R$189,Q28_40s,IF($A$22=$R$190,Q28_40s,IF($A$22=$R$191,Q28_40s,Silica))))</f>
        <v>0</v>
      </c>
      <c r="AG131" s="1320" t="s">
        <v>857</v>
      </c>
      <c r="AI131" s="838"/>
      <c r="AL131" s="848"/>
      <c r="AM131" s="827"/>
      <c r="AS131" s="585" t="s">
        <v>866</v>
      </c>
    </row>
    <row r="132" spans="1:45" s="585" customFormat="1" ht="16.2" thickBot="1">
      <c r="I132" s="838"/>
      <c r="L132" s="848"/>
      <c r="M132" s="827"/>
      <c r="S132" s="585" t="s">
        <v>867</v>
      </c>
      <c r="AI132" s="838"/>
      <c r="AL132" s="848"/>
      <c r="AM132" s="827"/>
      <c r="AS132" s="585" t="s">
        <v>867</v>
      </c>
    </row>
    <row r="133" spans="1:45" s="585" customFormat="1" ht="16.2" thickBot="1">
      <c r="A133" s="1842" t="s">
        <v>841</v>
      </c>
      <c r="B133" s="1843"/>
      <c r="C133" s="1843"/>
      <c r="D133" s="1843"/>
      <c r="E133" s="1843"/>
      <c r="F133" s="1843"/>
      <c r="G133" s="1844"/>
      <c r="I133" s="1302">
        <f>$I$123</f>
        <v>0</v>
      </c>
      <c r="K133" s="1842" t="s">
        <v>846</v>
      </c>
      <c r="L133" s="1843"/>
      <c r="M133" s="1843"/>
      <c r="N133" s="1843"/>
      <c r="O133" s="1843"/>
      <c r="P133" s="1843"/>
      <c r="Q133" s="1844"/>
      <c r="S133" s="585" t="s">
        <v>868</v>
      </c>
      <c r="U133" s="1767" t="s">
        <v>1165</v>
      </c>
      <c r="V133" s="1768"/>
      <c r="AA133" s="1842" t="s">
        <v>841</v>
      </c>
      <c r="AB133" s="1843"/>
      <c r="AC133" s="1843"/>
      <c r="AD133" s="1843"/>
      <c r="AE133" s="1843"/>
      <c r="AF133" s="1843"/>
      <c r="AG133" s="1844"/>
      <c r="AI133" s="1302">
        <f>$AI$123</f>
        <v>0</v>
      </c>
      <c r="AK133" s="1842" t="s">
        <v>846</v>
      </c>
      <c r="AL133" s="1843"/>
      <c r="AM133" s="1843"/>
      <c r="AN133" s="1843"/>
      <c r="AO133" s="1843"/>
      <c r="AP133" s="1843"/>
      <c r="AQ133" s="1844"/>
      <c r="AS133" s="585" t="s">
        <v>868</v>
      </c>
    </row>
    <row r="134" spans="1:45" s="585" customFormat="1" ht="16.2" thickBot="1">
      <c r="A134" s="142"/>
      <c r="B134" s="1194" t="s">
        <v>746</v>
      </c>
      <c r="C134" s="1195" t="s">
        <v>747</v>
      </c>
      <c r="D134" s="1196" t="s">
        <v>748</v>
      </c>
      <c r="E134" s="1196" t="s">
        <v>749</v>
      </c>
      <c r="F134" s="1196" t="s">
        <v>750</v>
      </c>
      <c r="G134" s="1197" t="s">
        <v>751</v>
      </c>
      <c r="I134" s="850"/>
      <c r="K134" s="142"/>
      <c r="L134" s="1194" t="s">
        <v>746</v>
      </c>
      <c r="M134" s="1195" t="s">
        <v>747</v>
      </c>
      <c r="N134" s="1196" t="s">
        <v>748</v>
      </c>
      <c r="O134" s="1196" t="s">
        <v>749</v>
      </c>
      <c r="P134" s="1196" t="s">
        <v>750</v>
      </c>
      <c r="Q134" s="1197" t="s">
        <v>751</v>
      </c>
      <c r="S134" s="585" t="s">
        <v>869</v>
      </c>
      <c r="V134" s="1765" t="s">
        <v>1172</v>
      </c>
      <c r="W134" s="1766"/>
      <c r="AA134" s="142"/>
      <c r="AB134" s="1194" t="s">
        <v>746</v>
      </c>
      <c r="AC134" s="1195" t="s">
        <v>747</v>
      </c>
      <c r="AD134" s="1196" t="s">
        <v>748</v>
      </c>
      <c r="AE134" s="1196" t="s">
        <v>749</v>
      </c>
      <c r="AF134" s="1196" t="s">
        <v>750</v>
      </c>
      <c r="AG134" s="1197" t="s">
        <v>751</v>
      </c>
      <c r="AI134" s="850"/>
      <c r="AK134" s="142"/>
      <c r="AL134" s="1194" t="s">
        <v>746</v>
      </c>
      <c r="AM134" s="1195" t="s">
        <v>747</v>
      </c>
      <c r="AN134" s="1196" t="s">
        <v>748</v>
      </c>
      <c r="AO134" s="1196" t="s">
        <v>749</v>
      </c>
      <c r="AP134" s="1196" t="s">
        <v>750</v>
      </c>
      <c r="AQ134" s="1197" t="s">
        <v>751</v>
      </c>
      <c r="AS134" s="585" t="s">
        <v>869</v>
      </c>
    </row>
    <row r="135" spans="1:45" s="585" customFormat="1" ht="16.2" thickBot="1">
      <c r="A135" s="1232" t="s">
        <v>832</v>
      </c>
      <c r="B135" s="1204" t="s">
        <v>607</v>
      </c>
      <c r="C135" s="1319">
        <f>ROUNDUP(I133/15,0)</f>
        <v>0</v>
      </c>
      <c r="D135" s="1206" t="s">
        <v>834</v>
      </c>
      <c r="E135" s="1207">
        <f>ROUNDUP(C135/8,0)+ROUNDUP(C135/4,0)</f>
        <v>0</v>
      </c>
      <c r="F135" s="1208">
        <f>E135*CoveRez</f>
        <v>0</v>
      </c>
      <c r="G135" s="1209"/>
      <c r="I135" s="850"/>
      <c r="K135" s="1271" t="s">
        <v>832</v>
      </c>
      <c r="L135" s="1315" t="s">
        <v>129</v>
      </c>
      <c r="M135" s="1214">
        <v>26</v>
      </c>
      <c r="N135" s="1215" t="s">
        <v>843</v>
      </c>
      <c r="O135" s="1216">
        <f>ROUNDUP(I133/M135,0)</f>
        <v>0</v>
      </c>
      <c r="P135" s="1316">
        <f>O135*WR</f>
        <v>0</v>
      </c>
      <c r="Q135" s="1317"/>
      <c r="S135" s="585" t="s">
        <v>870</v>
      </c>
      <c r="V135" s="1769" t="s">
        <v>1173</v>
      </c>
      <c r="W135" s="855"/>
      <c r="AA135" s="1232" t="s">
        <v>832</v>
      </c>
      <c r="AB135" s="1204" t="s">
        <v>607</v>
      </c>
      <c r="AC135" s="1319">
        <f>ROUNDUP(AI133/15,0)</f>
        <v>0</v>
      </c>
      <c r="AD135" s="1206" t="s">
        <v>834</v>
      </c>
      <c r="AE135" s="1207">
        <f>ROUNDUP(AC135/8,0)+ROUNDUP(AC135/4,0)</f>
        <v>0</v>
      </c>
      <c r="AF135" s="1208">
        <f>AE135*CoveRez</f>
        <v>0</v>
      </c>
      <c r="AG135" s="1209"/>
      <c r="AI135" s="850"/>
      <c r="AK135" s="1271" t="s">
        <v>832</v>
      </c>
      <c r="AL135" s="1315" t="s">
        <v>129</v>
      </c>
      <c r="AM135" s="1214">
        <v>26</v>
      </c>
      <c r="AN135" s="1215" t="s">
        <v>843</v>
      </c>
      <c r="AO135" s="1216">
        <f>ROUNDUP(AI133/AM135,0)</f>
        <v>0</v>
      </c>
      <c r="AP135" s="1316">
        <f>AO135*WR</f>
        <v>0</v>
      </c>
      <c r="AQ135" s="1317"/>
      <c r="AS135" s="585" t="s">
        <v>870</v>
      </c>
    </row>
    <row r="136" spans="1:45" s="585" customFormat="1" ht="16.2" thickBot="1">
      <c r="A136" s="1263" t="s">
        <v>831</v>
      </c>
      <c r="B136" s="1264" t="s">
        <v>806</v>
      </c>
      <c r="C136" s="1265">
        <v>25</v>
      </c>
      <c r="D136" s="1266" t="s">
        <v>833</v>
      </c>
      <c r="E136" s="1267">
        <f>CEILING(C135*C136,50)</f>
        <v>0</v>
      </c>
      <c r="F136" s="1321">
        <f>E136*(IF($A$22=$R$189,Q28_40s,IF($A$22=$R$190,Q28_40s,IF($A$22=$R$191,Q28_40s,Silica))))</f>
        <v>0</v>
      </c>
      <c r="G136" s="1320" t="s">
        <v>857</v>
      </c>
      <c r="H136" s="1324" t="s">
        <v>877</v>
      </c>
      <c r="I136" s="838"/>
      <c r="K136" s="1263" t="s">
        <v>835</v>
      </c>
      <c r="L136" s="1264" t="s">
        <v>842</v>
      </c>
      <c r="M136" s="1265">
        <v>1</v>
      </c>
      <c r="N136" s="1266" t="s">
        <v>837</v>
      </c>
      <c r="O136" s="1267">
        <f>CEILING(I133*M136,8)</f>
        <v>0</v>
      </c>
      <c r="P136" s="1268">
        <f>O136*ZincCoveCap</f>
        <v>0</v>
      </c>
      <c r="Q136" s="1318" t="s">
        <v>836</v>
      </c>
      <c r="S136" s="585" t="s">
        <v>871</v>
      </c>
      <c r="T136" s="1504">
        <f>SUM(T137:T138)</f>
        <v>426.68179999999995</v>
      </c>
      <c r="V136" s="1747" t="s">
        <v>1164</v>
      </c>
      <c r="AA136" s="1263" t="s">
        <v>831</v>
      </c>
      <c r="AB136" s="1264" t="s">
        <v>806</v>
      </c>
      <c r="AC136" s="1265">
        <v>25</v>
      </c>
      <c r="AD136" s="1266" t="s">
        <v>833</v>
      </c>
      <c r="AE136" s="1267">
        <f>CEILING(AC135*AC136,50)</f>
        <v>0</v>
      </c>
      <c r="AF136" s="1321">
        <f>AE136*(IF($A$22=$R$189,Q28_40s,IF($A$22=$R$190,Q28_40s,IF($A$22=$R$191,Q28_40s,Silica))))</f>
        <v>0</v>
      </c>
      <c r="AG136" s="1320" t="s">
        <v>857</v>
      </c>
      <c r="AH136" s="1324" t="s">
        <v>877</v>
      </c>
      <c r="AI136" s="838"/>
      <c r="AK136" s="1263" t="s">
        <v>835</v>
      </c>
      <c r="AL136" s="1264" t="s">
        <v>842</v>
      </c>
      <c r="AM136" s="1265">
        <v>1</v>
      </c>
      <c r="AN136" s="1266" t="s">
        <v>837</v>
      </c>
      <c r="AO136" s="1267">
        <f>CEILING(AI133*AM136,8)</f>
        <v>0</v>
      </c>
      <c r="AP136" s="1268">
        <f>AO136*ZincCoveCap</f>
        <v>0</v>
      </c>
      <c r="AQ136" s="1318" t="s">
        <v>836</v>
      </c>
      <c r="AS136" s="585" t="s">
        <v>871</v>
      </c>
    </row>
    <row r="137" spans="1:45" s="585" customFormat="1" ht="16.2" thickBot="1">
      <c r="A137" s="1263" t="s">
        <v>835</v>
      </c>
      <c r="B137" s="1264" t="s">
        <v>842</v>
      </c>
      <c r="C137" s="1265">
        <v>1</v>
      </c>
      <c r="D137" s="1266" t="s">
        <v>837</v>
      </c>
      <c r="E137" s="1267">
        <f>CEILING(I133*C137,8)</f>
        <v>0</v>
      </c>
      <c r="F137" s="1268">
        <f>E137*ZincCoveCap</f>
        <v>0</v>
      </c>
      <c r="G137" s="1269" t="s">
        <v>836</v>
      </c>
      <c r="H137" s="1325">
        <f>SUM(F136:F137)</f>
        <v>0</v>
      </c>
      <c r="I137" s="850"/>
      <c r="L137" s="848"/>
      <c r="M137" s="827"/>
      <c r="T137" s="1504">
        <f>U160</f>
        <v>402.53</v>
      </c>
      <c r="V137" s="1748" t="s">
        <v>1163</v>
      </c>
      <c r="AA137" s="1263" t="s">
        <v>835</v>
      </c>
      <c r="AB137" s="1264" t="s">
        <v>842</v>
      </c>
      <c r="AC137" s="1265">
        <v>1</v>
      </c>
      <c r="AD137" s="1266" t="s">
        <v>837</v>
      </c>
      <c r="AE137" s="1267">
        <f>CEILING(AI133*AC137,8)</f>
        <v>0</v>
      </c>
      <c r="AF137" s="1268">
        <f>AE137*ZincCoveCap</f>
        <v>0</v>
      </c>
      <c r="AG137" s="1269" t="s">
        <v>836</v>
      </c>
      <c r="AH137" s="1325">
        <f>SUM(AF136:AF137)</f>
        <v>0</v>
      </c>
      <c r="AI137" s="850"/>
      <c r="AL137" s="848"/>
      <c r="AM137" s="827"/>
    </row>
    <row r="138" spans="1:45" s="585" customFormat="1" ht="16.2" thickBot="1">
      <c r="A138" s="633"/>
      <c r="B138" s="745"/>
      <c r="I138" s="838"/>
      <c r="L138" s="848"/>
      <c r="M138" s="827"/>
      <c r="S138" s="1836" t="s">
        <v>1252</v>
      </c>
      <c r="T138" s="1504">
        <f>U160*U140</f>
        <v>24.151799999999998</v>
      </c>
      <c r="AA138" s="633"/>
      <c r="AB138" s="745"/>
      <c r="AI138" s="838"/>
      <c r="AL138" s="848"/>
      <c r="AM138" s="827"/>
    </row>
    <row r="139" spans="1:45" s="585" customFormat="1" ht="16.2" thickBot="1">
      <c r="A139" s="1842" t="s">
        <v>840</v>
      </c>
      <c r="B139" s="1843"/>
      <c r="C139" s="1843"/>
      <c r="D139" s="1843"/>
      <c r="E139" s="1843"/>
      <c r="F139" s="1843"/>
      <c r="G139" s="1844"/>
      <c r="I139" s="1302">
        <f>$I$123</f>
        <v>0</v>
      </c>
      <c r="K139" s="1842" t="s">
        <v>847</v>
      </c>
      <c r="L139" s="1843"/>
      <c r="M139" s="1843"/>
      <c r="N139" s="1843"/>
      <c r="O139" s="1843"/>
      <c r="P139" s="1843"/>
      <c r="Q139" s="1844"/>
      <c r="S139" s="1827" t="s">
        <v>1239</v>
      </c>
      <c r="T139" s="1828">
        <v>0</v>
      </c>
      <c r="U139" s="1818">
        <v>0</v>
      </c>
      <c r="V139" s="1817" t="s">
        <v>1035</v>
      </c>
      <c r="W139" s="1816" t="s">
        <v>904</v>
      </c>
      <c r="AA139" s="1842" t="s">
        <v>840</v>
      </c>
      <c r="AB139" s="1843"/>
      <c r="AC139" s="1843"/>
      <c r="AD139" s="1843"/>
      <c r="AE139" s="1843"/>
      <c r="AF139" s="1843"/>
      <c r="AG139" s="1844"/>
      <c r="AI139" s="1302">
        <f>$AI$123</f>
        <v>0</v>
      </c>
      <c r="AK139" s="1842" t="s">
        <v>847</v>
      </c>
      <c r="AL139" s="1843"/>
      <c r="AM139" s="1843"/>
      <c r="AN139" s="1843"/>
      <c r="AO139" s="1843"/>
      <c r="AP139" s="1843"/>
      <c r="AQ139" s="1844"/>
    </row>
    <row r="140" spans="1:45" s="585" customFormat="1" ht="16.2" thickBot="1">
      <c r="A140" s="142"/>
      <c r="B140" s="1194" t="s">
        <v>746</v>
      </c>
      <c r="C140" s="1195" t="s">
        <v>747</v>
      </c>
      <c r="D140" s="1196" t="s">
        <v>748</v>
      </c>
      <c r="E140" s="1196" t="s">
        <v>749</v>
      </c>
      <c r="F140" s="1196" t="s">
        <v>750</v>
      </c>
      <c r="G140" s="1197" t="s">
        <v>751</v>
      </c>
      <c r="I140" s="838"/>
      <c r="K140" s="142"/>
      <c r="L140" s="1194" t="s">
        <v>746</v>
      </c>
      <c r="M140" s="1195" t="s">
        <v>747</v>
      </c>
      <c r="N140" s="1196" t="s">
        <v>748</v>
      </c>
      <c r="O140" s="1196" t="s">
        <v>749</v>
      </c>
      <c r="P140" s="1196" t="s">
        <v>750</v>
      </c>
      <c r="Q140" s="1197" t="s">
        <v>751</v>
      </c>
      <c r="S140" s="1381" t="s">
        <v>898</v>
      </c>
      <c r="T140" s="855"/>
      <c r="U140" s="1538">
        <v>0.06</v>
      </c>
      <c r="V140" s="1377" t="s">
        <v>1236</v>
      </c>
      <c r="W140" s="839"/>
      <c r="X140" s="839"/>
      <c r="AA140" s="142"/>
      <c r="AB140" s="1194" t="s">
        <v>746</v>
      </c>
      <c r="AC140" s="1195" t="s">
        <v>747</v>
      </c>
      <c r="AD140" s="1196" t="s">
        <v>748</v>
      </c>
      <c r="AE140" s="1196" t="s">
        <v>749</v>
      </c>
      <c r="AF140" s="1196" t="s">
        <v>750</v>
      </c>
      <c r="AG140" s="1197" t="s">
        <v>751</v>
      </c>
      <c r="AI140" s="838"/>
      <c r="AK140" s="142"/>
      <c r="AL140" s="1194" t="s">
        <v>746</v>
      </c>
      <c r="AM140" s="1195" t="s">
        <v>747</v>
      </c>
      <c r="AN140" s="1196" t="s">
        <v>748</v>
      </c>
      <c r="AO140" s="1196" t="s">
        <v>749</v>
      </c>
      <c r="AP140" s="1196" t="s">
        <v>750</v>
      </c>
      <c r="AQ140" s="1197" t="s">
        <v>751</v>
      </c>
    </row>
    <row r="141" spans="1:45" s="585" customFormat="1" ht="16.2" thickBot="1">
      <c r="A141" s="1232" t="s">
        <v>832</v>
      </c>
      <c r="B141" s="1204" t="s">
        <v>607</v>
      </c>
      <c r="C141" s="1319">
        <f>ROUNDUP(I139/10,0)</f>
        <v>0</v>
      </c>
      <c r="D141" s="1206" t="s">
        <v>834</v>
      </c>
      <c r="E141" s="1207">
        <f>ROUNDUP(C141/8,0)+ROUNDUP(C141/4,0)</f>
        <v>0</v>
      </c>
      <c r="F141" s="1208">
        <f>E141*CoveRez</f>
        <v>0</v>
      </c>
      <c r="G141" s="1209"/>
      <c r="I141" s="838"/>
      <c r="K141" s="1271" t="s">
        <v>832</v>
      </c>
      <c r="L141" s="1315" t="s">
        <v>129</v>
      </c>
      <c r="M141" s="1214">
        <v>18</v>
      </c>
      <c r="N141" s="1215" t="s">
        <v>843</v>
      </c>
      <c r="O141" s="1216">
        <f>ROUNDUP(I139/M141,0)</f>
        <v>0</v>
      </c>
      <c r="P141" s="1316">
        <f>O141*WR</f>
        <v>0</v>
      </c>
      <c r="Q141" s="1317"/>
      <c r="S141" s="970" t="s">
        <v>666</v>
      </c>
      <c r="T141" s="1380">
        <f>B41+U139+U140</f>
        <v>0.06</v>
      </c>
      <c r="U141" s="1383" t="s">
        <v>903</v>
      </c>
      <c r="W141" s="1765" t="s">
        <v>1179</v>
      </c>
      <c r="X141" s="1819"/>
      <c r="Y141" s="1766"/>
      <c r="AA141" s="1232" t="s">
        <v>832</v>
      </c>
      <c r="AB141" s="1204" t="s">
        <v>607</v>
      </c>
      <c r="AC141" s="1319">
        <f>ROUNDUP(AI139/10,0)</f>
        <v>0</v>
      </c>
      <c r="AD141" s="1206" t="s">
        <v>834</v>
      </c>
      <c r="AE141" s="1207">
        <f>ROUNDUP(AC141/8,0)+ROUNDUP(AC141/4,0)</f>
        <v>0</v>
      </c>
      <c r="AF141" s="1208">
        <f>AE141*CoveRez</f>
        <v>0</v>
      </c>
      <c r="AG141" s="1209"/>
      <c r="AI141" s="838"/>
      <c r="AK141" s="1271" t="s">
        <v>832</v>
      </c>
      <c r="AL141" s="1315" t="s">
        <v>129</v>
      </c>
      <c r="AM141" s="1214">
        <v>18</v>
      </c>
      <c r="AN141" s="1215" t="s">
        <v>843</v>
      </c>
      <c r="AO141" s="1216">
        <f>ROUNDUP(AI139/AM141,0)</f>
        <v>0</v>
      </c>
      <c r="AP141" s="1316">
        <f>AO141*WR</f>
        <v>0</v>
      </c>
      <c r="AQ141" s="1317"/>
    </row>
    <row r="142" spans="1:45" s="585" customFormat="1" ht="16.2" thickBot="1">
      <c r="A142" s="1263" t="s">
        <v>831</v>
      </c>
      <c r="B142" s="1264" t="s">
        <v>806</v>
      </c>
      <c r="C142" s="1265">
        <v>25</v>
      </c>
      <c r="D142" s="1266" t="s">
        <v>833</v>
      </c>
      <c r="E142" s="1267">
        <f>CEILING(C141*C142,50)</f>
        <v>0</v>
      </c>
      <c r="F142" s="1321">
        <f>E142*(IF($A$22=$R$189,Q28_40s,IF($A$22=$R$190,Q28_40s,IF($A$22=$R$191,Q28_40s,Silica))))</f>
        <v>0</v>
      </c>
      <c r="G142" s="1320" t="s">
        <v>857</v>
      </c>
      <c r="H142" s="1324" t="s">
        <v>877</v>
      </c>
      <c r="I142" s="838"/>
      <c r="K142" s="1263" t="s">
        <v>835</v>
      </c>
      <c r="L142" s="1264" t="s">
        <v>842</v>
      </c>
      <c r="M142" s="1265">
        <v>1</v>
      </c>
      <c r="N142" s="1266" t="s">
        <v>837</v>
      </c>
      <c r="O142" s="1267">
        <f>CEILING(I139*M142,8)</f>
        <v>0</v>
      </c>
      <c r="P142" s="1268">
        <f>O142*ZincCoveCap</f>
        <v>0</v>
      </c>
      <c r="Q142" s="1318" t="s">
        <v>836</v>
      </c>
      <c r="S142" s="1373" t="s">
        <v>463</v>
      </c>
      <c r="T142" s="1374">
        <f>C41+U139+U140</f>
        <v>0.06</v>
      </c>
      <c r="U142" s="1383" t="s">
        <v>903</v>
      </c>
      <c r="X142" s="1820" t="s">
        <v>1180</v>
      </c>
      <c r="AA142" s="1263" t="s">
        <v>831</v>
      </c>
      <c r="AB142" s="1264" t="s">
        <v>806</v>
      </c>
      <c r="AC142" s="1265">
        <v>25</v>
      </c>
      <c r="AD142" s="1266" t="s">
        <v>833</v>
      </c>
      <c r="AE142" s="1267">
        <f>CEILING(AC141*AC142,50)</f>
        <v>0</v>
      </c>
      <c r="AF142" s="1321">
        <f>AE142*(IF($A$22=$R$189,Q28_40s,IF($A$22=$R$190,Q28_40s,IF($A$22=$R$191,Q28_40s,Silica))))</f>
        <v>0</v>
      </c>
      <c r="AG142" s="1320" t="s">
        <v>857</v>
      </c>
      <c r="AH142" s="1324" t="s">
        <v>877</v>
      </c>
      <c r="AI142" s="838"/>
      <c r="AK142" s="1263" t="s">
        <v>835</v>
      </c>
      <c r="AL142" s="1264" t="s">
        <v>842</v>
      </c>
      <c r="AM142" s="1265">
        <v>1</v>
      </c>
      <c r="AN142" s="1266" t="s">
        <v>837</v>
      </c>
      <c r="AO142" s="1267">
        <f>CEILING(AI139*AM142,8)</f>
        <v>0</v>
      </c>
      <c r="AP142" s="1268">
        <f>AO142*ZincCoveCap</f>
        <v>0</v>
      </c>
      <c r="AQ142" s="1318" t="s">
        <v>836</v>
      </c>
    </row>
    <row r="143" spans="1:45" s="585" customFormat="1" ht="16.2" thickBot="1">
      <c r="A143" s="1263" t="s">
        <v>835</v>
      </c>
      <c r="B143" s="1264" t="s">
        <v>842</v>
      </c>
      <c r="C143" s="1265">
        <v>1</v>
      </c>
      <c r="D143" s="1266" t="s">
        <v>837</v>
      </c>
      <c r="E143" s="1267">
        <f>CEILING(I139*C143,8)</f>
        <v>0</v>
      </c>
      <c r="F143" s="1268">
        <f>E143*ZincCoveCap</f>
        <v>0</v>
      </c>
      <c r="G143" s="1269" t="s">
        <v>836</v>
      </c>
      <c r="H143" s="1325">
        <f>SUM(F142:F143)</f>
        <v>0</v>
      </c>
      <c r="I143" s="838"/>
      <c r="L143" s="848"/>
      <c r="M143" s="827"/>
      <c r="U143" s="1808" t="s">
        <v>1229</v>
      </c>
      <c r="V143" s="1808"/>
      <c r="AA143" s="1263" t="s">
        <v>835</v>
      </c>
      <c r="AB143" s="1264" t="s">
        <v>842</v>
      </c>
      <c r="AC143" s="1265">
        <v>1</v>
      </c>
      <c r="AD143" s="1266" t="s">
        <v>837</v>
      </c>
      <c r="AE143" s="1267">
        <f>CEILING(AI139*AC143,8)</f>
        <v>0</v>
      </c>
      <c r="AF143" s="1268">
        <f>AE143*ZincCoveCap</f>
        <v>0</v>
      </c>
      <c r="AG143" s="1269" t="s">
        <v>836</v>
      </c>
      <c r="AH143" s="1325">
        <f>SUM(AF142:AF143)</f>
        <v>0</v>
      </c>
      <c r="AI143" s="838"/>
      <c r="AL143" s="848"/>
      <c r="AM143" s="827"/>
    </row>
    <row r="144" spans="1:45" s="585" customFormat="1" ht="16.2" thickBot="1">
      <c r="S144" s="1378" t="s">
        <v>737</v>
      </c>
      <c r="T144" s="1379" t="s">
        <v>902</v>
      </c>
      <c r="U144" s="1807" t="s">
        <v>899</v>
      </c>
      <c r="V144" s="1191" t="s">
        <v>1254</v>
      </c>
      <c r="W144" s="784"/>
      <c r="X144" s="1800" t="s">
        <v>1191</v>
      </c>
    </row>
    <row r="145" spans="1:43" s="585" customFormat="1" ht="16.2" thickBot="1">
      <c r="A145" s="1842" t="s">
        <v>853</v>
      </c>
      <c r="B145" s="1843"/>
      <c r="C145" s="1843"/>
      <c r="D145" s="1843"/>
      <c r="E145" s="1843"/>
      <c r="F145" s="1843"/>
      <c r="G145" s="1844"/>
      <c r="I145" s="1302">
        <f>$I$123</f>
        <v>0</v>
      </c>
      <c r="K145" s="1842" t="s">
        <v>851</v>
      </c>
      <c r="L145" s="1843"/>
      <c r="M145" s="1843"/>
      <c r="N145" s="1843"/>
      <c r="O145" s="1843"/>
      <c r="P145" s="1843"/>
      <c r="Q145" s="1844"/>
      <c r="S145" s="1192" t="s">
        <v>298</v>
      </c>
      <c r="T145" s="1724">
        <f>(U145*$T$141)+U145</f>
        <v>54.142256000000003</v>
      </c>
      <c r="U145" s="1803">
        <f>1276.94/25</f>
        <v>51.077600000000004</v>
      </c>
      <c r="V145" s="1192" t="s">
        <v>1181</v>
      </c>
      <c r="W145" s="1798">
        <f>0.44</f>
        <v>0.44</v>
      </c>
      <c r="X145" s="1800" t="s">
        <v>1188</v>
      </c>
      <c r="AA145" s="1842" t="s">
        <v>853</v>
      </c>
      <c r="AB145" s="1843"/>
      <c r="AC145" s="1843"/>
      <c r="AD145" s="1843"/>
      <c r="AE145" s="1843"/>
      <c r="AF145" s="1843"/>
      <c r="AG145" s="1844"/>
      <c r="AI145" s="1302">
        <f>$AI$123</f>
        <v>0</v>
      </c>
      <c r="AK145" s="1842" t="s">
        <v>851</v>
      </c>
      <c r="AL145" s="1843"/>
      <c r="AM145" s="1843"/>
      <c r="AN145" s="1843"/>
      <c r="AO145" s="1843"/>
      <c r="AP145" s="1843"/>
      <c r="AQ145" s="1844"/>
    </row>
    <row r="146" spans="1:43" s="585" customFormat="1" ht="16.05" customHeight="1" thickBot="1">
      <c r="A146" s="142"/>
      <c r="B146" s="1194" t="s">
        <v>746</v>
      </c>
      <c r="C146" s="1195" t="s">
        <v>747</v>
      </c>
      <c r="D146" s="1196" t="s">
        <v>748</v>
      </c>
      <c r="E146" s="1196" t="s">
        <v>749</v>
      </c>
      <c r="F146" s="1196" t="s">
        <v>750</v>
      </c>
      <c r="G146" s="1197" t="s">
        <v>751</v>
      </c>
      <c r="I146" s="850"/>
      <c r="K146" s="142"/>
      <c r="L146" s="1194" t="s">
        <v>746</v>
      </c>
      <c r="M146" s="1195" t="s">
        <v>747</v>
      </c>
      <c r="N146" s="1196" t="s">
        <v>748</v>
      </c>
      <c r="O146" s="1196" t="s">
        <v>749</v>
      </c>
      <c r="P146" s="1196" t="s">
        <v>750</v>
      </c>
      <c r="Q146" s="1197" t="s">
        <v>751</v>
      </c>
      <c r="S146" s="1192" t="s">
        <v>373</v>
      </c>
      <c r="T146" s="1724">
        <f>(U146*$T$141)+U146</f>
        <v>135.15141333333332</v>
      </c>
      <c r="U146" s="1803">
        <f>1912.52/15</f>
        <v>127.50133333333333</v>
      </c>
      <c r="V146" s="1749" t="s">
        <v>642</v>
      </c>
      <c r="W146" s="1750">
        <f>(2.18+0.07)*(100%+T139)</f>
        <v>2.25</v>
      </c>
      <c r="X146" s="1795">
        <f>(2.23+0.07)*(100%+T139)</f>
        <v>2.2999999999999998</v>
      </c>
      <c r="Y146" s="1837" t="s">
        <v>1253</v>
      </c>
      <c r="AA146" s="142"/>
      <c r="AB146" s="1194" t="s">
        <v>746</v>
      </c>
      <c r="AC146" s="1195" t="s">
        <v>747</v>
      </c>
      <c r="AD146" s="1196" t="s">
        <v>748</v>
      </c>
      <c r="AE146" s="1196" t="s">
        <v>749</v>
      </c>
      <c r="AF146" s="1196" t="s">
        <v>750</v>
      </c>
      <c r="AG146" s="1197" t="s">
        <v>751</v>
      </c>
      <c r="AI146" s="850"/>
      <c r="AK146" s="142"/>
      <c r="AL146" s="1194" t="s">
        <v>746</v>
      </c>
      <c r="AM146" s="1195" t="s">
        <v>747</v>
      </c>
      <c r="AN146" s="1196" t="s">
        <v>748</v>
      </c>
      <c r="AO146" s="1196" t="s">
        <v>749</v>
      </c>
      <c r="AP146" s="1196" t="s">
        <v>750</v>
      </c>
      <c r="AQ146" s="1197" t="s">
        <v>751</v>
      </c>
    </row>
    <row r="147" spans="1:43" s="585" customFormat="1" ht="16.2" thickBot="1">
      <c r="A147" s="1232" t="s">
        <v>832</v>
      </c>
      <c r="B147" s="1204" t="s">
        <v>607</v>
      </c>
      <c r="C147" s="1319">
        <f>ROUNDUP(I145/(21/2),0)</f>
        <v>0</v>
      </c>
      <c r="D147" s="1206" t="s">
        <v>834</v>
      </c>
      <c r="E147" s="1207">
        <f>ROUNDUP(C147/8,0)+ROUNDUP(C147/4,0)</f>
        <v>0</v>
      </c>
      <c r="F147" s="1208">
        <f>E147*CoveRez</f>
        <v>0</v>
      </c>
      <c r="G147" s="1209"/>
      <c r="I147" s="850"/>
      <c r="K147" s="1271" t="s">
        <v>832</v>
      </c>
      <c r="L147" s="1315" t="s">
        <v>129</v>
      </c>
      <c r="M147" s="1214">
        <f>35/2</f>
        <v>17.5</v>
      </c>
      <c r="N147" s="1215" t="s">
        <v>843</v>
      </c>
      <c r="O147" s="1216">
        <f>ROUNDUP(I145/M147,0)</f>
        <v>0</v>
      </c>
      <c r="P147" s="1316">
        <f>O147*WR</f>
        <v>0</v>
      </c>
      <c r="Q147" s="1317"/>
      <c r="S147" s="1192" t="s">
        <v>644</v>
      </c>
      <c r="T147" s="1725">
        <f>(U147*$T$141)+U147</f>
        <v>76.626693333333336</v>
      </c>
      <c r="U147" s="1803">
        <f>1084.34/15</f>
        <v>72.289333333333332</v>
      </c>
      <c r="V147" s="1751" t="s">
        <v>643</v>
      </c>
      <c r="W147" s="1752">
        <f>(2.28+0.07)*(100%+T139)</f>
        <v>2.3499999999999996</v>
      </c>
      <c r="X147" s="1796">
        <f>(2.33+0.07)*(100%+T139)</f>
        <v>2.4</v>
      </c>
      <c r="Y147" s="1838" t="str">
        <f>Y146</f>
        <v>Torginol 5/2026*</v>
      </c>
      <c r="AA147" s="1232" t="s">
        <v>832</v>
      </c>
      <c r="AB147" s="1204" t="s">
        <v>607</v>
      </c>
      <c r="AC147" s="1319">
        <f>ROUNDUP(AI145/(21/2),0)</f>
        <v>0</v>
      </c>
      <c r="AD147" s="1206" t="s">
        <v>834</v>
      </c>
      <c r="AE147" s="1207">
        <f>ROUNDUP(AC147/8,0)+ROUNDUP(AC147/4,0)</f>
        <v>0</v>
      </c>
      <c r="AF147" s="1208">
        <f>AE147*CoveRez</f>
        <v>0</v>
      </c>
      <c r="AG147" s="1209"/>
      <c r="AI147" s="850"/>
      <c r="AK147" s="1271" t="s">
        <v>832</v>
      </c>
      <c r="AL147" s="1315" t="s">
        <v>129</v>
      </c>
      <c r="AM147" s="1214">
        <f>35/2</f>
        <v>17.5</v>
      </c>
      <c r="AN147" s="1215" t="s">
        <v>843</v>
      </c>
      <c r="AO147" s="1216">
        <f>ROUNDUP(AI145/AM147,0)</f>
        <v>0</v>
      </c>
      <c r="AP147" s="1316">
        <f>AO147*WR</f>
        <v>0</v>
      </c>
      <c r="AQ147" s="1317"/>
    </row>
    <row r="148" spans="1:43" s="585" customFormat="1" ht="16.2" thickBot="1">
      <c r="A148" s="1263" t="s">
        <v>831</v>
      </c>
      <c r="B148" s="1264" t="s">
        <v>806</v>
      </c>
      <c r="C148" s="1265">
        <v>20</v>
      </c>
      <c r="D148" s="1266" t="s">
        <v>833</v>
      </c>
      <c r="E148" s="1267">
        <f>CEILING(C147*C148,50)</f>
        <v>0</v>
      </c>
      <c r="F148" s="1321">
        <f>E148*(IF($A$22=$R$189,Q28_40s,IF($A$22=$R$190,Q28_40s,IF($A$22=$R$191,Q28_40s,Silica))))</f>
        <v>0</v>
      </c>
      <c r="G148" s="1320" t="s">
        <v>857</v>
      </c>
      <c r="I148" s="838"/>
      <c r="L148" s="848"/>
      <c r="M148" s="827"/>
      <c r="S148" s="1192" t="s">
        <v>645</v>
      </c>
      <c r="T148" s="1371">
        <f>(U148*$T$141)+U148</f>
        <v>79.71129333333333</v>
      </c>
      <c r="U148" s="1803">
        <f>1127.99/15</f>
        <v>75.199333333333328</v>
      </c>
      <c r="V148" s="1751" t="s">
        <v>485</v>
      </c>
      <c r="W148" s="1752">
        <f>(0.42+0.05)*(100%+T139)</f>
        <v>0.47</v>
      </c>
      <c r="X148" s="1796">
        <f>(0.47+0.05)*(100%+T139)</f>
        <v>0.52</v>
      </c>
      <c r="Y148" s="1838" t="str">
        <f>Y146</f>
        <v>Torginol 5/2026*</v>
      </c>
      <c r="AA148" s="1263" t="s">
        <v>831</v>
      </c>
      <c r="AB148" s="1264" t="s">
        <v>806</v>
      </c>
      <c r="AC148" s="1265">
        <v>20</v>
      </c>
      <c r="AD148" s="1266" t="s">
        <v>833</v>
      </c>
      <c r="AE148" s="1267">
        <f>CEILING(AC147*AC148,50)</f>
        <v>0</v>
      </c>
      <c r="AF148" s="1321">
        <f>AE148*(IF($A$22=$R$189,Q28_40s,IF($A$22=$R$190,Q28_40s,IF($A$22=$R$191,Q28_40s,Silica))))</f>
        <v>0</v>
      </c>
      <c r="AG148" s="1320" t="s">
        <v>857</v>
      </c>
      <c r="AI148" s="838"/>
      <c r="AL148" s="848"/>
      <c r="AM148" s="827"/>
    </row>
    <row r="149" spans="1:43" s="585" customFormat="1" ht="16.2" thickBot="1">
      <c r="I149" s="850"/>
      <c r="L149" s="848"/>
      <c r="M149" s="827"/>
      <c r="S149" s="1192" t="s">
        <v>636</v>
      </c>
      <c r="T149" s="1724">
        <f t="shared" ref="T149:T165" si="58">(U149*$T$141)+U149</f>
        <v>81.435560000000009</v>
      </c>
      <c r="U149" s="1803">
        <f>1152.39/15</f>
        <v>76.826000000000008</v>
      </c>
      <c r="V149" s="1753" t="s">
        <v>608</v>
      </c>
      <c r="W149" s="1754">
        <f>(0.49+0.05)*(100%+T139)</f>
        <v>0.54</v>
      </c>
      <c r="X149" s="1797">
        <f>(0.54+0.05)*(100%+T139)</f>
        <v>0.59000000000000008</v>
      </c>
      <c r="Y149" s="1839" t="str">
        <f>Y146</f>
        <v>Torginol 5/2026*</v>
      </c>
      <c r="AI149" s="850"/>
      <c r="AL149" s="848"/>
      <c r="AM149" s="827"/>
    </row>
    <row r="150" spans="1:43" s="585" customFormat="1" ht="16.2" thickBot="1">
      <c r="A150" s="1842" t="s">
        <v>854</v>
      </c>
      <c r="B150" s="1843"/>
      <c r="C150" s="1843"/>
      <c r="D150" s="1843"/>
      <c r="E150" s="1843"/>
      <c r="F150" s="1843"/>
      <c r="G150" s="1844"/>
      <c r="I150" s="1302">
        <f>$I$123</f>
        <v>0</v>
      </c>
      <c r="K150" s="1842" t="s">
        <v>852</v>
      </c>
      <c r="L150" s="1843"/>
      <c r="M150" s="1843"/>
      <c r="N150" s="1843"/>
      <c r="O150" s="1843"/>
      <c r="P150" s="1843"/>
      <c r="Q150" s="1844"/>
      <c r="R150" s="1535" t="s">
        <v>1037</v>
      </c>
      <c r="S150" s="1535" t="s">
        <v>970</v>
      </c>
      <c r="T150" s="1724">
        <f t="shared" si="58"/>
        <v>82.660213333333346</v>
      </c>
      <c r="U150" s="1803">
        <f>1169.72/15</f>
        <v>77.981333333333339</v>
      </c>
      <c r="V150" s="1192" t="s">
        <v>858</v>
      </c>
      <c r="W150" s="1322">
        <f>0.75</f>
        <v>0.75</v>
      </c>
      <c r="Y150" s="1835" t="s">
        <v>1251</v>
      </c>
      <c r="AA150" s="1842" t="s">
        <v>854</v>
      </c>
      <c r="AB150" s="1843"/>
      <c r="AC150" s="1843"/>
      <c r="AD150" s="1843"/>
      <c r="AE150" s="1843"/>
      <c r="AF150" s="1843"/>
      <c r="AG150" s="1844"/>
      <c r="AI150" s="1302">
        <f>$AI$123</f>
        <v>0</v>
      </c>
      <c r="AK150" s="1842" t="s">
        <v>852</v>
      </c>
      <c r="AL150" s="1843"/>
      <c r="AM150" s="1843"/>
      <c r="AN150" s="1843"/>
      <c r="AO150" s="1843"/>
      <c r="AP150" s="1843"/>
      <c r="AQ150" s="1844"/>
    </row>
    <row r="151" spans="1:43" s="585" customFormat="1" ht="16.2" thickBot="1">
      <c r="A151" s="142"/>
      <c r="B151" s="1194" t="s">
        <v>746</v>
      </c>
      <c r="C151" s="1195" t="s">
        <v>747</v>
      </c>
      <c r="D151" s="1196" t="s">
        <v>748</v>
      </c>
      <c r="E151" s="1196" t="s">
        <v>749</v>
      </c>
      <c r="F151" s="1196" t="s">
        <v>750</v>
      </c>
      <c r="G151" s="1197" t="s">
        <v>751</v>
      </c>
      <c r="I151" s="850"/>
      <c r="K151" s="142"/>
      <c r="L151" s="1194" t="s">
        <v>746</v>
      </c>
      <c r="M151" s="1195" t="s">
        <v>747</v>
      </c>
      <c r="N151" s="1196" t="s">
        <v>748</v>
      </c>
      <c r="O151" s="1196" t="s">
        <v>749</v>
      </c>
      <c r="P151" s="1196" t="s">
        <v>750</v>
      </c>
      <c r="Q151" s="1197" t="s">
        <v>751</v>
      </c>
      <c r="S151" s="1192" t="s">
        <v>637</v>
      </c>
      <c r="T151" s="1724">
        <f t="shared" si="58"/>
        <v>85.382293333333337</v>
      </c>
      <c r="U151" s="1803">
        <f>1208.24/15</f>
        <v>80.549333333333337</v>
      </c>
      <c r="V151" s="1192" t="s">
        <v>956</v>
      </c>
      <c r="W151" s="1193">
        <f>0.3</f>
        <v>0.3</v>
      </c>
      <c r="AA151" s="142"/>
      <c r="AB151" s="1194" t="s">
        <v>746</v>
      </c>
      <c r="AC151" s="1195" t="s">
        <v>747</v>
      </c>
      <c r="AD151" s="1196" t="s">
        <v>748</v>
      </c>
      <c r="AE151" s="1196" t="s">
        <v>749</v>
      </c>
      <c r="AF151" s="1196" t="s">
        <v>750</v>
      </c>
      <c r="AG151" s="1197" t="s">
        <v>751</v>
      </c>
      <c r="AI151" s="850"/>
      <c r="AK151" s="142"/>
      <c r="AL151" s="1194" t="s">
        <v>746</v>
      </c>
      <c r="AM151" s="1195" t="s">
        <v>747</v>
      </c>
      <c r="AN151" s="1196" t="s">
        <v>748</v>
      </c>
      <c r="AO151" s="1196" t="s">
        <v>749</v>
      </c>
      <c r="AP151" s="1196" t="s">
        <v>750</v>
      </c>
      <c r="AQ151" s="1197" t="s">
        <v>751</v>
      </c>
    </row>
    <row r="152" spans="1:43" s="585" customFormat="1" ht="16.2" thickBot="1">
      <c r="A152" s="1232" t="s">
        <v>832</v>
      </c>
      <c r="B152" s="1204" t="s">
        <v>607</v>
      </c>
      <c r="C152" s="1319">
        <f>ROUNDUP(I150/(13/2),0)</f>
        <v>0</v>
      </c>
      <c r="D152" s="1206" t="s">
        <v>834</v>
      </c>
      <c r="E152" s="1207">
        <f>ROUNDUP(C152/8,0)+ROUNDUP(C152/4,0)</f>
        <v>0</v>
      </c>
      <c r="F152" s="1208">
        <f>E152*CoveRez</f>
        <v>0</v>
      </c>
      <c r="G152" s="1209"/>
      <c r="I152" s="850"/>
      <c r="J152" s="853"/>
      <c r="K152" s="1271" t="s">
        <v>832</v>
      </c>
      <c r="L152" s="1315" t="s">
        <v>129</v>
      </c>
      <c r="M152" s="1214">
        <f>26/2</f>
        <v>13</v>
      </c>
      <c r="N152" s="1215" t="s">
        <v>843</v>
      </c>
      <c r="O152" s="1216">
        <f>ROUNDUP(I150/M152,0)</f>
        <v>0</v>
      </c>
      <c r="P152" s="1316">
        <f>O152*WR</f>
        <v>0</v>
      </c>
      <c r="Q152" s="1317"/>
      <c r="S152" s="1192" t="s">
        <v>607</v>
      </c>
      <c r="T152" s="1724">
        <f t="shared" si="58"/>
        <v>88.830826666666667</v>
      </c>
      <c r="U152" s="1803">
        <f>1257.04/15</f>
        <v>83.802666666666667</v>
      </c>
      <c r="W152" s="1834" t="s">
        <v>1243</v>
      </c>
      <c r="X152" s="1763" t="s">
        <v>1171</v>
      </c>
      <c r="Y152" s="1763" t="s">
        <v>1242</v>
      </c>
      <c r="AA152" s="1232" t="s">
        <v>832</v>
      </c>
      <c r="AB152" s="1204" t="s">
        <v>607</v>
      </c>
      <c r="AC152" s="1319">
        <f>ROUNDUP(AI150/(13/2),0)</f>
        <v>0</v>
      </c>
      <c r="AD152" s="1206" t="s">
        <v>834</v>
      </c>
      <c r="AE152" s="1207">
        <f>ROUNDUP(AC152/8,0)+ROUNDUP(AC152/4,0)</f>
        <v>0</v>
      </c>
      <c r="AF152" s="1208">
        <f>AE152*CoveRez</f>
        <v>0</v>
      </c>
      <c r="AG152" s="1209"/>
      <c r="AI152" s="850"/>
      <c r="AJ152" s="853"/>
      <c r="AK152" s="1271" t="s">
        <v>832</v>
      </c>
      <c r="AL152" s="1315" t="s">
        <v>129</v>
      </c>
      <c r="AM152" s="1214">
        <f>26/2</f>
        <v>13</v>
      </c>
      <c r="AN152" s="1215" t="s">
        <v>843</v>
      </c>
      <c r="AO152" s="1216">
        <f>ROUNDUP(AI150/AM152,0)</f>
        <v>0</v>
      </c>
      <c r="AP152" s="1316">
        <f>AO152*WR</f>
        <v>0</v>
      </c>
      <c r="AQ152" s="1317"/>
    </row>
    <row r="153" spans="1:43" s="585" customFormat="1" ht="16.2" thickBot="1">
      <c r="A153" s="1263" t="s">
        <v>831</v>
      </c>
      <c r="B153" s="1264" t="s">
        <v>806</v>
      </c>
      <c r="C153" s="1265">
        <v>21</v>
      </c>
      <c r="D153" s="1266" t="s">
        <v>833</v>
      </c>
      <c r="E153" s="1267">
        <f>CEILING(C152*C153,50)</f>
        <v>0</v>
      </c>
      <c r="F153" s="1321">
        <f>E153*(IF($A$22=$R$189,Q28_40s,IF($A$22=$R$190,Q28_40s,IF($A$22=$R$191,Q28_40s,Silica))))</f>
        <v>0</v>
      </c>
      <c r="G153" s="1320" t="s">
        <v>857</v>
      </c>
      <c r="H153" s="1324" t="s">
        <v>877</v>
      </c>
      <c r="I153" s="838"/>
      <c r="K153" s="1263" t="s">
        <v>835</v>
      </c>
      <c r="L153" s="1264" t="s">
        <v>842</v>
      </c>
      <c r="M153" s="1265">
        <v>1</v>
      </c>
      <c r="N153" s="1266" t="s">
        <v>837</v>
      </c>
      <c r="O153" s="1267">
        <f>CEILING(I150*M153,8)</f>
        <v>0</v>
      </c>
      <c r="P153" s="1268">
        <f>O153*ZincCoveCap</f>
        <v>0</v>
      </c>
      <c r="Q153" s="1318" t="s">
        <v>836</v>
      </c>
      <c r="S153" s="1743" t="s">
        <v>484</v>
      </c>
      <c r="T153" s="1744">
        <f>IF($D$41=$V$136,W153,((U153*$T$141)+U153))</f>
        <v>79.757226666666682</v>
      </c>
      <c r="U153" s="1803">
        <f>1128.64/15</f>
        <v>75.242666666666679</v>
      </c>
      <c r="V153" s="1745" t="s">
        <v>1168</v>
      </c>
      <c r="W153" s="1746">
        <f>Y153*(100%+T141)</f>
        <v>61.67567600000001</v>
      </c>
      <c r="X153" s="1762">
        <f>W153-((U153*$U$140)+U153)</f>
        <v>-18.081550666666672</v>
      </c>
      <c r="Y153" s="1764">
        <f>((2909.23)/50)</f>
        <v>58.184600000000003</v>
      </c>
      <c r="AA153" s="1263" t="s">
        <v>831</v>
      </c>
      <c r="AB153" s="1264" t="s">
        <v>806</v>
      </c>
      <c r="AC153" s="1265">
        <v>21</v>
      </c>
      <c r="AD153" s="1266" t="s">
        <v>833</v>
      </c>
      <c r="AE153" s="1267">
        <f>CEILING(AC152*AC153,50)</f>
        <v>0</v>
      </c>
      <c r="AF153" s="1321">
        <f>AE153*(IF($A$22=$R$189,Q28_40s,IF($A$22=$R$190,Q28_40s,IF($A$22=$R$191,Q28_40s,Silica))))</f>
        <v>0</v>
      </c>
      <c r="AG153" s="1320" t="s">
        <v>857</v>
      </c>
      <c r="AH153" s="1324" t="s">
        <v>877</v>
      </c>
      <c r="AI153" s="838"/>
      <c r="AK153" s="1263" t="s">
        <v>835</v>
      </c>
      <c r="AL153" s="1264" t="s">
        <v>842</v>
      </c>
      <c r="AM153" s="1265">
        <v>1</v>
      </c>
      <c r="AN153" s="1266" t="s">
        <v>837</v>
      </c>
      <c r="AO153" s="1267">
        <f>CEILING(AI150*AM153,8)</f>
        <v>0</v>
      </c>
      <c r="AP153" s="1268">
        <f>AO153*ZincCoveCap</f>
        <v>0</v>
      </c>
      <c r="AQ153" s="1318" t="s">
        <v>836</v>
      </c>
    </row>
    <row r="154" spans="1:43" s="585" customFormat="1" ht="16.2" thickBot="1">
      <c r="A154" s="1263" t="s">
        <v>835</v>
      </c>
      <c r="B154" s="1264" t="s">
        <v>842</v>
      </c>
      <c r="C154" s="1265">
        <v>1</v>
      </c>
      <c r="D154" s="1266" t="s">
        <v>837</v>
      </c>
      <c r="E154" s="1267">
        <f>CEILING(I150*C154,8)</f>
        <v>0</v>
      </c>
      <c r="F154" s="1268">
        <f>E154*ZincCoveCap</f>
        <v>0</v>
      </c>
      <c r="G154" s="1269" t="s">
        <v>836</v>
      </c>
      <c r="H154" s="1325">
        <f>SUM(F153:F154)</f>
        <v>0</v>
      </c>
      <c r="I154" s="850"/>
      <c r="L154" s="848"/>
      <c r="M154" s="827"/>
      <c r="S154" s="1192" t="s">
        <v>1149</v>
      </c>
      <c r="T154" s="1724">
        <f t="shared" si="58"/>
        <v>81.480786666666674</v>
      </c>
      <c r="U154" s="1803">
        <f>1153.03/15</f>
        <v>76.86866666666667</v>
      </c>
      <c r="W154" s="585">
        <f>2909.23*2</f>
        <v>5818.46</v>
      </c>
      <c r="X154" s="1504"/>
      <c r="AA154" s="1263" t="s">
        <v>835</v>
      </c>
      <c r="AB154" s="1264" t="s">
        <v>842</v>
      </c>
      <c r="AC154" s="1265">
        <v>1</v>
      </c>
      <c r="AD154" s="1266" t="s">
        <v>837</v>
      </c>
      <c r="AE154" s="1267">
        <f>CEILING(AI150*AC154,8)</f>
        <v>0</v>
      </c>
      <c r="AF154" s="1268">
        <f>AE154*ZincCoveCap</f>
        <v>0</v>
      </c>
      <c r="AG154" s="1269" t="s">
        <v>836</v>
      </c>
      <c r="AH154" s="1325">
        <f>SUM(AF153:AF154)</f>
        <v>0</v>
      </c>
      <c r="AI154" s="850"/>
      <c r="AL154" s="848"/>
      <c r="AM154" s="827"/>
    </row>
    <row r="155" spans="1:43" s="585" customFormat="1">
      <c r="I155" s="850"/>
      <c r="L155" s="848"/>
      <c r="M155" s="827"/>
      <c r="R155" s="847"/>
      <c r="S155" s="1192" t="s">
        <v>1151</v>
      </c>
      <c r="T155" s="1724">
        <f t="shared" si="58"/>
        <v>150.16808</v>
      </c>
      <c r="U155" s="1803">
        <f>2125.02/15</f>
        <v>141.66800000000001</v>
      </c>
      <c r="V155" s="1722" t="s">
        <v>1150</v>
      </c>
    </row>
    <row r="156" spans="1:43" s="585" customFormat="1">
      <c r="I156" s="850"/>
      <c r="L156" s="848"/>
      <c r="M156" s="827"/>
      <c r="R156" s="847"/>
      <c r="S156" s="633" t="s">
        <v>1152</v>
      </c>
      <c r="T156" s="1725">
        <f t="shared" si="58"/>
        <v>150.16808</v>
      </c>
      <c r="U156" s="1803">
        <f>2125.02/15</f>
        <v>141.66800000000001</v>
      </c>
      <c r="V156" s="1722" t="s">
        <v>1150</v>
      </c>
      <c r="AI156" s="850"/>
      <c r="AL156" s="848"/>
      <c r="AM156" s="827"/>
    </row>
    <row r="157" spans="1:43" s="585" customFormat="1" ht="16.2" thickBot="1">
      <c r="I157" s="850"/>
      <c r="L157" s="848"/>
      <c r="M157" s="827"/>
      <c r="S157" s="633" t="s">
        <v>638</v>
      </c>
      <c r="T157" s="1725">
        <f t="shared" si="58"/>
        <v>84.384479999999996</v>
      </c>
      <c r="U157" s="1803">
        <f>1194.12/15</f>
        <v>79.60799999999999</v>
      </c>
      <c r="W157" s="1834" t="s">
        <v>1243</v>
      </c>
      <c r="X157" s="1763" t="s">
        <v>1171</v>
      </c>
      <c r="Y157" s="1763" t="s">
        <v>1242</v>
      </c>
      <c r="AI157" s="850"/>
      <c r="AL157" s="848"/>
      <c r="AM157" s="827"/>
    </row>
    <row r="158" spans="1:43" s="585" customFormat="1" ht="21">
      <c r="I158" s="1305" t="s">
        <v>849</v>
      </c>
      <c r="L158" s="848"/>
      <c r="M158" s="827"/>
      <c r="R158" s="1740"/>
      <c r="S158" s="1792" t="s">
        <v>738</v>
      </c>
      <c r="T158" s="1737">
        <f>IF($D$41=$V$136,W158,((U158*$T$141)+U158))</f>
        <v>382.44800000000004</v>
      </c>
      <c r="U158" s="1803">
        <f>360.8</f>
        <v>360.8</v>
      </c>
      <c r="V158" s="1733" t="s">
        <v>1169</v>
      </c>
      <c r="W158" s="1770">
        <f>Y158*(100%+T141)</f>
        <v>324.83699999999999</v>
      </c>
      <c r="X158" s="1762">
        <f>W158-((U158*$U$140)+U158)</f>
        <v>-57.611000000000047</v>
      </c>
      <c r="Y158" s="1831">
        <v>306.45</v>
      </c>
      <c r="AI158" s="1306" t="s">
        <v>850</v>
      </c>
      <c r="AL158" s="848"/>
      <c r="AM158" s="827"/>
    </row>
    <row r="159" spans="1:43" s="585" customFormat="1" ht="21.6" thickBot="1">
      <c r="A159" s="1848" t="s">
        <v>744</v>
      </c>
      <c r="B159" s="1849"/>
      <c r="C159" s="1849"/>
      <c r="D159" s="1849"/>
      <c r="E159" s="1849"/>
      <c r="F159" s="1849"/>
      <c r="G159" s="1849"/>
      <c r="I159" s="1231" t="s">
        <v>226</v>
      </c>
      <c r="K159" s="1855" t="s">
        <v>1155</v>
      </c>
      <c r="L159" s="1855"/>
      <c r="M159" s="1855"/>
      <c r="N159" s="1855"/>
      <c r="O159" s="1855"/>
      <c r="P159" s="1855"/>
      <c r="R159" s="1741"/>
      <c r="S159" s="1119" t="s">
        <v>739</v>
      </c>
      <c r="T159" s="1738">
        <f>IF($D$41=$V$136,W159,((U159*$T$141)+U159))</f>
        <v>297.38300000000004</v>
      </c>
      <c r="U159" s="1803">
        <f>280.55</f>
        <v>280.55</v>
      </c>
      <c r="V159" s="1734" t="s">
        <v>1169</v>
      </c>
      <c r="W159" s="1735">
        <f>Y159*(100%+T141)</f>
        <v>253.03260000000003</v>
      </c>
      <c r="X159" s="1762">
        <f>W159-((U159*$U$140)+U159)</f>
        <v>-44.350400000000008</v>
      </c>
      <c r="Y159" s="1832">
        <v>238.71</v>
      </c>
      <c r="AA159" s="1849" t="s">
        <v>744</v>
      </c>
      <c r="AB159" s="1849"/>
      <c r="AC159" s="1849"/>
      <c r="AD159" s="1849"/>
      <c r="AE159" s="1849"/>
      <c r="AF159" s="1849"/>
      <c r="AG159" s="1849"/>
      <c r="AI159" s="1304" t="s">
        <v>226</v>
      </c>
      <c r="AL159" s="848"/>
      <c r="AM159" s="827"/>
    </row>
    <row r="160" spans="1:43" s="585" customFormat="1" ht="16.2" thickBot="1">
      <c r="A160" s="1842" t="s">
        <v>745</v>
      </c>
      <c r="B160" s="1843"/>
      <c r="C160" s="1843"/>
      <c r="D160" s="1843"/>
      <c r="E160" s="1843"/>
      <c r="F160" s="1843"/>
      <c r="G160" s="1844"/>
      <c r="I160" s="1302">
        <f>E20</f>
        <v>0</v>
      </c>
      <c r="L160" s="848"/>
      <c r="M160" s="827"/>
      <c r="R160" s="1741"/>
      <c r="S160" s="1119" t="s">
        <v>1174</v>
      </c>
      <c r="T160" s="1738">
        <f>IF($D$41=$V$136,W160,((U160*$T$141)+U160))</f>
        <v>426.68179999999995</v>
      </c>
      <c r="U160" s="1803">
        <f>402.53</f>
        <v>402.53</v>
      </c>
      <c r="V160" s="1734" t="s">
        <v>1169</v>
      </c>
      <c r="W160" s="1735">
        <f>Y160*(100%+T141)</f>
        <v>364.73539999999997</v>
      </c>
      <c r="X160" s="1762">
        <f>W160-((U160*$U$140)+U160)</f>
        <v>-61.946399999999983</v>
      </c>
      <c r="Y160" s="1832">
        <v>344.09</v>
      </c>
      <c r="AA160" s="1842" t="s">
        <v>745</v>
      </c>
      <c r="AB160" s="1843"/>
      <c r="AC160" s="1843"/>
      <c r="AD160" s="1843"/>
      <c r="AE160" s="1843"/>
      <c r="AF160" s="1843"/>
      <c r="AG160" s="1844"/>
      <c r="AI160" s="1301">
        <f>E24</f>
        <v>0</v>
      </c>
      <c r="AL160" s="848"/>
      <c r="AM160" s="827"/>
    </row>
    <row r="161" spans="1:42" s="585" customFormat="1" ht="16.2" thickBot="1">
      <c r="A161" s="142"/>
      <c r="B161" s="1194" t="s">
        <v>744</v>
      </c>
      <c r="C161" s="1195" t="s">
        <v>747</v>
      </c>
      <c r="D161" s="1196" t="s">
        <v>748</v>
      </c>
      <c r="E161" s="1196" t="s">
        <v>749</v>
      </c>
      <c r="F161" s="1196" t="s">
        <v>750</v>
      </c>
      <c r="G161" s="1197" t="s">
        <v>751</v>
      </c>
      <c r="I161" s="1218"/>
      <c r="L161" s="848"/>
      <c r="M161" s="827"/>
      <c r="R161" s="1742"/>
      <c r="S161" s="1791" t="s">
        <v>1175</v>
      </c>
      <c r="T161" s="1739">
        <f>IF($D$41=$V$136,W161,((U161*$T$141)+U161))</f>
        <v>341.63800000000003</v>
      </c>
      <c r="U161" s="1803">
        <f>322.3</f>
        <v>322.3</v>
      </c>
      <c r="V161" s="1736" t="s">
        <v>1169</v>
      </c>
      <c r="W161" s="1771">
        <f>Y161*(100%+T141)</f>
        <v>292.92039999999997</v>
      </c>
      <c r="X161" s="1762">
        <f>W161-((U161*$U$140)+U161)</f>
        <v>-48.717600000000061</v>
      </c>
      <c r="Y161" s="1833">
        <v>276.33999999999997</v>
      </c>
      <c r="AA161" s="142"/>
      <c r="AB161" s="1194" t="s">
        <v>744</v>
      </c>
      <c r="AC161" s="1195" t="s">
        <v>747</v>
      </c>
      <c r="AD161" s="1196" t="s">
        <v>748</v>
      </c>
      <c r="AE161" s="1196" t="s">
        <v>749</v>
      </c>
      <c r="AF161" s="1196" t="s">
        <v>750</v>
      </c>
      <c r="AG161" s="1197" t="s">
        <v>751</v>
      </c>
      <c r="AI161" s="1218"/>
      <c r="AL161" s="848"/>
      <c r="AM161" s="827"/>
    </row>
    <row r="162" spans="1:42" s="585" customFormat="1" ht="16.2" thickBot="1">
      <c r="A162" s="1860" t="s">
        <v>752</v>
      </c>
      <c r="B162" s="1204" t="s">
        <v>771</v>
      </c>
      <c r="C162" s="1205">
        <v>134</v>
      </c>
      <c r="D162" s="1206" t="s">
        <v>753</v>
      </c>
      <c r="E162" s="1207">
        <f>ROUNDUP(I160/C162,0)</f>
        <v>0</v>
      </c>
      <c r="F162" s="1241">
        <f>E162*MVP</f>
        <v>0</v>
      </c>
      <c r="G162" s="1237" t="s">
        <v>770</v>
      </c>
      <c r="H162" s="1243">
        <f>(12/1600)*I160</f>
        <v>0</v>
      </c>
      <c r="I162" s="1218"/>
      <c r="L162" s="848"/>
      <c r="M162" s="827"/>
      <c r="S162" s="1756" t="s">
        <v>374</v>
      </c>
      <c r="T162" s="1744">
        <f t="shared" ref="T162" si="59">IF($D$41=$V$136,W162,((U162*$T$142)+U162))</f>
        <v>118.4126</v>
      </c>
      <c r="U162" s="1803">
        <f>111.71</f>
        <v>111.71</v>
      </c>
      <c r="V162" s="1375" t="s">
        <v>463</v>
      </c>
      <c r="W162" s="1764">
        <f>Y162*(100%+T142)</f>
        <v>107.59</v>
      </c>
      <c r="X162" s="1757">
        <f>90.86*(100%+T142)</f>
        <v>96.311599999999999</v>
      </c>
      <c r="Y162" s="1764">
        <v>101.5</v>
      </c>
      <c r="AA162" s="1860" t="s">
        <v>752</v>
      </c>
      <c r="AB162" s="1204" t="s">
        <v>771</v>
      </c>
      <c r="AC162" s="1205">
        <v>134</v>
      </c>
      <c r="AD162" s="1206" t="s">
        <v>753</v>
      </c>
      <c r="AE162" s="1207">
        <f>ROUNDUP(AI160/AC162,0)</f>
        <v>0</v>
      </c>
      <c r="AF162" s="1241">
        <f>AE162*MVP</f>
        <v>0</v>
      </c>
      <c r="AG162" s="1237" t="s">
        <v>770</v>
      </c>
      <c r="AH162" s="1243">
        <f>(12/1600)*AI160</f>
        <v>0</v>
      </c>
      <c r="AI162" s="1218"/>
      <c r="AL162" s="848"/>
      <c r="AM162" s="827"/>
    </row>
    <row r="163" spans="1:42" s="585" customFormat="1" ht="16.2" thickBot="1">
      <c r="A163" s="1861"/>
      <c r="B163" s="1210" t="s">
        <v>298</v>
      </c>
      <c r="C163" s="1211">
        <v>200</v>
      </c>
      <c r="D163" s="1212" t="s">
        <v>753</v>
      </c>
      <c r="E163" s="1213">
        <f>ROUNDUP(I160/C163,0)</f>
        <v>0</v>
      </c>
      <c r="F163" s="1242">
        <f>E163*WB</f>
        <v>0</v>
      </c>
      <c r="G163" s="1238"/>
      <c r="I163" s="1218"/>
      <c r="L163" s="848"/>
      <c r="M163" s="827"/>
      <c r="S163" s="1755" t="s">
        <v>483</v>
      </c>
      <c r="T163" s="1372">
        <f>(U163*$T$142)+U163</f>
        <v>134.74719999999999</v>
      </c>
      <c r="U163" s="1803">
        <f>127.12</f>
        <v>127.12</v>
      </c>
      <c r="V163" s="1375" t="s">
        <v>463</v>
      </c>
      <c r="W163" s="1759">
        <f>Y163*(100%+T142)</f>
        <v>122.5254</v>
      </c>
      <c r="X163" s="1758">
        <f>102.19*(100%+T142)</f>
        <v>108.3214</v>
      </c>
      <c r="Y163" s="1759">
        <v>115.59</v>
      </c>
      <c r="AA163" s="1861"/>
      <c r="AB163" s="1210" t="s">
        <v>298</v>
      </c>
      <c r="AC163" s="1211">
        <v>200</v>
      </c>
      <c r="AD163" s="1212" t="s">
        <v>753</v>
      </c>
      <c r="AE163" s="1213">
        <f>ROUNDUP(AI160/AC163,0)</f>
        <v>0</v>
      </c>
      <c r="AF163" s="1242">
        <f>AE163*WB</f>
        <v>0</v>
      </c>
      <c r="AG163" s="1238"/>
      <c r="AI163" s="1218"/>
      <c r="AL163" s="848"/>
      <c r="AM163" s="827"/>
    </row>
    <row r="164" spans="1:42" s="585" customFormat="1" ht="16.2" thickBot="1">
      <c r="A164" s="1861"/>
      <c r="B164" s="1217" t="s">
        <v>754</v>
      </c>
      <c r="C164" s="1214">
        <v>115</v>
      </c>
      <c r="D164" s="1215" t="s">
        <v>755</v>
      </c>
      <c r="E164" s="1216">
        <f>ROUNDUP(I160/C164,0)</f>
        <v>0</v>
      </c>
      <c r="F164" s="1241">
        <f>E164*Accelera_ClearEXT</f>
        <v>0</v>
      </c>
      <c r="G164" s="1239" t="s">
        <v>820</v>
      </c>
      <c r="I164" s="1218"/>
      <c r="L164" s="848"/>
      <c r="M164" s="827"/>
      <c r="S164" s="1192" t="s">
        <v>639</v>
      </c>
      <c r="T164" s="1724">
        <f t="shared" si="58"/>
        <v>305.55559999999997</v>
      </c>
      <c r="U164" s="1803">
        <f>288.26</f>
        <v>288.26</v>
      </c>
      <c r="W164" s="1732" t="s">
        <v>1167</v>
      </c>
      <c r="X164" s="1760" t="s">
        <v>1166</v>
      </c>
      <c r="Y164" s="1732" t="s">
        <v>1167</v>
      </c>
      <c r="AA164" s="1861"/>
      <c r="AB164" s="1303" t="s">
        <v>754</v>
      </c>
      <c r="AC164" s="1214">
        <v>115</v>
      </c>
      <c r="AD164" s="1215" t="s">
        <v>755</v>
      </c>
      <c r="AE164" s="1216">
        <f>ROUNDUP(AI160/AC164,0)</f>
        <v>0</v>
      </c>
      <c r="AF164" s="1241">
        <f>AE164*Accelera_ClearEXT</f>
        <v>0</v>
      </c>
      <c r="AG164" s="1239" t="s">
        <v>820</v>
      </c>
      <c r="AI164" s="1218"/>
      <c r="AL164" s="848"/>
      <c r="AM164" s="827"/>
    </row>
    <row r="165" spans="1:42" s="585" customFormat="1" ht="16.2" thickBot="1">
      <c r="A165" s="1863"/>
      <c r="B165" s="1210" t="s">
        <v>765</v>
      </c>
      <c r="C165" s="1211">
        <v>100</v>
      </c>
      <c r="D165" s="1212" t="s">
        <v>760</v>
      </c>
      <c r="E165" s="1213">
        <f>ROUNDUP(I160/C165,0)</f>
        <v>0</v>
      </c>
      <c r="F165" s="1240">
        <f>E165*TF_Reg</f>
        <v>0</v>
      </c>
      <c r="G165" s="1282" t="s">
        <v>766</v>
      </c>
      <c r="I165" s="1218"/>
      <c r="L165" s="848"/>
      <c r="M165" s="827"/>
      <c r="S165" s="1192" t="s">
        <v>640</v>
      </c>
      <c r="T165" s="1724">
        <f t="shared" si="58"/>
        <v>61.925200000000004</v>
      </c>
      <c r="U165" s="1803">
        <f>58.42</f>
        <v>58.42</v>
      </c>
      <c r="X165" s="1761" t="s">
        <v>1170</v>
      </c>
      <c r="AA165" s="1861"/>
      <c r="AB165" s="1484" t="s">
        <v>765</v>
      </c>
      <c r="AC165" s="1485">
        <v>100</v>
      </c>
      <c r="AD165" s="1486" t="s">
        <v>760</v>
      </c>
      <c r="AE165" s="1487">
        <f>ROUNDUP(AI160/AC165,0)</f>
        <v>0</v>
      </c>
      <c r="AF165" s="1488">
        <f>AE165*TF_Reg</f>
        <v>0</v>
      </c>
      <c r="AG165" s="1489" t="s">
        <v>766</v>
      </c>
      <c r="AI165" s="1218"/>
      <c r="AL165" s="848"/>
      <c r="AM165" s="827"/>
    </row>
    <row r="166" spans="1:42" s="585" customFormat="1" ht="16.2" thickBot="1">
      <c r="A166" s="1515"/>
      <c r="B166"/>
      <c r="C166" s="296"/>
      <c r="D166"/>
      <c r="E166" s="1516"/>
      <c r="F166" s="1517"/>
      <c r="G166" s="397"/>
      <c r="I166" s="1218"/>
      <c r="L166" s="848"/>
      <c r="M166" s="827"/>
      <c r="S166" s="633" t="s">
        <v>641</v>
      </c>
      <c r="T166" s="1725">
        <f>(U166*$T$141)+U166</f>
        <v>220.4906</v>
      </c>
      <c r="U166" s="1803">
        <f>208.01</f>
        <v>208.01</v>
      </c>
      <c r="AA166" s="1505" t="s">
        <v>962</v>
      </c>
      <c r="AB166" s="1490" t="s">
        <v>957</v>
      </c>
      <c r="AC166" s="1491">
        <v>275</v>
      </c>
      <c r="AD166" s="1492" t="s">
        <v>753</v>
      </c>
      <c r="AE166" s="1493">
        <f>ROUNDUP(AI160/AC166,0)</f>
        <v>0</v>
      </c>
      <c r="AF166" s="1494">
        <f>AE166*HP_Gripper_Primer</f>
        <v>0</v>
      </c>
      <c r="AG166" s="1495" t="s">
        <v>961</v>
      </c>
      <c r="AI166" s="1218"/>
      <c r="AL166" s="848"/>
      <c r="AM166" s="827"/>
    </row>
    <row r="167" spans="1:42" s="585" customFormat="1" ht="16.2" thickBot="1">
      <c r="A167" s="1515"/>
      <c r="B167"/>
      <c r="C167" s="296"/>
      <c r="D167"/>
      <c r="E167" s="1516"/>
      <c r="F167" s="1517"/>
      <c r="G167" s="397"/>
      <c r="I167" s="1218"/>
      <c r="L167" s="848"/>
      <c r="M167" s="827"/>
      <c r="S167" s="1755" t="s">
        <v>129</v>
      </c>
      <c r="T167" s="1372">
        <f>(U167*$T$142)+U167</f>
        <v>66.6952</v>
      </c>
      <c r="U167" s="1803">
        <f>62.92</f>
        <v>62.92</v>
      </c>
      <c r="V167" s="1375" t="s">
        <v>463</v>
      </c>
      <c r="AA167" s="1506" t="s">
        <v>752</v>
      </c>
      <c r="AB167" s="1496" t="s">
        <v>1001</v>
      </c>
      <c r="AC167" s="1497">
        <v>175</v>
      </c>
      <c r="AD167" s="1498" t="s">
        <v>753</v>
      </c>
      <c r="AE167" s="1499">
        <f>(CEILING(AI160/AC167,5))/5</f>
        <v>0</v>
      </c>
      <c r="AF167" s="1500">
        <f>AE167*HP_Block_Filler_Primer</f>
        <v>0</v>
      </c>
      <c r="AG167" s="1501" t="s">
        <v>1000</v>
      </c>
      <c r="AI167" s="1218"/>
      <c r="AL167" s="848"/>
      <c r="AM167" s="827"/>
    </row>
    <row r="168" spans="1:42" s="585" customFormat="1">
      <c r="I168" s="1218"/>
      <c r="L168" s="848"/>
      <c r="M168" s="827"/>
      <c r="S168" s="1192" t="s">
        <v>740</v>
      </c>
      <c r="T168" s="1724">
        <f>(U168*$T$141)+U168</f>
        <v>124.5394</v>
      </c>
      <c r="U168" s="1803">
        <f>117.49</f>
        <v>117.49</v>
      </c>
      <c r="V168" s="590" t="s">
        <v>741</v>
      </c>
      <c r="AI168" s="1218"/>
      <c r="AL168" s="848"/>
      <c r="AM168" s="827"/>
    </row>
    <row r="169" spans="1:42" s="585" customFormat="1">
      <c r="I169" s="1218"/>
      <c r="L169" s="848"/>
      <c r="M169" s="827"/>
      <c r="S169" s="1192" t="s">
        <v>742</v>
      </c>
      <c r="T169" s="1724">
        <f>(U169*$T$141)+U169</f>
        <v>146.99019999999999</v>
      </c>
      <c r="U169" s="1803">
        <f>138.67</f>
        <v>138.66999999999999</v>
      </c>
      <c r="V169" s="590" t="s">
        <v>741</v>
      </c>
      <c r="AI169" s="1218"/>
      <c r="AL169" s="848"/>
      <c r="AM169" s="827"/>
    </row>
    <row r="170" spans="1:42" s="585" customFormat="1" ht="21.6" thickBot="1">
      <c r="A170" s="1868" t="s">
        <v>798</v>
      </c>
      <c r="B170" s="1856"/>
      <c r="C170" s="1856"/>
      <c r="D170" s="1856"/>
      <c r="E170" s="1856"/>
      <c r="F170" s="1856"/>
      <c r="G170" s="1856"/>
      <c r="I170" s="1218"/>
      <c r="K170" s="1857" t="s">
        <v>798</v>
      </c>
      <c r="L170" s="1857"/>
      <c r="M170" s="1857"/>
      <c r="N170" s="1857"/>
      <c r="O170" s="1857"/>
      <c r="P170" s="1857"/>
      <c r="S170" s="633" t="s">
        <v>743</v>
      </c>
      <c r="T170" s="1725">
        <f>(U170*$T$141)+U170</f>
        <v>129.2988</v>
      </c>
      <c r="U170" s="1803">
        <f>121.98</f>
        <v>121.98</v>
      </c>
      <c r="V170" s="590" t="s">
        <v>741</v>
      </c>
      <c r="AA170" s="1856" t="s">
        <v>798</v>
      </c>
      <c r="AB170" s="1856"/>
      <c r="AC170" s="1856"/>
      <c r="AD170" s="1856"/>
      <c r="AE170" s="1856"/>
      <c r="AF170" s="1856"/>
      <c r="AG170" s="1856"/>
      <c r="AI170" s="1218"/>
      <c r="AK170" s="1857" t="s">
        <v>798</v>
      </c>
      <c r="AL170" s="1857"/>
      <c r="AM170" s="1857"/>
      <c r="AN170" s="1857"/>
      <c r="AO170" s="1857"/>
      <c r="AP170" s="1857"/>
    </row>
    <row r="171" spans="1:42" s="585" customFormat="1" ht="16.2" thickBot="1">
      <c r="A171" s="1842" t="s">
        <v>804</v>
      </c>
      <c r="B171" s="1843"/>
      <c r="C171" s="1843"/>
      <c r="D171" s="1843"/>
      <c r="E171" s="1843"/>
      <c r="F171" s="1843"/>
      <c r="G171" s="1844"/>
      <c r="I171" s="1302">
        <f>$I$160</f>
        <v>0</v>
      </c>
      <c r="K171" s="1845" t="s">
        <v>804</v>
      </c>
      <c r="L171" s="1846"/>
      <c r="M171" s="1846"/>
      <c r="N171" s="1846"/>
      <c r="O171" s="1846"/>
      <c r="P171" s="1847"/>
      <c r="AA171" s="1842" t="s">
        <v>804</v>
      </c>
      <c r="AB171" s="1843"/>
      <c r="AC171" s="1843"/>
      <c r="AD171" s="1843"/>
      <c r="AE171" s="1843"/>
      <c r="AF171" s="1843"/>
      <c r="AG171" s="1844"/>
      <c r="AI171" s="1302">
        <f>$AI$160</f>
        <v>0</v>
      </c>
      <c r="AK171" s="1845" t="s">
        <v>804</v>
      </c>
      <c r="AL171" s="1846"/>
      <c r="AM171" s="1846"/>
      <c r="AN171" s="1846"/>
      <c r="AO171" s="1846"/>
      <c r="AP171" s="1847"/>
    </row>
    <row r="172" spans="1:42" s="585" customFormat="1" ht="16.2" thickBot="1">
      <c r="A172" s="142"/>
      <c r="B172" s="1194" t="s">
        <v>746</v>
      </c>
      <c r="C172" s="1195" t="s">
        <v>747</v>
      </c>
      <c r="D172" s="1196" t="s">
        <v>748</v>
      </c>
      <c r="E172" s="1196" t="s">
        <v>749</v>
      </c>
      <c r="F172" s="1196" t="s">
        <v>750</v>
      </c>
      <c r="G172" s="1197" t="s">
        <v>751</v>
      </c>
      <c r="I172" s="1218"/>
      <c r="K172" s="1274" t="s">
        <v>805</v>
      </c>
      <c r="L172" s="1276" t="s">
        <v>746</v>
      </c>
      <c r="M172" s="1277" t="s">
        <v>747</v>
      </c>
      <c r="N172" s="1275" t="s">
        <v>748</v>
      </c>
      <c r="O172" s="1275" t="s">
        <v>749</v>
      </c>
      <c r="P172" s="1197" t="s">
        <v>750</v>
      </c>
      <c r="S172" s="1483" t="s">
        <v>955</v>
      </c>
      <c r="T172" s="1482"/>
      <c r="U172" s="784"/>
      <c r="V172" s="784"/>
      <c r="AA172" s="142"/>
      <c r="AB172" s="1194" t="s">
        <v>746</v>
      </c>
      <c r="AC172" s="1195" t="s">
        <v>747</v>
      </c>
      <c r="AD172" s="1196" t="s">
        <v>748</v>
      </c>
      <c r="AE172" s="1196" t="s">
        <v>749</v>
      </c>
      <c r="AF172" s="1196" t="s">
        <v>750</v>
      </c>
      <c r="AG172" s="1197" t="s">
        <v>751</v>
      </c>
      <c r="AI172" s="1218"/>
      <c r="AK172" s="1274" t="s">
        <v>805</v>
      </c>
      <c r="AL172" s="1276" t="s">
        <v>746</v>
      </c>
      <c r="AM172" s="1277" t="s">
        <v>747</v>
      </c>
      <c r="AN172" s="1275" t="s">
        <v>748</v>
      </c>
      <c r="AO172" s="1275" t="s">
        <v>749</v>
      </c>
      <c r="AP172" s="1197" t="s">
        <v>750</v>
      </c>
    </row>
    <row r="173" spans="1:42" s="585" customFormat="1" ht="16.2" thickBot="1">
      <c r="A173" s="1232" t="s">
        <v>768</v>
      </c>
      <c r="B173" s="1204" t="s">
        <v>767</v>
      </c>
      <c r="C173" s="1205">
        <v>55</v>
      </c>
      <c r="D173" s="1206" t="s">
        <v>760</v>
      </c>
      <c r="E173" s="1207">
        <f>ROUNDUP(I171/C173,0)</f>
        <v>0</v>
      </c>
      <c r="F173" s="1208">
        <f>E173*SL</f>
        <v>0</v>
      </c>
      <c r="G173" s="1209"/>
      <c r="I173" s="1218"/>
      <c r="K173" s="1271" t="s">
        <v>808</v>
      </c>
      <c r="L173" s="1214" t="s">
        <v>806</v>
      </c>
      <c r="M173" s="1214">
        <v>0.75</v>
      </c>
      <c r="N173" s="1215" t="s">
        <v>807</v>
      </c>
      <c r="O173" s="1273">
        <f>CEILING(I171*M173,50)</f>
        <v>0</v>
      </c>
      <c r="P173" s="1272">
        <f>O173*Silica</f>
        <v>0</v>
      </c>
      <c r="S173" s="1192" t="s">
        <v>1161</v>
      </c>
      <c r="T173" s="1811">
        <f>(U173*$T$141)+U173</f>
        <v>70.263689999999997</v>
      </c>
      <c r="U173" s="1814">
        <f>61.95+(61.95*W173)</f>
        <v>66.286500000000004</v>
      </c>
      <c r="V173" s="1815" t="s">
        <v>1222</v>
      </c>
      <c r="W173" s="1810">
        <v>7.0000000000000007E-2</v>
      </c>
      <c r="X173" s="1812" t="s">
        <v>1218</v>
      </c>
      <c r="AA173" s="1232" t="s">
        <v>768</v>
      </c>
      <c r="AB173" s="1204" t="s">
        <v>767</v>
      </c>
      <c r="AC173" s="1205">
        <v>55</v>
      </c>
      <c r="AD173" s="1206" t="s">
        <v>760</v>
      </c>
      <c r="AE173" s="1207">
        <f>ROUNDUP(AI171/AC173,0)</f>
        <v>0</v>
      </c>
      <c r="AF173" s="1208">
        <f>AE173*SL</f>
        <v>0</v>
      </c>
      <c r="AG173" s="1209"/>
      <c r="AI173" s="1218"/>
      <c r="AK173" s="1271" t="s">
        <v>808</v>
      </c>
      <c r="AL173" s="1214" t="s">
        <v>806</v>
      </c>
      <c r="AM173" s="1214">
        <v>0.75</v>
      </c>
      <c r="AN173" s="1215" t="s">
        <v>807</v>
      </c>
      <c r="AO173" s="1273">
        <f>CEILING(AI171*AM173,50)</f>
        <v>0</v>
      </c>
      <c r="AP173" s="1272">
        <f>AO173*Silica</f>
        <v>0</v>
      </c>
    </row>
    <row r="174" spans="1:42" s="585" customFormat="1" ht="16.2" thickBot="1">
      <c r="A174" s="1263" t="s">
        <v>761</v>
      </c>
      <c r="B174" s="1264" t="s">
        <v>799</v>
      </c>
      <c r="C174" s="1265">
        <v>200</v>
      </c>
      <c r="D174" s="1266" t="s">
        <v>755</v>
      </c>
      <c r="E174" s="1267">
        <f>ROUNDUP(I171/C174,0)</f>
        <v>0</v>
      </c>
      <c r="F174" s="1268">
        <f>E174*ColorFast</f>
        <v>0</v>
      </c>
      <c r="G174" s="1269"/>
      <c r="I174" s="1218"/>
      <c r="L174" s="848"/>
      <c r="M174" s="827"/>
      <c r="O174" s="1279" t="s">
        <v>819</v>
      </c>
      <c r="P174" s="1280">
        <f>SUM(P173)</f>
        <v>0</v>
      </c>
      <c r="S174" s="1192" t="s">
        <v>1162</v>
      </c>
      <c r="T174" s="1811">
        <f>(U174*$T$141)+U174</f>
        <v>96.406999999999996</v>
      </c>
      <c r="U174" s="1814">
        <f>85+(85*W174)</f>
        <v>90.95</v>
      </c>
      <c r="V174" s="590" t="s">
        <v>960</v>
      </c>
      <c r="W174" s="1810">
        <v>7.0000000000000007E-2</v>
      </c>
      <c r="X174" s="1813" t="s">
        <v>1219</v>
      </c>
      <c r="AA174" s="1263" t="s">
        <v>761</v>
      </c>
      <c r="AB174" s="1264" t="s">
        <v>799</v>
      </c>
      <c r="AC174" s="1265">
        <v>200</v>
      </c>
      <c r="AD174" s="1266" t="s">
        <v>755</v>
      </c>
      <c r="AE174" s="1267">
        <f>ROUNDUP(AI171/AC174,0)</f>
        <v>0</v>
      </c>
      <c r="AF174" s="1268">
        <f>AE174*ColorFast</f>
        <v>0</v>
      </c>
      <c r="AG174" s="1269"/>
      <c r="AI174" s="1218"/>
      <c r="AL174" s="848"/>
      <c r="AM174" s="827"/>
      <c r="AO174" s="1279" t="s">
        <v>819</v>
      </c>
      <c r="AP174" s="1280">
        <f>SUM(AP173)</f>
        <v>0</v>
      </c>
    </row>
    <row r="175" spans="1:42" s="585" customFormat="1" ht="16.2" thickBot="1">
      <c r="F175" s="1235">
        <f>SUM(F173:F174)</f>
        <v>0</v>
      </c>
      <c r="G175" s="1236" t="s">
        <v>769</v>
      </c>
      <c r="I175" s="1218"/>
      <c r="L175" s="848"/>
      <c r="M175" s="827"/>
      <c r="S175" s="1192" t="s">
        <v>959</v>
      </c>
      <c r="T175" s="1726">
        <f t="shared" ref="T175:T176" si="60">(U175*$T$141)+U175</f>
        <v>233.42260000000002</v>
      </c>
      <c r="U175" s="1803">
        <f>220.21</f>
        <v>220.21</v>
      </c>
      <c r="V175" s="590" t="s">
        <v>1153</v>
      </c>
      <c r="X175" s="1812" t="s">
        <v>1220</v>
      </c>
      <c r="AF175" s="1235">
        <f>SUM(AF173:AF174)</f>
        <v>0</v>
      </c>
      <c r="AG175" s="1236" t="s">
        <v>769</v>
      </c>
      <c r="AI175" s="1218"/>
      <c r="AL175" s="848"/>
      <c r="AM175" s="827"/>
    </row>
    <row r="176" spans="1:42" s="585" customFormat="1" ht="16.2" thickBot="1">
      <c r="I176" s="1218"/>
      <c r="L176" s="848"/>
      <c r="M176" s="827"/>
      <c r="S176" s="1192" t="s">
        <v>958</v>
      </c>
      <c r="T176" s="1726">
        <f t="shared" si="60"/>
        <v>198.70760000000001</v>
      </c>
      <c r="U176" s="1803">
        <f>187.46</f>
        <v>187.46</v>
      </c>
      <c r="V176" s="590" t="s">
        <v>1154</v>
      </c>
      <c r="X176" s="1813" t="s">
        <v>1221</v>
      </c>
      <c r="AI176" s="1218"/>
      <c r="AL176" s="848"/>
      <c r="AM176" s="827"/>
    </row>
    <row r="177" spans="1:45" s="585" customFormat="1" ht="16.2" thickBot="1">
      <c r="A177" s="1842" t="s">
        <v>800</v>
      </c>
      <c r="B177" s="1843"/>
      <c r="C177" s="1843"/>
      <c r="D177" s="1843"/>
      <c r="E177" s="1843"/>
      <c r="F177" s="1843"/>
      <c r="G177" s="1844"/>
      <c r="I177" s="1302">
        <f>$I$160</f>
        <v>0</v>
      </c>
      <c r="K177" s="1845" t="s">
        <v>800</v>
      </c>
      <c r="L177" s="1846"/>
      <c r="M177" s="1846"/>
      <c r="N177" s="1846"/>
      <c r="O177" s="1846"/>
      <c r="P177" s="1847"/>
      <c r="S177" s="633"/>
      <c r="T177" s="852"/>
      <c r="AA177" s="1842" t="s">
        <v>800</v>
      </c>
      <c r="AB177" s="1843"/>
      <c r="AC177" s="1843"/>
      <c r="AD177" s="1843"/>
      <c r="AE177" s="1843"/>
      <c r="AF177" s="1843"/>
      <c r="AG177" s="1844"/>
      <c r="AI177" s="1302">
        <f>$AI$160</f>
        <v>0</v>
      </c>
      <c r="AK177" s="1845" t="s">
        <v>800</v>
      </c>
      <c r="AL177" s="1846"/>
      <c r="AM177" s="1846"/>
      <c r="AN177" s="1846"/>
      <c r="AO177" s="1846"/>
      <c r="AP177" s="1847"/>
    </row>
    <row r="178" spans="1:45" s="585" customFormat="1" ht="16.2" thickBot="1">
      <c r="A178" s="142"/>
      <c r="B178" s="1194" t="s">
        <v>746</v>
      </c>
      <c r="C178" s="1195" t="s">
        <v>747</v>
      </c>
      <c r="D178" s="1196" t="s">
        <v>748</v>
      </c>
      <c r="E178" s="1196" t="s">
        <v>749</v>
      </c>
      <c r="F178" s="1196" t="s">
        <v>750</v>
      </c>
      <c r="G178" s="1197" t="s">
        <v>751</v>
      </c>
      <c r="I178" s="1218"/>
      <c r="K178" s="1274" t="s">
        <v>805</v>
      </c>
      <c r="L178" s="1276" t="s">
        <v>746</v>
      </c>
      <c r="M178" s="1277" t="s">
        <v>747</v>
      </c>
      <c r="N178" s="1275" t="s">
        <v>748</v>
      </c>
      <c r="O178" s="1275" t="s">
        <v>749</v>
      </c>
      <c r="P178" s="1197" t="s">
        <v>750</v>
      </c>
      <c r="S178" s="1723" t="s">
        <v>1216</v>
      </c>
      <c r="T178" s="1725">
        <f>(U178*$T$141)+U178</f>
        <v>153.11699999999999</v>
      </c>
      <c r="U178" s="1809">
        <f>2166.75/15</f>
        <v>144.44999999999999</v>
      </c>
      <c r="V178" s="590" t="s">
        <v>1200</v>
      </c>
      <c r="W178" s="590" t="s">
        <v>1217</v>
      </c>
      <c r="AA178" s="142"/>
      <c r="AB178" s="1194" t="s">
        <v>746</v>
      </c>
      <c r="AC178" s="1195" t="s">
        <v>747</v>
      </c>
      <c r="AD178" s="1196" t="s">
        <v>748</v>
      </c>
      <c r="AE178" s="1196" t="s">
        <v>749</v>
      </c>
      <c r="AF178" s="1196" t="s">
        <v>750</v>
      </c>
      <c r="AG178" s="1197" t="s">
        <v>751</v>
      </c>
      <c r="AI178" s="1218"/>
      <c r="AK178" s="1274" t="s">
        <v>805</v>
      </c>
      <c r="AL178" s="1276" t="s">
        <v>746</v>
      </c>
      <c r="AM178" s="1277" t="s">
        <v>747</v>
      </c>
      <c r="AN178" s="1275" t="s">
        <v>748</v>
      </c>
      <c r="AO178" s="1275" t="s">
        <v>749</v>
      </c>
      <c r="AP178" s="1197" t="s">
        <v>750</v>
      </c>
    </row>
    <row r="179" spans="1:45" s="585" customFormat="1" ht="16.2" thickBot="1">
      <c r="A179" s="1232" t="s">
        <v>768</v>
      </c>
      <c r="B179" s="1204" t="s">
        <v>767</v>
      </c>
      <c r="C179" s="1205">
        <v>55</v>
      </c>
      <c r="D179" s="1206" t="s">
        <v>760</v>
      </c>
      <c r="E179" s="1207">
        <f>ROUNDUP(I177/C179,0)</f>
        <v>0</v>
      </c>
      <c r="F179" s="1208">
        <f>E179*SL</f>
        <v>0</v>
      </c>
      <c r="G179" s="1209"/>
      <c r="I179" s="1218"/>
      <c r="K179" s="1271" t="s">
        <v>808</v>
      </c>
      <c r="L179" s="1214" t="s">
        <v>806</v>
      </c>
      <c r="M179" s="1214">
        <v>0.75</v>
      </c>
      <c r="N179" s="1215" t="s">
        <v>807</v>
      </c>
      <c r="O179" s="1273">
        <f>CEILING(I177*M179,50)</f>
        <v>0</v>
      </c>
      <c r="P179" s="1272">
        <f>O179*Silica</f>
        <v>0</v>
      </c>
      <c r="S179" s="633"/>
      <c r="T179" s="1725">
        <f>(U179*$T$141)+U179</f>
        <v>0</v>
      </c>
      <c r="U179" s="1809">
        <v>0</v>
      </c>
      <c r="V179" s="590"/>
      <c r="AA179" s="1232" t="s">
        <v>768</v>
      </c>
      <c r="AB179" s="1204" t="s">
        <v>767</v>
      </c>
      <c r="AC179" s="1205">
        <v>55</v>
      </c>
      <c r="AD179" s="1206" t="s">
        <v>760</v>
      </c>
      <c r="AE179" s="1207">
        <f>ROUNDUP(AI177/AC179,0)</f>
        <v>0</v>
      </c>
      <c r="AF179" s="1208">
        <f>AE179*SL</f>
        <v>0</v>
      </c>
      <c r="AG179" s="1209"/>
      <c r="AI179" s="1218"/>
      <c r="AK179" s="1271" t="s">
        <v>808</v>
      </c>
      <c r="AL179" s="1214" t="s">
        <v>806</v>
      </c>
      <c r="AM179" s="1214">
        <v>0.75</v>
      </c>
      <c r="AN179" s="1215" t="s">
        <v>807</v>
      </c>
      <c r="AO179" s="1273">
        <f>CEILING(AI177*AM179,50)</f>
        <v>0</v>
      </c>
      <c r="AP179" s="1272">
        <f>AO179*Silica</f>
        <v>0</v>
      </c>
    </row>
    <row r="180" spans="1:45" s="585" customFormat="1" ht="16.2" thickBot="1">
      <c r="A180" s="1252" t="s">
        <v>757</v>
      </c>
      <c r="B180" s="1253" t="s">
        <v>609</v>
      </c>
      <c r="C180" s="1254">
        <v>100</v>
      </c>
      <c r="D180" s="1255" t="s">
        <v>753</v>
      </c>
      <c r="E180" s="1256">
        <f>ROUNDUP(I177/C180,0)</f>
        <v>0</v>
      </c>
      <c r="F180" s="1257">
        <f>E180*ShopFloor</f>
        <v>0</v>
      </c>
      <c r="G180" s="1258"/>
      <c r="I180" s="1218"/>
      <c r="L180" s="848"/>
      <c r="M180" s="827"/>
      <c r="O180" s="1279" t="s">
        <v>819</v>
      </c>
      <c r="P180" s="1280">
        <f>SUM(P179)</f>
        <v>0</v>
      </c>
      <c r="R180" s="1307" t="s">
        <v>826</v>
      </c>
      <c r="S180" s="633"/>
      <c r="T180" s="852"/>
      <c r="AA180" s="1252" t="s">
        <v>757</v>
      </c>
      <c r="AB180" s="1253" t="s">
        <v>609</v>
      </c>
      <c r="AC180" s="1254">
        <v>100</v>
      </c>
      <c r="AD180" s="1255" t="s">
        <v>753</v>
      </c>
      <c r="AE180" s="1256">
        <f>ROUNDUP(AI177/AC180,0)</f>
        <v>0</v>
      </c>
      <c r="AF180" s="1257">
        <f>AE180*ShopFloor</f>
        <v>0</v>
      </c>
      <c r="AG180" s="1258"/>
      <c r="AI180" s="1218"/>
      <c r="AL180" s="848"/>
      <c r="AM180" s="827"/>
      <c r="AO180" s="1279" t="s">
        <v>819</v>
      </c>
      <c r="AP180" s="1280">
        <f>SUM(AP179)</f>
        <v>0</v>
      </c>
      <c r="AR180" s="857" t="s">
        <v>1004</v>
      </c>
      <c r="AS180" s="840"/>
    </row>
    <row r="181" spans="1:45" s="585" customFormat="1" ht="16.2" thickBot="1">
      <c r="A181" s="1219" t="s">
        <v>761</v>
      </c>
      <c r="B181" s="1220" t="s">
        <v>789</v>
      </c>
      <c r="C181" s="1221">
        <v>850</v>
      </c>
      <c r="D181" s="1222" t="s">
        <v>760</v>
      </c>
      <c r="E181" s="1223">
        <f>ROUNDUP(I177/C181,0)</f>
        <v>0</v>
      </c>
      <c r="F181" s="1224">
        <f>E181*AT_Pgmt_Satin_w_Grit</f>
        <v>0</v>
      </c>
      <c r="G181" s="1225"/>
      <c r="I181" s="1218"/>
      <c r="L181" s="848"/>
      <c r="M181" s="827"/>
      <c r="R181" s="585" t="str">
        <f>A171</f>
        <v>3/16" Urethne Cement With Color Fast (SLB)</v>
      </c>
      <c r="S181" s="633"/>
      <c r="T181" s="852"/>
      <c r="V181" s="1806" t="s">
        <v>1192</v>
      </c>
      <c r="AA181" s="1219" t="s">
        <v>761</v>
      </c>
      <c r="AB181" s="1220" t="s">
        <v>789</v>
      </c>
      <c r="AC181" s="1221">
        <v>850</v>
      </c>
      <c r="AD181" s="1222" t="s">
        <v>760</v>
      </c>
      <c r="AE181" s="1223">
        <f>ROUNDUP(AI177/AC181,0)</f>
        <v>0</v>
      </c>
      <c r="AF181" s="1224">
        <f>AE181*AT_Pgmt_Satin_w_Grit</f>
        <v>0</v>
      </c>
      <c r="AG181" s="1225"/>
      <c r="AI181" s="1218"/>
      <c r="AL181" s="848"/>
      <c r="AM181" s="827"/>
      <c r="AR181" s="585" t="str">
        <f>AA171</f>
        <v>3/16" Urethne Cement With Color Fast (SLB)</v>
      </c>
    </row>
    <row r="182" spans="1:45" s="585" customFormat="1" ht="16.2" thickBot="1">
      <c r="F182" s="1235">
        <f>SUM(F179:F181)</f>
        <v>0</v>
      </c>
      <c r="G182" s="1236" t="s">
        <v>769</v>
      </c>
      <c r="I182" s="1218"/>
      <c r="L182" s="848"/>
      <c r="M182" s="827"/>
      <c r="R182" s="585" t="str">
        <f>A177</f>
        <v>3/16" Urethne Cement With Shop Floor and Armor Top</v>
      </c>
      <c r="S182" s="633"/>
      <c r="T182" s="852"/>
      <c r="V182" s="633" t="s">
        <v>1193</v>
      </c>
      <c r="W182" s="1504">
        <v>67.41</v>
      </c>
      <c r="X182" s="585" t="s">
        <v>1196</v>
      </c>
      <c r="AF182" s="1235">
        <f>SUM(AF179:AF181)</f>
        <v>0</v>
      </c>
      <c r="AG182" s="1236" t="s">
        <v>769</v>
      </c>
      <c r="AI182" s="1218"/>
      <c r="AL182" s="848"/>
      <c r="AM182" s="827"/>
      <c r="AR182" s="585" t="str">
        <f>AA177</f>
        <v>3/16" Urethne Cement With Shop Floor and Armor Top</v>
      </c>
    </row>
    <row r="183" spans="1:45" s="585" customFormat="1" ht="16.2" thickBot="1">
      <c r="I183" s="1218"/>
      <c r="L183" s="848"/>
      <c r="M183" s="827"/>
      <c r="R183" s="585" t="str">
        <f>A184</f>
        <v>1/4" Urethne Cement With Color Fast (MDB)</v>
      </c>
      <c r="S183" s="633"/>
      <c r="T183" s="852"/>
      <c r="V183" s="1823" t="s">
        <v>1193</v>
      </c>
      <c r="W183" s="1504">
        <v>132.25</v>
      </c>
      <c r="X183" s="585" t="s">
        <v>1197</v>
      </c>
      <c r="AI183" s="1218"/>
      <c r="AL183" s="848"/>
      <c r="AM183" s="827"/>
      <c r="AR183" s="585" t="str">
        <f>AA184</f>
        <v>1/4" Urethne Cement With Color Fast (MDB)</v>
      </c>
    </row>
    <row r="184" spans="1:45" s="585" customFormat="1" ht="16.2" thickBot="1">
      <c r="A184" s="1842" t="s">
        <v>803</v>
      </c>
      <c r="B184" s="1843"/>
      <c r="C184" s="1843"/>
      <c r="D184" s="1843"/>
      <c r="E184" s="1843"/>
      <c r="F184" s="1843"/>
      <c r="G184" s="1844"/>
      <c r="I184" s="1302">
        <f>$I$160</f>
        <v>0</v>
      </c>
      <c r="K184" s="1845" t="s">
        <v>803</v>
      </c>
      <c r="L184" s="1846"/>
      <c r="M184" s="1846"/>
      <c r="N184" s="1846"/>
      <c r="O184" s="1846"/>
      <c r="P184" s="1847"/>
      <c r="R184" s="585" t="str">
        <f>A192</f>
        <v>MACRO Flake Single Broadcast</v>
      </c>
      <c r="S184" s="633"/>
      <c r="T184" s="852"/>
      <c r="V184" s="1823" t="s">
        <v>1193</v>
      </c>
      <c r="W184" s="1504">
        <v>470.59</v>
      </c>
      <c r="X184" s="1805" t="s">
        <v>1198</v>
      </c>
      <c r="AA184" s="1842" t="s">
        <v>803</v>
      </c>
      <c r="AB184" s="1843"/>
      <c r="AC184" s="1843"/>
      <c r="AD184" s="1843"/>
      <c r="AE184" s="1843"/>
      <c r="AF184" s="1843"/>
      <c r="AG184" s="1844"/>
      <c r="AI184" s="1302">
        <f>$AI$160</f>
        <v>0</v>
      </c>
      <c r="AK184" s="1845" t="s">
        <v>803</v>
      </c>
      <c r="AL184" s="1846"/>
      <c r="AM184" s="1846"/>
      <c r="AN184" s="1846"/>
      <c r="AO184" s="1846"/>
      <c r="AP184" s="1847"/>
      <c r="AR184" s="585" t="str">
        <f>AA192</f>
        <v>MACRO Flake Single Broadcast</v>
      </c>
    </row>
    <row r="185" spans="1:45" s="585" customFormat="1" ht="16.2" thickBot="1">
      <c r="A185" s="142"/>
      <c r="B185" s="1194" t="s">
        <v>746</v>
      </c>
      <c r="C185" s="1195" t="s">
        <v>747</v>
      </c>
      <c r="D185" s="1196" t="s">
        <v>748</v>
      </c>
      <c r="E185" s="1196" t="s">
        <v>749</v>
      </c>
      <c r="F185" s="1196" t="s">
        <v>750</v>
      </c>
      <c r="G185" s="1197" t="s">
        <v>751</v>
      </c>
      <c r="I185" s="1218"/>
      <c r="K185" s="1274" t="s">
        <v>805</v>
      </c>
      <c r="L185" s="1276" t="s">
        <v>746</v>
      </c>
      <c r="M185" s="1277" t="s">
        <v>747</v>
      </c>
      <c r="N185" s="1275" t="s">
        <v>748</v>
      </c>
      <c r="O185" s="1275" t="s">
        <v>749</v>
      </c>
      <c r="P185" s="1197" t="s">
        <v>750</v>
      </c>
      <c r="R185" s="585" t="str">
        <f>A199</f>
        <v>micro Flake Double Broadcast</v>
      </c>
      <c r="S185" s="633"/>
      <c r="T185" s="852"/>
      <c r="V185" s="1823" t="s">
        <v>1193</v>
      </c>
      <c r="W185" s="1504">
        <v>2325.9699999999998</v>
      </c>
      <c r="X185" s="1805" t="s">
        <v>1199</v>
      </c>
      <c r="AA185" s="142"/>
      <c r="AB185" s="1194" t="s">
        <v>746</v>
      </c>
      <c r="AC185" s="1195" t="s">
        <v>747</v>
      </c>
      <c r="AD185" s="1196" t="s">
        <v>748</v>
      </c>
      <c r="AE185" s="1196" t="s">
        <v>749</v>
      </c>
      <c r="AF185" s="1196" t="s">
        <v>750</v>
      </c>
      <c r="AG185" s="1197" t="s">
        <v>751</v>
      </c>
      <c r="AI185" s="1218"/>
      <c r="AK185" s="1274" t="s">
        <v>805</v>
      </c>
      <c r="AL185" s="1276" t="s">
        <v>746</v>
      </c>
      <c r="AM185" s="1277" t="s">
        <v>747</v>
      </c>
      <c r="AN185" s="1275" t="s">
        <v>748</v>
      </c>
      <c r="AO185" s="1275" t="s">
        <v>749</v>
      </c>
      <c r="AP185" s="1197" t="s">
        <v>750</v>
      </c>
      <c r="AR185" s="585" t="str">
        <f>AA199</f>
        <v>micro Flake Double Broadcast</v>
      </c>
    </row>
    <row r="186" spans="1:45" s="585" customFormat="1" ht="16.2" thickBot="1">
      <c r="A186" s="1232" t="s">
        <v>768</v>
      </c>
      <c r="B186" s="1204" t="s">
        <v>801</v>
      </c>
      <c r="C186" s="1205">
        <v>32</v>
      </c>
      <c r="D186" s="1206" t="s">
        <v>760</v>
      </c>
      <c r="E186" s="1207">
        <f>ROUNDUP(I184/C186,0)</f>
        <v>0</v>
      </c>
      <c r="F186" s="1208">
        <f>E186*MD</f>
        <v>0</v>
      </c>
      <c r="G186" s="1270" t="s">
        <v>802</v>
      </c>
      <c r="I186" s="1218"/>
      <c r="K186" s="1271" t="s">
        <v>809</v>
      </c>
      <c r="L186" s="1214" t="s">
        <v>806</v>
      </c>
      <c r="M186" s="1278">
        <v>1</v>
      </c>
      <c r="N186" s="1215" t="s">
        <v>807</v>
      </c>
      <c r="O186" s="1273">
        <f>CEILING(I184*M186,50)</f>
        <v>0</v>
      </c>
      <c r="P186" s="1272">
        <f>O186*Silica</f>
        <v>0</v>
      </c>
      <c r="R186" s="585" t="str">
        <f>A207</f>
        <v>Hybrid  MACRO Flake</v>
      </c>
      <c r="S186" s="633"/>
      <c r="T186" s="852"/>
      <c r="V186" s="633" t="s">
        <v>1194</v>
      </c>
      <c r="W186" s="1504">
        <v>160.5</v>
      </c>
      <c r="X186" s="1804" t="s">
        <v>1195</v>
      </c>
      <c r="AA186" s="1232" t="s">
        <v>768</v>
      </c>
      <c r="AB186" s="1204" t="s">
        <v>801</v>
      </c>
      <c r="AC186" s="1205">
        <v>32</v>
      </c>
      <c r="AD186" s="1206" t="s">
        <v>760</v>
      </c>
      <c r="AE186" s="1207">
        <f>ROUNDUP(AI184/AC186,0)</f>
        <v>0</v>
      </c>
      <c r="AF186" s="1208">
        <f>AE186*MD</f>
        <v>0</v>
      </c>
      <c r="AG186" s="1270" t="s">
        <v>802</v>
      </c>
      <c r="AI186" s="1218"/>
      <c r="AK186" s="1271" t="s">
        <v>809</v>
      </c>
      <c r="AL186" s="1214" t="s">
        <v>806</v>
      </c>
      <c r="AM186" s="1278">
        <v>1</v>
      </c>
      <c r="AN186" s="1215" t="s">
        <v>807</v>
      </c>
      <c r="AO186" s="1273">
        <f>CEILING(AI184*AM186,50)</f>
        <v>0</v>
      </c>
      <c r="AP186" s="1272">
        <f>AO186*Silica</f>
        <v>0</v>
      </c>
      <c r="AR186" s="585" t="str">
        <f>AA207</f>
        <v>Hybrid  MACRO Flake</v>
      </c>
    </row>
    <row r="187" spans="1:45" s="585" customFormat="1" ht="16.2" thickBot="1">
      <c r="A187" s="1263" t="s">
        <v>761</v>
      </c>
      <c r="B187" s="1264" t="s">
        <v>799</v>
      </c>
      <c r="C187" s="1265">
        <v>200</v>
      </c>
      <c r="D187" s="1266" t="s">
        <v>755</v>
      </c>
      <c r="E187" s="1267">
        <f>ROUNDUP(I184/C187,0)</f>
        <v>0</v>
      </c>
      <c r="F187" s="1268">
        <f>E187*ColorFast</f>
        <v>0</v>
      </c>
      <c r="G187" s="1269"/>
      <c r="I187" s="1218"/>
      <c r="L187" s="848"/>
      <c r="M187" s="827"/>
      <c r="O187" s="1279" t="s">
        <v>819</v>
      </c>
      <c r="P187" s="1280">
        <f>SUM(P186)</f>
        <v>0</v>
      </c>
      <c r="R187" s="585" t="str">
        <f>A215</f>
        <v>Hybrid  micro Flake</v>
      </c>
      <c r="S187" s="633"/>
      <c r="T187" s="852"/>
      <c r="V187" s="633" t="s">
        <v>1201</v>
      </c>
      <c r="W187" s="1504">
        <f>1444.5/15</f>
        <v>96.3</v>
      </c>
      <c r="X187" s="590" t="s">
        <v>1200</v>
      </c>
      <c r="AA187" s="1263" t="s">
        <v>761</v>
      </c>
      <c r="AB187" s="1264" t="s">
        <v>799</v>
      </c>
      <c r="AC187" s="1265">
        <v>200</v>
      </c>
      <c r="AD187" s="1266" t="s">
        <v>755</v>
      </c>
      <c r="AE187" s="1267">
        <f>ROUNDUP(AI184/AC187,0)</f>
        <v>0</v>
      </c>
      <c r="AF187" s="1268">
        <f>AE187*ColorFast</f>
        <v>0</v>
      </c>
      <c r="AG187" s="1269"/>
      <c r="AI187" s="1218"/>
      <c r="AL187" s="848"/>
      <c r="AM187" s="827"/>
      <c r="AO187" s="1279" t="s">
        <v>819</v>
      </c>
      <c r="AP187" s="1280">
        <f>SUM(AP186)</f>
        <v>0</v>
      </c>
      <c r="AR187" s="585" t="str">
        <f>AA215</f>
        <v>Hybrid  micro Flake</v>
      </c>
    </row>
    <row r="188" spans="1:45" s="585" customFormat="1" ht="16.2" thickBot="1">
      <c r="F188" s="1235">
        <f>SUM(F186:F187)</f>
        <v>0</v>
      </c>
      <c r="G188" s="1236" t="s">
        <v>769</v>
      </c>
      <c r="I188" s="1218"/>
      <c r="L188" s="848"/>
      <c r="M188" s="827"/>
      <c r="R188" s="585" t="str">
        <f>A223</f>
        <v>Fast Cure *MACRO Flake Single Broadcast* Fast Cure</v>
      </c>
      <c r="S188" s="633"/>
      <c r="T188" s="852"/>
      <c r="V188" s="633" t="s">
        <v>1202</v>
      </c>
      <c r="W188" s="1504">
        <f>272.85</f>
        <v>272.85000000000002</v>
      </c>
      <c r="X188" s="585" t="s">
        <v>1228</v>
      </c>
      <c r="AF188" s="1235">
        <f>SUM(AF186:AF187)</f>
        <v>0</v>
      </c>
      <c r="AG188" s="1236" t="s">
        <v>769</v>
      </c>
      <c r="AI188" s="1218"/>
      <c r="AL188" s="848"/>
      <c r="AM188" s="827"/>
      <c r="AR188" s="585" t="str">
        <f>AA223</f>
        <v>Fast Cure *MACRO Flake Single Broadcast* Fast Cure</v>
      </c>
    </row>
    <row r="189" spans="1:45" s="585" customFormat="1">
      <c r="I189" s="1218"/>
      <c r="L189" s="848"/>
      <c r="M189" s="827"/>
      <c r="R189" s="585" t="str">
        <f>A231</f>
        <v>40-S (Q28) Quartz Double Broadcast</v>
      </c>
      <c r="S189" s="633"/>
      <c r="T189" s="852"/>
      <c r="V189" s="633" t="s">
        <v>1203</v>
      </c>
      <c r="W189" s="1504">
        <f>292.11</f>
        <v>292.11</v>
      </c>
      <c r="X189" s="585" t="s">
        <v>1227</v>
      </c>
      <c r="AI189" s="1218"/>
      <c r="AL189" s="848"/>
      <c r="AM189" s="827"/>
      <c r="AR189" s="585" t="str">
        <f>AA231</f>
        <v>40-S (Q28) Quartz Double Broadcast</v>
      </c>
    </row>
    <row r="190" spans="1:45" s="585" customFormat="1">
      <c r="I190" s="1218"/>
      <c r="L190" s="848"/>
      <c r="M190" s="827"/>
      <c r="R190" s="585" t="str">
        <f>A239</f>
        <v>Hybrid Quartz Double Broadcast (Standard Texture)</v>
      </c>
      <c r="S190" s="633"/>
      <c r="T190" s="852"/>
      <c r="V190" s="633" t="s">
        <v>1204</v>
      </c>
      <c r="W190" s="1646">
        <f>164.35</f>
        <v>164.35</v>
      </c>
      <c r="X190" s="590" t="s">
        <v>1205</v>
      </c>
      <c r="AI190" s="1218"/>
      <c r="AL190" s="848"/>
      <c r="AM190" s="827"/>
      <c r="AR190" s="585" t="str">
        <f>AA239</f>
        <v>Hybrid Quartz Double Broadcast (Standard Texture)</v>
      </c>
    </row>
    <row r="191" spans="1:45" s="585" customFormat="1" ht="21.6" thickBot="1">
      <c r="A191" s="1870" t="s">
        <v>756</v>
      </c>
      <c r="B191" s="1864"/>
      <c r="C191" s="1864"/>
      <c r="D191" s="1864"/>
      <c r="E191" s="1864"/>
      <c r="F191" s="1864"/>
      <c r="G191" s="1864"/>
      <c r="I191" s="1218"/>
      <c r="K191" s="1865" t="s">
        <v>756</v>
      </c>
      <c r="L191" s="1865"/>
      <c r="M191" s="1865"/>
      <c r="N191" s="1865"/>
      <c r="O191" s="1865"/>
      <c r="P191" s="1865"/>
      <c r="R191" s="585" t="str">
        <f>A247</f>
        <v>Trowel - Hybrid Quartz Double Broadcast (Orange Peel Texture/Trowel Texture)</v>
      </c>
      <c r="S191" s="633"/>
      <c r="T191" s="852"/>
      <c r="U191" s="1621" t="s">
        <v>1226</v>
      </c>
      <c r="V191" s="633" t="s">
        <v>1204</v>
      </c>
      <c r="W191" s="1504">
        <f>414.73</f>
        <v>414.73</v>
      </c>
      <c r="X191" s="585" t="s">
        <v>1206</v>
      </c>
      <c r="AA191" s="1864" t="s">
        <v>756</v>
      </c>
      <c r="AB191" s="1864"/>
      <c r="AC191" s="1864"/>
      <c r="AD191" s="1864"/>
      <c r="AE191" s="1864"/>
      <c r="AF191" s="1864"/>
      <c r="AG191" s="1864"/>
      <c r="AI191" s="1218"/>
      <c r="AK191" s="1865" t="s">
        <v>756</v>
      </c>
      <c r="AL191" s="1865"/>
      <c r="AM191" s="1865"/>
      <c r="AN191" s="1865"/>
      <c r="AO191" s="1865"/>
      <c r="AP191" s="1865"/>
      <c r="AR191" s="585" t="str">
        <f>AA247</f>
        <v>Trowel - Hybrid Quartz Double Broadcast (Orange Peel Texture/Trowel Texture)</v>
      </c>
    </row>
    <row r="192" spans="1:45" s="585" customFormat="1" ht="16.2" thickBot="1">
      <c r="A192" s="1842" t="s">
        <v>775</v>
      </c>
      <c r="B192" s="1843"/>
      <c r="C192" s="1843"/>
      <c r="D192" s="1843"/>
      <c r="E192" s="1843"/>
      <c r="F192" s="1843"/>
      <c r="G192" s="1844"/>
      <c r="I192" s="1302">
        <f>I160</f>
        <v>0</v>
      </c>
      <c r="K192" s="1845" t="s">
        <v>775</v>
      </c>
      <c r="L192" s="1846"/>
      <c r="M192" s="1846"/>
      <c r="N192" s="1846"/>
      <c r="O192" s="1846"/>
      <c r="P192" s="1847"/>
      <c r="R192" s="585" t="str">
        <f>A258</f>
        <v>Shop Floor Double Broadcast</v>
      </c>
      <c r="S192" s="633"/>
      <c r="T192" s="852"/>
      <c r="V192" s="633" t="s">
        <v>1207</v>
      </c>
      <c r="W192" s="1504">
        <v>425</v>
      </c>
      <c r="X192" s="590" t="s">
        <v>1208</v>
      </c>
      <c r="AA192" s="1842" t="s">
        <v>775</v>
      </c>
      <c r="AB192" s="1843"/>
      <c r="AC192" s="1843"/>
      <c r="AD192" s="1843"/>
      <c r="AE192" s="1843"/>
      <c r="AF192" s="1843"/>
      <c r="AG192" s="1844"/>
      <c r="AI192" s="1302">
        <f>$AI$160</f>
        <v>0</v>
      </c>
      <c r="AK192" s="1845" t="s">
        <v>775</v>
      </c>
      <c r="AL192" s="1846"/>
      <c r="AM192" s="1846"/>
      <c r="AN192" s="1846"/>
      <c r="AO192" s="1846"/>
      <c r="AP192" s="1847"/>
      <c r="AR192" s="585" t="str">
        <f>AA258</f>
        <v>Shop Floor Double Broadcast</v>
      </c>
    </row>
    <row r="193" spans="1:44" s="585" customFormat="1" ht="16.2" thickBot="1">
      <c r="A193" s="142"/>
      <c r="B193" s="1194" t="s">
        <v>746</v>
      </c>
      <c r="C193" s="1195" t="s">
        <v>747</v>
      </c>
      <c r="D193" s="1196" t="s">
        <v>748</v>
      </c>
      <c r="E193" s="1196" t="s">
        <v>749</v>
      </c>
      <c r="F193" s="1196" t="s">
        <v>750</v>
      </c>
      <c r="G193" s="1197" t="s">
        <v>751</v>
      </c>
      <c r="I193" s="1218"/>
      <c r="K193" s="1274" t="s">
        <v>805</v>
      </c>
      <c r="L193" s="1276" t="s">
        <v>746</v>
      </c>
      <c r="M193" s="1277" t="s">
        <v>747</v>
      </c>
      <c r="N193" s="1275" t="s">
        <v>748</v>
      </c>
      <c r="O193" s="1275" t="s">
        <v>749</v>
      </c>
      <c r="P193" s="1197" t="s">
        <v>750</v>
      </c>
      <c r="R193" s="585" t="str">
        <f>A266</f>
        <v>Shop Floor Single Broadcast</v>
      </c>
      <c r="S193" s="633"/>
      <c r="T193" s="852"/>
      <c r="V193" s="633" t="s">
        <v>1209</v>
      </c>
      <c r="W193" s="1822" t="s">
        <v>1225</v>
      </c>
      <c r="X193" s="1821" t="s">
        <v>1223</v>
      </c>
      <c r="Y193" s="1821" t="s">
        <v>1224</v>
      </c>
      <c r="AA193" s="142"/>
      <c r="AB193" s="1194" t="s">
        <v>746</v>
      </c>
      <c r="AC193" s="1195" t="s">
        <v>747</v>
      </c>
      <c r="AD193" s="1196" t="s">
        <v>748</v>
      </c>
      <c r="AE193" s="1196" t="s">
        <v>749</v>
      </c>
      <c r="AF193" s="1196" t="s">
        <v>750</v>
      </c>
      <c r="AG193" s="1197" t="s">
        <v>751</v>
      </c>
      <c r="AI193" s="1218"/>
      <c r="AK193" s="1274" t="s">
        <v>805</v>
      </c>
      <c r="AL193" s="1276" t="s">
        <v>746</v>
      </c>
      <c r="AM193" s="1277" t="s">
        <v>747</v>
      </c>
      <c r="AN193" s="1275" t="s">
        <v>748</v>
      </c>
      <c r="AO193" s="1275" t="s">
        <v>749</v>
      </c>
      <c r="AP193" s="1197" t="s">
        <v>750</v>
      </c>
      <c r="AR193" s="585" t="str">
        <f>AA266</f>
        <v>Shop Floor Single Broadcast</v>
      </c>
    </row>
    <row r="194" spans="1:44" s="585" customFormat="1" ht="16.2" thickBot="1">
      <c r="A194" s="1226" t="s">
        <v>762</v>
      </c>
      <c r="B194" s="1198" t="s">
        <v>487</v>
      </c>
      <c r="C194" s="1199">
        <v>275</v>
      </c>
      <c r="D194" s="1200" t="s">
        <v>753</v>
      </c>
      <c r="E194" s="1201">
        <f>ROUNDUP(I192/C194,0)</f>
        <v>0</v>
      </c>
      <c r="F194" s="1202">
        <f>E194*OPF</f>
        <v>0</v>
      </c>
      <c r="G194" s="1203"/>
      <c r="I194" s="1218"/>
      <c r="K194" s="1271" t="s">
        <v>642</v>
      </c>
      <c r="L194" s="1214" t="s">
        <v>810</v>
      </c>
      <c r="M194" s="1214">
        <v>0.15</v>
      </c>
      <c r="N194" s="1215" t="s">
        <v>807</v>
      </c>
      <c r="O194" s="1273">
        <f>CEILING(I192*M194,40)</f>
        <v>0</v>
      </c>
      <c r="P194" s="1272">
        <f>IF(O194&lt;240,(O194*$X$146),(O194*MACROFlake))</f>
        <v>0</v>
      </c>
      <c r="Q194" s="585" t="s">
        <v>1182</v>
      </c>
      <c r="R194" s="585" t="str">
        <f>A275</f>
        <v>Dur-A-Gard</v>
      </c>
      <c r="S194" s="633"/>
      <c r="T194" s="852"/>
      <c r="V194" s="633" t="s">
        <v>1210</v>
      </c>
      <c r="W194" s="1504">
        <f>86.67</f>
        <v>86.67</v>
      </c>
      <c r="X194" s="585" t="s">
        <v>1211</v>
      </c>
      <c r="AA194" s="1226" t="s">
        <v>762</v>
      </c>
      <c r="AB194" s="1198" t="s">
        <v>487</v>
      </c>
      <c r="AC194" s="1199">
        <v>275</v>
      </c>
      <c r="AD194" s="1200" t="s">
        <v>753</v>
      </c>
      <c r="AE194" s="1201">
        <f>ROUNDUP(AI192/AC194,0)</f>
        <v>0</v>
      </c>
      <c r="AF194" s="1202">
        <f>AE194*OPF</f>
        <v>0</v>
      </c>
      <c r="AG194" s="1203"/>
      <c r="AI194" s="1218"/>
      <c r="AK194" s="1271" t="s">
        <v>642</v>
      </c>
      <c r="AL194" s="1214" t="s">
        <v>810</v>
      </c>
      <c r="AM194" s="1214">
        <v>0.15</v>
      </c>
      <c r="AN194" s="1215" t="s">
        <v>807</v>
      </c>
      <c r="AO194" s="1273">
        <f>CEILING(AI192*AM194,40)</f>
        <v>0</v>
      </c>
      <c r="AP194" s="1272">
        <f>IF(AO194&lt;240,(AO194*$X$146),(AO194*MACROFlake))</f>
        <v>0</v>
      </c>
      <c r="AQ194" s="585" t="s">
        <v>1182</v>
      </c>
      <c r="AR194" s="585" t="str">
        <f>AA275</f>
        <v>Dur-A-Gard</v>
      </c>
    </row>
    <row r="195" spans="1:44" s="585" customFormat="1" ht="16.2" thickBot="1">
      <c r="A195" s="1252" t="s">
        <v>757</v>
      </c>
      <c r="B195" s="1253" t="s">
        <v>758</v>
      </c>
      <c r="C195" s="1254">
        <v>125</v>
      </c>
      <c r="D195" s="1255" t="s">
        <v>753</v>
      </c>
      <c r="E195" s="1256">
        <f>ROUNDUP(I192/C195,0)</f>
        <v>0</v>
      </c>
      <c r="F195" s="1257">
        <f>E195*Glaze4</f>
        <v>0</v>
      </c>
      <c r="G195" s="1258"/>
      <c r="I195" s="1218"/>
      <c r="L195" s="848"/>
      <c r="M195" s="827"/>
      <c r="O195" s="1279" t="s">
        <v>819</v>
      </c>
      <c r="P195" s="1280">
        <f>SUM(P194)</f>
        <v>0</v>
      </c>
      <c r="R195" s="585" t="str">
        <f>A283</f>
        <v>Dur-A-Gard Novolac</v>
      </c>
      <c r="S195" s="633"/>
      <c r="T195" s="852"/>
      <c r="V195" s="633" t="s">
        <v>1212</v>
      </c>
      <c r="W195" s="1504">
        <f>73.83</f>
        <v>73.83</v>
      </c>
      <c r="X195" s="585" t="s">
        <v>1211</v>
      </c>
      <c r="AA195" s="1252" t="s">
        <v>757</v>
      </c>
      <c r="AB195" s="1253" t="s">
        <v>758</v>
      </c>
      <c r="AC195" s="1254">
        <v>125</v>
      </c>
      <c r="AD195" s="1255" t="s">
        <v>753</v>
      </c>
      <c r="AE195" s="1256">
        <f>ROUNDUP(AI192/AC195,0)</f>
        <v>0</v>
      </c>
      <c r="AF195" s="1257">
        <f>AE195*Glaze4</f>
        <v>0</v>
      </c>
      <c r="AG195" s="1258"/>
      <c r="AI195" s="1218"/>
      <c r="AL195" s="848"/>
      <c r="AM195" s="827"/>
      <c r="AO195" s="1279" t="s">
        <v>819</v>
      </c>
      <c r="AP195" s="1280">
        <f>SUM(AP194)</f>
        <v>0</v>
      </c>
      <c r="AR195" s="585" t="str">
        <f>AA283</f>
        <v>Dur-A-Gard Novolac</v>
      </c>
    </row>
    <row r="196" spans="1:44" s="585" customFormat="1" ht="16.2" thickBot="1">
      <c r="A196" s="1219" t="s">
        <v>761</v>
      </c>
      <c r="B196" s="1220" t="s">
        <v>759</v>
      </c>
      <c r="C196" s="1221">
        <v>775</v>
      </c>
      <c r="D196" s="1222" t="s">
        <v>760</v>
      </c>
      <c r="E196" s="1223">
        <f>ROUNDUP(I192/C196,0)</f>
        <v>0</v>
      </c>
      <c r="F196" s="1233">
        <f>E196*$T$158</f>
        <v>0</v>
      </c>
      <c r="G196" s="1234"/>
      <c r="I196" s="1218"/>
      <c r="L196" s="848"/>
      <c r="M196" s="827"/>
      <c r="S196" s="633"/>
      <c r="T196" s="852"/>
      <c r="V196" s="633" t="s">
        <v>1234</v>
      </c>
      <c r="W196" s="1504">
        <v>218.3</v>
      </c>
      <c r="X196" s="585" t="s">
        <v>1232</v>
      </c>
      <c r="AA196" s="1219" t="s">
        <v>761</v>
      </c>
      <c r="AB196" s="1220" t="s">
        <v>759</v>
      </c>
      <c r="AC196" s="1221">
        <v>775</v>
      </c>
      <c r="AD196" s="1222" t="s">
        <v>760</v>
      </c>
      <c r="AE196" s="1223">
        <f>ROUNDUP(AI192/AC196,0)</f>
        <v>0</v>
      </c>
      <c r="AF196" s="1233">
        <f>AE196*$T$158</f>
        <v>0</v>
      </c>
      <c r="AG196" s="1234"/>
      <c r="AI196" s="1218"/>
      <c r="AL196" s="848"/>
      <c r="AM196" s="827"/>
    </row>
    <row r="197" spans="1:44" s="585" customFormat="1" ht="16.2" thickBot="1">
      <c r="F197" s="1235">
        <f>SUM(F194:F196)</f>
        <v>0</v>
      </c>
      <c r="G197" s="1236" t="s">
        <v>769</v>
      </c>
      <c r="I197" s="1218"/>
      <c r="L197" s="848"/>
      <c r="M197" s="827"/>
      <c r="S197" s="633"/>
      <c r="T197" s="852"/>
      <c r="V197" s="633" t="s">
        <v>1233</v>
      </c>
      <c r="W197" s="1504">
        <v>35.31</v>
      </c>
      <c r="X197" s="585" t="s">
        <v>1235</v>
      </c>
      <c r="AF197" s="1235">
        <f>SUM(AF194:AF196)</f>
        <v>0</v>
      </c>
      <c r="AG197" s="1236" t="s">
        <v>769</v>
      </c>
      <c r="AI197" s="1218"/>
      <c r="AL197" s="848"/>
      <c r="AM197" s="827"/>
      <c r="AR197" s="857" t="s">
        <v>827</v>
      </c>
    </row>
    <row r="198" spans="1:44" s="585" customFormat="1" ht="16.2" thickBot="1">
      <c r="I198" s="1218"/>
      <c r="L198" s="848"/>
      <c r="M198" s="827"/>
      <c r="S198" s="633"/>
      <c r="T198" s="852"/>
      <c r="AI198" s="1218"/>
      <c r="AL198" s="848"/>
      <c r="AM198" s="827"/>
      <c r="AR198" s="585" t="str">
        <f>AA292</f>
        <v>Walls: Troweled Quartz</v>
      </c>
    </row>
    <row r="199" spans="1:44" s="585" customFormat="1" ht="16.2" thickBot="1">
      <c r="A199" s="1842" t="s">
        <v>774</v>
      </c>
      <c r="B199" s="1843"/>
      <c r="C199" s="1843"/>
      <c r="D199" s="1843"/>
      <c r="E199" s="1843"/>
      <c r="F199" s="1843"/>
      <c r="G199" s="1844"/>
      <c r="I199" s="1302">
        <f>$I$160</f>
        <v>0</v>
      </c>
      <c r="K199" s="1845" t="s">
        <v>774</v>
      </c>
      <c r="L199" s="1846"/>
      <c r="M199" s="1846"/>
      <c r="N199" s="1846"/>
      <c r="O199" s="1846"/>
      <c r="P199" s="1847"/>
      <c r="S199" s="633"/>
      <c r="T199" s="852"/>
      <c r="AA199" s="1842" t="s">
        <v>774</v>
      </c>
      <c r="AB199" s="1843"/>
      <c r="AC199" s="1843"/>
      <c r="AD199" s="1843"/>
      <c r="AE199" s="1843"/>
      <c r="AF199" s="1843"/>
      <c r="AG199" s="1844"/>
      <c r="AI199" s="1302">
        <f>$AI$160</f>
        <v>0</v>
      </c>
      <c r="AK199" s="1845" t="s">
        <v>774</v>
      </c>
      <c r="AL199" s="1846"/>
      <c r="AM199" s="1846"/>
      <c r="AN199" s="1846"/>
      <c r="AO199" s="1846"/>
      <c r="AP199" s="1847"/>
      <c r="AR199" s="585" t="str">
        <f>AA302</f>
        <v>Walls: MACRO Flake Double Broadcast</v>
      </c>
    </row>
    <row r="200" spans="1:44" s="585" customFormat="1" ht="16.2" thickBot="1">
      <c r="A200" s="142"/>
      <c r="B200" s="1194" t="s">
        <v>746</v>
      </c>
      <c r="C200" s="1195" t="s">
        <v>747</v>
      </c>
      <c r="D200" s="1196" t="s">
        <v>748</v>
      </c>
      <c r="E200" s="1196" t="s">
        <v>749</v>
      </c>
      <c r="F200" s="1196" t="s">
        <v>750</v>
      </c>
      <c r="G200" s="1197" t="s">
        <v>751</v>
      </c>
      <c r="I200" s="1218"/>
      <c r="K200" s="1274" t="s">
        <v>805</v>
      </c>
      <c r="L200" s="1276" t="s">
        <v>746</v>
      </c>
      <c r="M200" s="1277" t="s">
        <v>747</v>
      </c>
      <c r="N200" s="1275" t="s">
        <v>748</v>
      </c>
      <c r="O200" s="1275" t="s">
        <v>749</v>
      </c>
      <c r="P200" s="1197" t="s">
        <v>750</v>
      </c>
      <c r="S200" s="633"/>
      <c r="T200" s="852"/>
      <c r="AA200" s="142"/>
      <c r="AB200" s="1194" t="s">
        <v>746</v>
      </c>
      <c r="AC200" s="1195" t="s">
        <v>747</v>
      </c>
      <c r="AD200" s="1196" t="s">
        <v>748</v>
      </c>
      <c r="AE200" s="1196" t="s">
        <v>749</v>
      </c>
      <c r="AF200" s="1196" t="s">
        <v>750</v>
      </c>
      <c r="AG200" s="1197" t="s">
        <v>751</v>
      </c>
      <c r="AI200" s="1218"/>
      <c r="AK200" s="1274" t="s">
        <v>805</v>
      </c>
      <c r="AL200" s="1276" t="s">
        <v>746</v>
      </c>
      <c r="AM200" s="1277" t="s">
        <v>747</v>
      </c>
      <c r="AN200" s="1275" t="s">
        <v>748</v>
      </c>
      <c r="AO200" s="1275" t="s">
        <v>749</v>
      </c>
      <c r="AP200" s="1197" t="s">
        <v>750</v>
      </c>
      <c r="AR200" s="585" t="str">
        <f>AA310</f>
        <v>Walls: micro Flake Double Broadcast</v>
      </c>
    </row>
    <row r="201" spans="1:44" s="585" customFormat="1" ht="16.2" thickBot="1">
      <c r="A201" s="1226" t="s">
        <v>763</v>
      </c>
      <c r="B201" s="1198" t="s">
        <v>487</v>
      </c>
      <c r="C201" s="1199">
        <v>275</v>
      </c>
      <c r="D201" s="1200" t="s">
        <v>753</v>
      </c>
      <c r="E201" s="1201">
        <f>ROUNDUP(I199/C201,0)</f>
        <v>0</v>
      </c>
      <c r="F201" s="1202">
        <f>E201*OPF</f>
        <v>0</v>
      </c>
      <c r="G201" s="1203"/>
      <c r="I201" s="1218"/>
      <c r="K201" s="1271" t="s">
        <v>643</v>
      </c>
      <c r="L201" s="1214" t="s">
        <v>810</v>
      </c>
      <c r="M201" s="1214">
        <v>0.15</v>
      </c>
      <c r="N201" s="1215" t="s">
        <v>807</v>
      </c>
      <c r="O201" s="1273">
        <f>CEILING(I199*M201,40)</f>
        <v>0</v>
      </c>
      <c r="P201" s="1272">
        <f>IF((O201+O202)&lt;240,(O201*$X$147),(O201*microFlake))</f>
        <v>0</v>
      </c>
      <c r="Q201" s="585" t="s">
        <v>1182</v>
      </c>
      <c r="S201" s="633"/>
      <c r="T201" s="852"/>
      <c r="AA201" s="1226" t="s">
        <v>763</v>
      </c>
      <c r="AB201" s="1198" t="s">
        <v>487</v>
      </c>
      <c r="AC201" s="1199">
        <v>275</v>
      </c>
      <c r="AD201" s="1200" t="s">
        <v>753</v>
      </c>
      <c r="AE201" s="1201">
        <f>ROUNDUP(AI199/AC201,0)</f>
        <v>0</v>
      </c>
      <c r="AF201" s="1202">
        <f>AE201*OPF</f>
        <v>0</v>
      </c>
      <c r="AG201" s="1203"/>
      <c r="AI201" s="1218"/>
      <c r="AK201" s="1271" t="s">
        <v>643</v>
      </c>
      <c r="AL201" s="1214" t="s">
        <v>810</v>
      </c>
      <c r="AM201" s="1214">
        <v>0.15</v>
      </c>
      <c r="AN201" s="1215" t="s">
        <v>807</v>
      </c>
      <c r="AO201" s="1273">
        <f>CEILING(AI199*AM201,40)</f>
        <v>0</v>
      </c>
      <c r="AP201" s="1272">
        <f>IF((AO201+AO202)&lt;240,(AO201*$X$147),(AO201*microFlake))</f>
        <v>0</v>
      </c>
      <c r="AQ201" s="585" t="s">
        <v>1182</v>
      </c>
      <c r="AR201" s="585" t="str">
        <f>AA320</f>
        <v>Walls: Dur-A-Wall HP</v>
      </c>
    </row>
    <row r="202" spans="1:44" s="585" customFormat="1" ht="16.2" thickBot="1">
      <c r="A202" s="1252" t="s">
        <v>764</v>
      </c>
      <c r="B202" s="1253" t="s">
        <v>758</v>
      </c>
      <c r="C202" s="1254">
        <v>150</v>
      </c>
      <c r="D202" s="1255" t="s">
        <v>753</v>
      </c>
      <c r="E202" s="1256">
        <f>ROUNDUP(I199/C202,0)</f>
        <v>0</v>
      </c>
      <c r="F202" s="1257">
        <f>E202*Glaze4</f>
        <v>0</v>
      </c>
      <c r="G202" s="1258"/>
      <c r="I202" s="1218"/>
      <c r="K202" s="1271" t="s">
        <v>643</v>
      </c>
      <c r="L202" s="1214" t="s">
        <v>810</v>
      </c>
      <c r="M202" s="1214">
        <v>0.15</v>
      </c>
      <c r="N202" s="1215" t="s">
        <v>807</v>
      </c>
      <c r="O202" s="1273">
        <f>CEILING(I199*M202,40)</f>
        <v>0</v>
      </c>
      <c r="P202" s="1272">
        <f>IF((O201+O202)&lt;240,(O202*$X$147),(O202*microFlake))</f>
        <v>0</v>
      </c>
      <c r="Q202" s="585" t="s">
        <v>1182</v>
      </c>
      <c r="S202" s="633"/>
      <c r="T202" s="852"/>
      <c r="AA202" s="1252" t="s">
        <v>764</v>
      </c>
      <c r="AB202" s="1253" t="s">
        <v>758</v>
      </c>
      <c r="AC202" s="1254">
        <v>150</v>
      </c>
      <c r="AD202" s="1255" t="s">
        <v>753</v>
      </c>
      <c r="AE202" s="1256">
        <f>ROUNDUP(AI199/AC202,0)</f>
        <v>0</v>
      </c>
      <c r="AF202" s="1257">
        <f>AE202*Glaze4</f>
        <v>0</v>
      </c>
      <c r="AG202" s="1258"/>
      <c r="AI202" s="1218"/>
      <c r="AK202" s="1271" t="s">
        <v>643</v>
      </c>
      <c r="AL202" s="1214" t="s">
        <v>810</v>
      </c>
      <c r="AM202" s="1214">
        <v>0.15</v>
      </c>
      <c r="AN202" s="1215" t="s">
        <v>807</v>
      </c>
      <c r="AO202" s="1273">
        <f>CEILING(AI199*AM202,40)</f>
        <v>0</v>
      </c>
      <c r="AP202" s="1272">
        <f>IF((AO201+AO202)&lt;240,(AO202*$X$147),(AO202*microFlake))</f>
        <v>0</v>
      </c>
      <c r="AQ202" s="585" t="s">
        <v>1182</v>
      </c>
      <c r="AR202" s="585" t="str">
        <f>AA326</f>
        <v>Walls: Dur-A-Wall HP PLUS (+)</v>
      </c>
    </row>
    <row r="203" spans="1:44" s="585" customFormat="1" ht="16.2" thickBot="1">
      <c r="A203" s="1226" t="s">
        <v>757</v>
      </c>
      <c r="B203" s="1198" t="s">
        <v>758</v>
      </c>
      <c r="C203" s="1199">
        <v>125</v>
      </c>
      <c r="D203" s="1200" t="s">
        <v>753</v>
      </c>
      <c r="E203" s="1201">
        <f>ROUNDUP(I199/C203,0)</f>
        <v>0</v>
      </c>
      <c r="F203" s="1202">
        <f>E203*Glaze4</f>
        <v>0</v>
      </c>
      <c r="G203" s="1203"/>
      <c r="I203" s="1218"/>
      <c r="L203" s="848"/>
      <c r="M203" s="827"/>
      <c r="O203" s="1279" t="s">
        <v>819</v>
      </c>
      <c r="P203" s="1280">
        <f>SUM(P201:P202)</f>
        <v>0</v>
      </c>
      <c r="S203" s="633"/>
      <c r="T203" s="852"/>
      <c r="AA203" s="1226" t="s">
        <v>757</v>
      </c>
      <c r="AB203" s="1198" t="s">
        <v>758</v>
      </c>
      <c r="AC203" s="1199">
        <v>125</v>
      </c>
      <c r="AD203" s="1200" t="s">
        <v>753</v>
      </c>
      <c r="AE203" s="1201">
        <f>ROUNDUP(AI199/AC203,0)</f>
        <v>0</v>
      </c>
      <c r="AF203" s="1202">
        <f>AE203*Glaze4</f>
        <v>0</v>
      </c>
      <c r="AG203" s="1203"/>
      <c r="AI203" s="1218"/>
      <c r="AL203" s="848"/>
      <c r="AM203" s="827"/>
      <c r="AO203" s="1279" t="s">
        <v>819</v>
      </c>
      <c r="AP203" s="1280">
        <f>SUM(AP201:AP202)</f>
        <v>0</v>
      </c>
      <c r="AR203" s="585" t="str">
        <f>AA333</f>
        <v>Walls: Dur-A-Wall HPF (Fiber)</v>
      </c>
    </row>
    <row r="204" spans="1:44" s="585" customFormat="1" ht="16.2" thickBot="1">
      <c r="A204" s="1219" t="s">
        <v>761</v>
      </c>
      <c r="B204" s="1220" t="s">
        <v>759</v>
      </c>
      <c r="C204" s="1221">
        <v>775</v>
      </c>
      <c r="D204" s="1222" t="s">
        <v>760</v>
      </c>
      <c r="E204" s="1223">
        <f>ROUNDUP(I199/C204,0)</f>
        <v>0</v>
      </c>
      <c r="F204" s="1224">
        <f>E204*$T$158</f>
        <v>0</v>
      </c>
      <c r="G204" s="1225"/>
      <c r="I204" s="1218"/>
      <c r="L204" s="848"/>
      <c r="M204" s="827"/>
      <c r="S204" s="633"/>
      <c r="T204" s="852"/>
      <c r="AA204" s="1219" t="s">
        <v>761</v>
      </c>
      <c r="AB204" s="1220" t="s">
        <v>759</v>
      </c>
      <c r="AC204" s="1221">
        <v>775</v>
      </c>
      <c r="AD204" s="1222" t="s">
        <v>760</v>
      </c>
      <c r="AE204" s="1223">
        <f>ROUNDUP(AI199/AC204,0)</f>
        <v>0</v>
      </c>
      <c r="AF204" s="1224">
        <f>AE204*$T$158</f>
        <v>0</v>
      </c>
      <c r="AG204" s="1225"/>
      <c r="AI204" s="1218"/>
      <c r="AL204" s="848"/>
      <c r="AM204" s="827"/>
      <c r="AR204" s="847" t="s">
        <v>828</v>
      </c>
    </row>
    <row r="205" spans="1:44" s="585" customFormat="1" ht="16.2" thickBot="1">
      <c r="F205" s="1235">
        <f>SUM(F201:F204)</f>
        <v>0</v>
      </c>
      <c r="G205" s="1236" t="s">
        <v>769</v>
      </c>
      <c r="I205" s="1218"/>
      <c r="L205" s="848"/>
      <c r="M205" s="827"/>
      <c r="S205" s="633"/>
      <c r="AF205" s="1235">
        <f>SUM(AF201:AF204)</f>
        <v>0</v>
      </c>
      <c r="AG205" s="1236" t="s">
        <v>769</v>
      </c>
      <c r="AI205" s="1218"/>
      <c r="AL205" s="848"/>
      <c r="AM205" s="827"/>
    </row>
    <row r="206" spans="1:44" s="585" customFormat="1" ht="16.2" thickBot="1">
      <c r="I206" s="1218"/>
      <c r="L206" s="848"/>
      <c r="M206" s="827"/>
      <c r="S206" s="633"/>
      <c r="AI206" s="1218"/>
      <c r="AL206" s="848"/>
      <c r="AM206" s="827"/>
    </row>
    <row r="207" spans="1:44" s="585" customFormat="1" ht="16.2" thickBot="1">
      <c r="A207" s="1842" t="s">
        <v>772</v>
      </c>
      <c r="B207" s="1843"/>
      <c r="C207" s="1843"/>
      <c r="D207" s="1843"/>
      <c r="E207" s="1843"/>
      <c r="F207" s="1843"/>
      <c r="G207" s="1844"/>
      <c r="I207" s="1302">
        <f>$I$160</f>
        <v>0</v>
      </c>
      <c r="K207" s="1845" t="s">
        <v>772</v>
      </c>
      <c r="L207" s="1846"/>
      <c r="M207" s="1846"/>
      <c r="N207" s="1846"/>
      <c r="O207" s="1846"/>
      <c r="P207" s="1847"/>
      <c r="S207" s="633"/>
      <c r="AA207" s="1842" t="s">
        <v>772</v>
      </c>
      <c r="AB207" s="1843"/>
      <c r="AC207" s="1843"/>
      <c r="AD207" s="1843"/>
      <c r="AE207" s="1843"/>
      <c r="AF207" s="1843"/>
      <c r="AG207" s="1844"/>
      <c r="AI207" s="1302">
        <f>$AI$160</f>
        <v>0</v>
      </c>
      <c r="AK207" s="1845" t="s">
        <v>772</v>
      </c>
      <c r="AL207" s="1846"/>
      <c r="AM207" s="1846"/>
      <c r="AN207" s="1846"/>
      <c r="AO207" s="1846"/>
      <c r="AP207" s="1847"/>
    </row>
    <row r="208" spans="1:44" s="585" customFormat="1" ht="16.2" thickBot="1">
      <c r="A208" s="142"/>
      <c r="B208" s="1194" t="s">
        <v>746</v>
      </c>
      <c r="C208" s="1195" t="s">
        <v>747</v>
      </c>
      <c r="D208" s="1196" t="s">
        <v>748</v>
      </c>
      <c r="E208" s="1196" t="s">
        <v>749</v>
      </c>
      <c r="F208" s="1196" t="s">
        <v>750</v>
      </c>
      <c r="G208" s="1197" t="s">
        <v>751</v>
      </c>
      <c r="I208" s="1218"/>
      <c r="K208" s="1274" t="s">
        <v>805</v>
      </c>
      <c r="L208" s="1276" t="s">
        <v>746</v>
      </c>
      <c r="M208" s="1277" t="s">
        <v>747</v>
      </c>
      <c r="N208" s="1275" t="s">
        <v>748</v>
      </c>
      <c r="O208" s="1275" t="s">
        <v>749</v>
      </c>
      <c r="P208" s="1197" t="s">
        <v>750</v>
      </c>
      <c r="S208" s="633"/>
      <c r="AA208" s="142"/>
      <c r="AB208" s="1194" t="s">
        <v>746</v>
      </c>
      <c r="AC208" s="1195" t="s">
        <v>747</v>
      </c>
      <c r="AD208" s="1196" t="s">
        <v>748</v>
      </c>
      <c r="AE208" s="1196" t="s">
        <v>749</v>
      </c>
      <c r="AF208" s="1196" t="s">
        <v>750</v>
      </c>
      <c r="AG208" s="1197" t="s">
        <v>751</v>
      </c>
      <c r="AI208" s="1218"/>
      <c r="AK208" s="1274" t="s">
        <v>805</v>
      </c>
      <c r="AL208" s="1276" t="s">
        <v>746</v>
      </c>
      <c r="AM208" s="1277" t="s">
        <v>747</v>
      </c>
      <c r="AN208" s="1275" t="s">
        <v>748</v>
      </c>
      <c r="AO208" s="1275" t="s">
        <v>749</v>
      </c>
      <c r="AP208" s="1197" t="s">
        <v>750</v>
      </c>
    </row>
    <row r="209" spans="1:43" s="585" customFormat="1" ht="16.2" thickBot="1">
      <c r="A209" s="1232" t="s">
        <v>768</v>
      </c>
      <c r="B209" s="1204" t="s">
        <v>767</v>
      </c>
      <c r="C209" s="1205">
        <v>55</v>
      </c>
      <c r="D209" s="1206" t="s">
        <v>760</v>
      </c>
      <c r="E209" s="1207">
        <f>ROUNDUP(I207/C209,0)</f>
        <v>0</v>
      </c>
      <c r="F209" s="1208">
        <f>E209*SL</f>
        <v>0</v>
      </c>
      <c r="G209" s="1209"/>
      <c r="I209" s="1218"/>
      <c r="K209" s="1271" t="s">
        <v>642</v>
      </c>
      <c r="L209" s="1214" t="s">
        <v>810</v>
      </c>
      <c r="M209" s="1214">
        <v>0.15</v>
      </c>
      <c r="N209" s="1215" t="s">
        <v>807</v>
      </c>
      <c r="O209" s="1273">
        <f>CEILING(I207*M209,40)</f>
        <v>0</v>
      </c>
      <c r="P209" s="1272">
        <f>IF((O209+O210)&lt;240,(O209*$X$146),(O209*MACROFlake))</f>
        <v>0</v>
      </c>
      <c r="Q209" s="585" t="s">
        <v>1182</v>
      </c>
      <c r="S209" s="633"/>
      <c r="AA209" s="1232" t="s">
        <v>768</v>
      </c>
      <c r="AB209" s="1204" t="s">
        <v>767</v>
      </c>
      <c r="AC209" s="1205">
        <v>55</v>
      </c>
      <c r="AD209" s="1206" t="s">
        <v>760</v>
      </c>
      <c r="AE209" s="1207">
        <f>ROUNDUP(AI207/AC209,0)</f>
        <v>0</v>
      </c>
      <c r="AF209" s="1208">
        <f>AE209*SL</f>
        <v>0</v>
      </c>
      <c r="AG209" s="1209"/>
      <c r="AI209" s="1218"/>
      <c r="AK209" s="1271" t="s">
        <v>642</v>
      </c>
      <c r="AL209" s="1214" t="s">
        <v>810</v>
      </c>
      <c r="AM209" s="1214">
        <v>0.15</v>
      </c>
      <c r="AN209" s="1215" t="s">
        <v>807</v>
      </c>
      <c r="AO209" s="1273">
        <f>CEILING(AI207*AM209,40)</f>
        <v>0</v>
      </c>
      <c r="AP209" s="1272">
        <f>IF((AO209+AO210)&lt;240,(AO209*$X$146),(AO209*MACROFlake))</f>
        <v>0</v>
      </c>
      <c r="AQ209" s="585" t="s">
        <v>1182</v>
      </c>
    </row>
    <row r="210" spans="1:43" s="585" customFormat="1" ht="16.2" thickBot="1">
      <c r="A210" s="1226" t="s">
        <v>764</v>
      </c>
      <c r="B210" s="1198" t="s">
        <v>758</v>
      </c>
      <c r="C210" s="1199">
        <v>150</v>
      </c>
      <c r="D210" s="1200" t="s">
        <v>753</v>
      </c>
      <c r="E210" s="1201">
        <f>ROUNDUP(I207/C210,0)</f>
        <v>0</v>
      </c>
      <c r="F210" s="1202">
        <f>E210*Glaze4</f>
        <v>0</v>
      </c>
      <c r="G210" s="1203"/>
      <c r="I210" s="1218"/>
      <c r="K210" s="1271" t="s">
        <v>642</v>
      </c>
      <c r="L210" s="1214" t="s">
        <v>810</v>
      </c>
      <c r="M210" s="1214">
        <v>0.12</v>
      </c>
      <c r="N210" s="1215" t="s">
        <v>807</v>
      </c>
      <c r="O210" s="1273">
        <f>CEILING(I207*M210,40)</f>
        <v>0</v>
      </c>
      <c r="P210" s="1272">
        <f>IF((O209+O210)&lt;240,(O210*$X$146),(O210*MACROFlake))</f>
        <v>0</v>
      </c>
      <c r="Q210" s="585" t="s">
        <v>1182</v>
      </c>
      <c r="AA210" s="1226" t="s">
        <v>764</v>
      </c>
      <c r="AB210" s="1198" t="s">
        <v>758</v>
      </c>
      <c r="AC210" s="1199">
        <v>150</v>
      </c>
      <c r="AD210" s="1200" t="s">
        <v>753</v>
      </c>
      <c r="AE210" s="1201">
        <f>ROUNDUP(AI207/AC210,0)</f>
        <v>0</v>
      </c>
      <c r="AF210" s="1202">
        <f>AE210*Glaze4</f>
        <v>0</v>
      </c>
      <c r="AG210" s="1203"/>
      <c r="AI210" s="1218"/>
      <c r="AK210" s="1271" t="s">
        <v>642</v>
      </c>
      <c r="AL210" s="1214" t="s">
        <v>810</v>
      </c>
      <c r="AM210" s="1214">
        <v>0.12</v>
      </c>
      <c r="AN210" s="1215" t="s">
        <v>807</v>
      </c>
      <c r="AO210" s="1273">
        <f>CEILING(AI207*AM210,40)</f>
        <v>0</v>
      </c>
      <c r="AP210" s="1272">
        <f>IF((AO209+AO210)&lt;240,(AO210*$X$146),(AO210*MACROFlake))</f>
        <v>0</v>
      </c>
      <c r="AQ210" s="585" t="s">
        <v>1182</v>
      </c>
    </row>
    <row r="211" spans="1:43" s="585" customFormat="1" ht="16.2" thickBot="1">
      <c r="A211" s="1252" t="s">
        <v>757</v>
      </c>
      <c r="B211" s="1253" t="s">
        <v>758</v>
      </c>
      <c r="C211" s="1254">
        <v>125</v>
      </c>
      <c r="D211" s="1255" t="s">
        <v>753</v>
      </c>
      <c r="E211" s="1256">
        <f>ROUNDUP(I207/C211,0)</f>
        <v>0</v>
      </c>
      <c r="F211" s="1257">
        <f>E211*Glaze4</f>
        <v>0</v>
      </c>
      <c r="G211" s="1258"/>
      <c r="I211" s="1218"/>
      <c r="L211" s="848"/>
      <c r="M211" s="827"/>
      <c r="O211" s="1279" t="s">
        <v>819</v>
      </c>
      <c r="P211" s="1280">
        <f>SUM(P209:P210)</f>
        <v>0</v>
      </c>
      <c r="AA211" s="1252" t="s">
        <v>757</v>
      </c>
      <c r="AB211" s="1253" t="s">
        <v>758</v>
      </c>
      <c r="AC211" s="1254">
        <v>125</v>
      </c>
      <c r="AD211" s="1255" t="s">
        <v>753</v>
      </c>
      <c r="AE211" s="1256">
        <f>ROUNDUP(AI207/AC211,0)</f>
        <v>0</v>
      </c>
      <c r="AF211" s="1257">
        <f>AE211*Glaze4</f>
        <v>0</v>
      </c>
      <c r="AG211" s="1258"/>
      <c r="AI211" s="1218"/>
      <c r="AL211" s="848"/>
      <c r="AM211" s="827"/>
      <c r="AO211" s="1279" t="s">
        <v>819</v>
      </c>
      <c r="AP211" s="1280">
        <f>SUM(AP209:AP210)</f>
        <v>0</v>
      </c>
    </row>
    <row r="212" spans="1:43" s="585" customFormat="1" ht="16.2" thickBot="1">
      <c r="A212" s="1219" t="s">
        <v>761</v>
      </c>
      <c r="B212" s="1220" t="s">
        <v>759</v>
      </c>
      <c r="C212" s="1221">
        <v>775</v>
      </c>
      <c r="D212" s="1222" t="s">
        <v>760</v>
      </c>
      <c r="E212" s="1223">
        <f>ROUNDUP(I207/C212,0)</f>
        <v>0</v>
      </c>
      <c r="F212" s="1224">
        <f>E212*$T$158</f>
        <v>0</v>
      </c>
      <c r="G212" s="1225"/>
      <c r="I212" s="1218"/>
      <c r="L212" s="848"/>
      <c r="M212" s="827"/>
      <c r="AA212" s="1219" t="s">
        <v>761</v>
      </c>
      <c r="AB212" s="1220" t="s">
        <v>759</v>
      </c>
      <c r="AC212" s="1221">
        <v>775</v>
      </c>
      <c r="AD212" s="1222" t="s">
        <v>760</v>
      </c>
      <c r="AE212" s="1223">
        <f>ROUNDUP(AI207/AC212,0)</f>
        <v>0</v>
      </c>
      <c r="AF212" s="1224">
        <f>AE212*$T$158</f>
        <v>0</v>
      </c>
      <c r="AG212" s="1225"/>
      <c r="AI212" s="1218"/>
      <c r="AL212" s="848"/>
      <c r="AM212" s="827"/>
    </row>
    <row r="213" spans="1:43" s="585" customFormat="1" ht="16.2" thickBot="1">
      <c r="F213" s="1235">
        <f>SUM(F209:F212)</f>
        <v>0</v>
      </c>
      <c r="G213" s="1236" t="s">
        <v>769</v>
      </c>
      <c r="I213" s="1218"/>
      <c r="L213" s="848"/>
      <c r="M213" s="827"/>
      <c r="AF213" s="1235">
        <f>SUM(AF209:AF212)</f>
        <v>0</v>
      </c>
      <c r="AG213" s="1236" t="s">
        <v>769</v>
      </c>
      <c r="AI213" s="1218"/>
      <c r="AL213" s="848"/>
      <c r="AM213" s="827"/>
    </row>
    <row r="214" spans="1:43" s="585" customFormat="1" ht="16.2" thickBot="1">
      <c r="I214" s="1218"/>
      <c r="L214" s="848"/>
      <c r="M214" s="827"/>
      <c r="AI214" s="1218"/>
      <c r="AL214" s="848"/>
      <c r="AM214" s="827"/>
    </row>
    <row r="215" spans="1:43" s="585" customFormat="1" ht="16.2" thickBot="1">
      <c r="A215" s="1842" t="s">
        <v>773</v>
      </c>
      <c r="B215" s="1843"/>
      <c r="C215" s="1843"/>
      <c r="D215" s="1843"/>
      <c r="E215" s="1843"/>
      <c r="F215" s="1843"/>
      <c r="G215" s="1844"/>
      <c r="I215" s="1302">
        <f>$I$160</f>
        <v>0</v>
      </c>
      <c r="K215" s="1845" t="s">
        <v>773</v>
      </c>
      <c r="L215" s="1846"/>
      <c r="M215" s="1846"/>
      <c r="N215" s="1846"/>
      <c r="O215" s="1846"/>
      <c r="P215" s="1847"/>
      <c r="AA215" s="1842" t="s">
        <v>773</v>
      </c>
      <c r="AB215" s="1843"/>
      <c r="AC215" s="1843"/>
      <c r="AD215" s="1843"/>
      <c r="AE215" s="1843"/>
      <c r="AF215" s="1843"/>
      <c r="AG215" s="1844"/>
      <c r="AI215" s="1302">
        <f>$AI$160</f>
        <v>0</v>
      </c>
      <c r="AK215" s="1845" t="s">
        <v>773</v>
      </c>
      <c r="AL215" s="1846"/>
      <c r="AM215" s="1846"/>
      <c r="AN215" s="1846"/>
      <c r="AO215" s="1846"/>
      <c r="AP215" s="1847"/>
    </row>
    <row r="216" spans="1:43" s="585" customFormat="1" ht="16.2" thickBot="1">
      <c r="A216" s="142"/>
      <c r="B216" s="1194" t="s">
        <v>746</v>
      </c>
      <c r="C216" s="1195" t="s">
        <v>747</v>
      </c>
      <c r="D216" s="1196" t="s">
        <v>748</v>
      </c>
      <c r="E216" s="1196" t="s">
        <v>749</v>
      </c>
      <c r="F216" s="1196" t="s">
        <v>750</v>
      </c>
      <c r="G216" s="1197" t="s">
        <v>751</v>
      </c>
      <c r="I216" s="1218"/>
      <c r="K216" s="1274" t="s">
        <v>805</v>
      </c>
      <c r="L216" s="1276" t="s">
        <v>746</v>
      </c>
      <c r="M216" s="1277" t="s">
        <v>747</v>
      </c>
      <c r="N216" s="1275" t="s">
        <v>748</v>
      </c>
      <c r="O216" s="1275" t="s">
        <v>749</v>
      </c>
      <c r="P216" s="1197" t="s">
        <v>750</v>
      </c>
      <c r="AA216" s="142"/>
      <c r="AB216" s="1194" t="s">
        <v>746</v>
      </c>
      <c r="AC216" s="1195" t="s">
        <v>747</v>
      </c>
      <c r="AD216" s="1196" t="s">
        <v>748</v>
      </c>
      <c r="AE216" s="1196" t="s">
        <v>749</v>
      </c>
      <c r="AF216" s="1196" t="s">
        <v>750</v>
      </c>
      <c r="AG216" s="1197" t="s">
        <v>751</v>
      </c>
      <c r="AI216" s="1218"/>
      <c r="AK216" s="1274" t="s">
        <v>805</v>
      </c>
      <c r="AL216" s="1276" t="s">
        <v>746</v>
      </c>
      <c r="AM216" s="1277" t="s">
        <v>747</v>
      </c>
      <c r="AN216" s="1275" t="s">
        <v>748</v>
      </c>
      <c r="AO216" s="1275" t="s">
        <v>749</v>
      </c>
      <c r="AP216" s="1197" t="s">
        <v>750</v>
      </c>
    </row>
    <row r="217" spans="1:43" s="585" customFormat="1" ht="16.2" thickBot="1">
      <c r="A217" s="1232" t="s">
        <v>768</v>
      </c>
      <c r="B217" s="1204" t="s">
        <v>767</v>
      </c>
      <c r="C217" s="1205">
        <v>55</v>
      </c>
      <c r="D217" s="1206" t="s">
        <v>760</v>
      </c>
      <c r="E217" s="1207">
        <f>ROUNDUP(I215/C217,0)</f>
        <v>0</v>
      </c>
      <c r="F217" s="1208">
        <f>E217*SL</f>
        <v>0</v>
      </c>
      <c r="G217" s="1209"/>
      <c r="I217" s="1218"/>
      <c r="K217" s="1271" t="s">
        <v>643</v>
      </c>
      <c r="L217" s="1214" t="s">
        <v>810</v>
      </c>
      <c r="M217" s="1214">
        <v>0.15</v>
      </c>
      <c r="N217" s="1215" t="s">
        <v>807</v>
      </c>
      <c r="O217" s="1273">
        <f>CEILING(I215*M217,40)</f>
        <v>0</v>
      </c>
      <c r="P217" s="1272">
        <f>IF((O217+O218)&lt;240,(O217*$X$147),(O217*microFlake))</f>
        <v>0</v>
      </c>
      <c r="Q217" s="585" t="s">
        <v>1182</v>
      </c>
      <c r="AA217" s="1232" t="s">
        <v>768</v>
      </c>
      <c r="AB217" s="1204" t="s">
        <v>767</v>
      </c>
      <c r="AC217" s="1205">
        <v>55</v>
      </c>
      <c r="AD217" s="1206" t="s">
        <v>760</v>
      </c>
      <c r="AE217" s="1207">
        <f>ROUNDUP(AI215/AC217,0)</f>
        <v>0</v>
      </c>
      <c r="AF217" s="1208">
        <f>AE217*SL</f>
        <v>0</v>
      </c>
      <c r="AG217" s="1209"/>
      <c r="AI217" s="1218"/>
      <c r="AK217" s="1271" t="s">
        <v>643</v>
      </c>
      <c r="AL217" s="1214" t="s">
        <v>810</v>
      </c>
      <c r="AM217" s="1214">
        <v>0.15</v>
      </c>
      <c r="AN217" s="1215" t="s">
        <v>807</v>
      </c>
      <c r="AO217" s="1273">
        <f>CEILING(AI215*AM217,40)</f>
        <v>0</v>
      </c>
      <c r="AP217" s="1272">
        <f>IF((AO217+AO218)&lt;240,(AO217*$X$147),(AO217*microFlake))</f>
        <v>0</v>
      </c>
      <c r="AQ217" s="585" t="s">
        <v>1182</v>
      </c>
    </row>
    <row r="218" spans="1:43" s="585" customFormat="1" ht="16.2" thickBot="1">
      <c r="A218" s="1226" t="s">
        <v>764</v>
      </c>
      <c r="B218" s="1198" t="s">
        <v>758</v>
      </c>
      <c r="C218" s="1199">
        <v>150</v>
      </c>
      <c r="D218" s="1200" t="s">
        <v>753</v>
      </c>
      <c r="E218" s="1201">
        <f>ROUNDUP(I215/C218,0)</f>
        <v>0</v>
      </c>
      <c r="F218" s="1202">
        <f>E218*Glaze4</f>
        <v>0</v>
      </c>
      <c r="G218" s="1203"/>
      <c r="I218" s="1218"/>
      <c r="K218" s="1271" t="s">
        <v>643</v>
      </c>
      <c r="L218" s="1214" t="s">
        <v>810</v>
      </c>
      <c r="M218" s="1214">
        <v>0.15</v>
      </c>
      <c r="N218" s="1215" t="s">
        <v>807</v>
      </c>
      <c r="O218" s="1273">
        <f>CEILING(I215*M218,40)</f>
        <v>0</v>
      </c>
      <c r="P218" s="1272">
        <f>IF((O217+O218)&lt;240,(O218*$X$147),(O218*microFlake))</f>
        <v>0</v>
      </c>
      <c r="Q218" s="585" t="s">
        <v>1182</v>
      </c>
      <c r="AA218" s="1226" t="s">
        <v>764</v>
      </c>
      <c r="AB218" s="1198" t="s">
        <v>758</v>
      </c>
      <c r="AC218" s="1199">
        <v>150</v>
      </c>
      <c r="AD218" s="1200" t="s">
        <v>753</v>
      </c>
      <c r="AE218" s="1201">
        <f>ROUNDUP(AI215/AC218,0)</f>
        <v>0</v>
      </c>
      <c r="AF218" s="1202">
        <f>AE218*Glaze4</f>
        <v>0</v>
      </c>
      <c r="AG218" s="1203"/>
      <c r="AI218" s="1218"/>
      <c r="AK218" s="1271" t="s">
        <v>643</v>
      </c>
      <c r="AL218" s="1214" t="s">
        <v>810</v>
      </c>
      <c r="AM218" s="1214">
        <v>0.15</v>
      </c>
      <c r="AN218" s="1215" t="s">
        <v>807</v>
      </c>
      <c r="AO218" s="1273">
        <f>CEILING(AI215*AM218,40)</f>
        <v>0</v>
      </c>
      <c r="AP218" s="1272">
        <f>IF((AO217+AO218)&lt;240,(AO218*$X$147),(AO218*microFlake))</f>
        <v>0</v>
      </c>
      <c r="AQ218" s="585" t="s">
        <v>1182</v>
      </c>
    </row>
    <row r="219" spans="1:43" s="585" customFormat="1" ht="16.2" thickBot="1">
      <c r="A219" s="1252" t="s">
        <v>757</v>
      </c>
      <c r="B219" s="1253" t="s">
        <v>758</v>
      </c>
      <c r="C219" s="1254">
        <v>125</v>
      </c>
      <c r="D219" s="1255" t="s">
        <v>753</v>
      </c>
      <c r="E219" s="1256">
        <f>ROUNDUP(I215/C219,0)</f>
        <v>0</v>
      </c>
      <c r="F219" s="1257">
        <f>E219*Glaze4</f>
        <v>0</v>
      </c>
      <c r="G219" s="1258"/>
      <c r="I219" s="1218"/>
      <c r="L219" s="848"/>
      <c r="M219" s="827"/>
      <c r="O219" s="1279" t="s">
        <v>819</v>
      </c>
      <c r="P219" s="1280">
        <f>SUM(P217:P218)</f>
        <v>0</v>
      </c>
      <c r="AA219" s="1252" t="s">
        <v>757</v>
      </c>
      <c r="AB219" s="1253" t="s">
        <v>758</v>
      </c>
      <c r="AC219" s="1254">
        <v>125</v>
      </c>
      <c r="AD219" s="1255" t="s">
        <v>753</v>
      </c>
      <c r="AE219" s="1256">
        <f>ROUNDUP(AI215/AC219,0)</f>
        <v>0</v>
      </c>
      <c r="AF219" s="1257">
        <f>AE219*Glaze4</f>
        <v>0</v>
      </c>
      <c r="AG219" s="1258"/>
      <c r="AI219" s="1218"/>
      <c r="AL219" s="848"/>
      <c r="AM219" s="827"/>
      <c r="AO219" s="1279" t="s">
        <v>819</v>
      </c>
      <c r="AP219" s="1280">
        <f>SUM(AP217:AP218)</f>
        <v>0</v>
      </c>
    </row>
    <row r="220" spans="1:43" s="585" customFormat="1" ht="16.2" thickBot="1">
      <c r="A220" s="1219" t="s">
        <v>761</v>
      </c>
      <c r="B220" s="1220" t="s">
        <v>759</v>
      </c>
      <c r="C220" s="1221">
        <v>775</v>
      </c>
      <c r="D220" s="1222" t="s">
        <v>760</v>
      </c>
      <c r="E220" s="1223">
        <f>ROUNDUP(I215/C220,0)</f>
        <v>0</v>
      </c>
      <c r="F220" s="1224">
        <f>E220*$T$158</f>
        <v>0</v>
      </c>
      <c r="G220" s="1225"/>
      <c r="I220" s="1218"/>
      <c r="L220" s="848"/>
      <c r="M220" s="827"/>
      <c r="AA220" s="1219" t="s">
        <v>761</v>
      </c>
      <c r="AB220" s="1220" t="s">
        <v>759</v>
      </c>
      <c r="AC220" s="1221">
        <v>775</v>
      </c>
      <c r="AD220" s="1222" t="s">
        <v>760</v>
      </c>
      <c r="AE220" s="1223">
        <f>ROUNDUP(AI215/AC220,0)</f>
        <v>0</v>
      </c>
      <c r="AF220" s="1224">
        <f>AE220*$T$158</f>
        <v>0</v>
      </c>
      <c r="AG220" s="1225"/>
      <c r="AI220" s="1218"/>
      <c r="AL220" s="848"/>
      <c r="AM220" s="827"/>
    </row>
    <row r="221" spans="1:43" s="585" customFormat="1" ht="16.2" thickBot="1">
      <c r="F221" s="1235">
        <f>SUM(F217:F220)</f>
        <v>0</v>
      </c>
      <c r="G221" s="1236" t="s">
        <v>769</v>
      </c>
      <c r="I221" s="1218"/>
      <c r="L221" s="848"/>
      <c r="M221" s="827"/>
      <c r="AF221" s="1235">
        <f>SUM(AF217:AF220)</f>
        <v>0</v>
      </c>
      <c r="AG221" s="1236" t="s">
        <v>769</v>
      </c>
      <c r="AI221" s="1218"/>
      <c r="AL221" s="848"/>
      <c r="AM221" s="827"/>
    </row>
    <row r="222" spans="1:43" s="585" customFormat="1" ht="16.2" thickBot="1">
      <c r="I222" s="1218"/>
      <c r="L222" s="848"/>
      <c r="M222" s="827"/>
      <c r="AI222" s="1218"/>
      <c r="AL222" s="848"/>
      <c r="AM222" s="827"/>
    </row>
    <row r="223" spans="1:43" s="585" customFormat="1" ht="16.2" thickBot="1">
      <c r="A223" s="1842" t="s">
        <v>779</v>
      </c>
      <c r="B223" s="1843"/>
      <c r="C223" s="1843"/>
      <c r="D223" s="1843"/>
      <c r="E223" s="1843"/>
      <c r="F223" s="1843"/>
      <c r="G223" s="1844"/>
      <c r="I223" s="1302">
        <f>$I$160</f>
        <v>0</v>
      </c>
      <c r="K223" s="1845" t="s">
        <v>779</v>
      </c>
      <c r="L223" s="1846"/>
      <c r="M223" s="1846"/>
      <c r="N223" s="1846"/>
      <c r="O223" s="1846"/>
      <c r="P223" s="1847"/>
      <c r="AA223" s="1842" t="s">
        <v>779</v>
      </c>
      <c r="AB223" s="1843"/>
      <c r="AC223" s="1843"/>
      <c r="AD223" s="1843"/>
      <c r="AE223" s="1843"/>
      <c r="AF223" s="1843"/>
      <c r="AG223" s="1844"/>
      <c r="AI223" s="1302">
        <f>$AI$160</f>
        <v>0</v>
      </c>
      <c r="AK223" s="1845" t="s">
        <v>779</v>
      </c>
      <c r="AL223" s="1846"/>
      <c r="AM223" s="1846"/>
      <c r="AN223" s="1846"/>
      <c r="AO223" s="1846"/>
      <c r="AP223" s="1847"/>
    </row>
    <row r="224" spans="1:43" s="585" customFormat="1" ht="16.2" thickBot="1">
      <c r="A224" s="142"/>
      <c r="B224" s="1194" t="s">
        <v>746</v>
      </c>
      <c r="C224" s="1195" t="s">
        <v>747</v>
      </c>
      <c r="D224" s="1196" t="s">
        <v>748</v>
      </c>
      <c r="E224" s="1196" t="s">
        <v>749</v>
      </c>
      <c r="F224" s="1196" t="s">
        <v>750</v>
      </c>
      <c r="G224" s="1197" t="s">
        <v>751</v>
      </c>
      <c r="I224" s="1218"/>
      <c r="K224" s="1274" t="s">
        <v>805</v>
      </c>
      <c r="L224" s="1276" t="s">
        <v>746</v>
      </c>
      <c r="M224" s="1277" t="s">
        <v>747</v>
      </c>
      <c r="N224" s="1275" t="s">
        <v>748</v>
      </c>
      <c r="O224" s="1275" t="s">
        <v>749</v>
      </c>
      <c r="P224" s="1197" t="s">
        <v>750</v>
      </c>
      <c r="AA224" s="142"/>
      <c r="AB224" s="1194" t="s">
        <v>746</v>
      </c>
      <c r="AC224" s="1195" t="s">
        <v>747</v>
      </c>
      <c r="AD224" s="1196" t="s">
        <v>748</v>
      </c>
      <c r="AE224" s="1196" t="s">
        <v>749</v>
      </c>
      <c r="AF224" s="1196" t="s">
        <v>750</v>
      </c>
      <c r="AG224" s="1197" t="s">
        <v>751</v>
      </c>
      <c r="AI224" s="1218"/>
      <c r="AK224" s="1274" t="s">
        <v>805</v>
      </c>
      <c r="AL224" s="1276" t="s">
        <v>746</v>
      </c>
      <c r="AM224" s="1277" t="s">
        <v>747</v>
      </c>
      <c r="AN224" s="1275" t="s">
        <v>748</v>
      </c>
      <c r="AO224" s="1275" t="s">
        <v>749</v>
      </c>
      <c r="AP224" s="1197" t="s">
        <v>750</v>
      </c>
    </row>
    <row r="225" spans="1:44" s="585" customFormat="1" ht="16.2" thickBot="1">
      <c r="A225" s="1226" t="s">
        <v>776</v>
      </c>
      <c r="B225" s="1244" t="s">
        <v>777</v>
      </c>
      <c r="C225" s="1199">
        <v>75</v>
      </c>
      <c r="D225" s="1200" t="s">
        <v>755</v>
      </c>
      <c r="E225" s="1201">
        <f>ROUNDUP(I223/C225,0)</f>
        <v>0</v>
      </c>
      <c r="F225" s="1202">
        <f>E225*Accelera_PgmntEXT</f>
        <v>0</v>
      </c>
      <c r="G225" s="1203"/>
      <c r="I225" s="1218"/>
      <c r="K225" s="1271" t="s">
        <v>642</v>
      </c>
      <c r="L225" s="1214" t="s">
        <v>810</v>
      </c>
      <c r="M225" s="1214">
        <v>0.15</v>
      </c>
      <c r="N225" s="1215" t="s">
        <v>807</v>
      </c>
      <c r="O225" s="1273">
        <f>CEILING(I223*M225,40)</f>
        <v>0</v>
      </c>
      <c r="P225" s="1272">
        <f>IF(O225&lt;240,(O225*$X$146),(O225*MACROFlake))</f>
        <v>0</v>
      </c>
      <c r="Q225" s="585" t="s">
        <v>1182</v>
      </c>
      <c r="AA225" s="1226" t="s">
        <v>776</v>
      </c>
      <c r="AB225" s="1244" t="s">
        <v>777</v>
      </c>
      <c r="AC225" s="1199">
        <v>75</v>
      </c>
      <c r="AD225" s="1200" t="s">
        <v>755</v>
      </c>
      <c r="AE225" s="1201">
        <f>ROUNDUP(AI223/AC225,0)</f>
        <v>0</v>
      </c>
      <c r="AF225" s="1202">
        <f>AE225*Accelera_PgmntEXT</f>
        <v>0</v>
      </c>
      <c r="AG225" s="1203"/>
      <c r="AI225" s="1218"/>
      <c r="AK225" s="1271" t="s">
        <v>642</v>
      </c>
      <c r="AL225" s="1214" t="s">
        <v>810</v>
      </c>
      <c r="AM225" s="1214">
        <v>0.15</v>
      </c>
      <c r="AN225" s="1215" t="s">
        <v>807</v>
      </c>
      <c r="AO225" s="1273">
        <f>CEILING(AI223*AM225,40)</f>
        <v>0</v>
      </c>
      <c r="AP225" s="1272">
        <f>IF(AO225&lt;240,(AO225*$X$146),(AO225*MACROFlake))</f>
        <v>0</v>
      </c>
      <c r="AQ225" s="585" t="s">
        <v>1182</v>
      </c>
    </row>
    <row r="226" spans="1:44" s="585" customFormat="1" ht="16.2" thickBot="1">
      <c r="A226" s="1245" t="s">
        <v>761</v>
      </c>
      <c r="B226" s="1246" t="s">
        <v>754</v>
      </c>
      <c r="C226" s="1247">
        <v>65</v>
      </c>
      <c r="D226" s="1248" t="s">
        <v>755</v>
      </c>
      <c r="E226" s="1249">
        <f>ROUNDUP(I223/C226,0)</f>
        <v>0</v>
      </c>
      <c r="F226" s="1250">
        <f>E226*Accelera_ClearEXT</f>
        <v>0</v>
      </c>
      <c r="G226" s="1251" t="s">
        <v>778</v>
      </c>
      <c r="I226" s="1218"/>
      <c r="L226" s="848"/>
      <c r="M226" s="827"/>
      <c r="O226" s="1279" t="s">
        <v>819</v>
      </c>
      <c r="P226" s="1280">
        <f>SUM(P225)</f>
        <v>0</v>
      </c>
      <c r="AA226" s="1245" t="s">
        <v>761</v>
      </c>
      <c r="AB226" s="1246" t="s">
        <v>754</v>
      </c>
      <c r="AC226" s="1247">
        <v>65</v>
      </c>
      <c r="AD226" s="1248" t="s">
        <v>755</v>
      </c>
      <c r="AE226" s="1249">
        <f>ROUNDUP(AI223/AC226,0)</f>
        <v>0</v>
      </c>
      <c r="AF226" s="1250">
        <f>AE226*Accelera_ClearEXT</f>
        <v>0</v>
      </c>
      <c r="AG226" s="1251" t="s">
        <v>778</v>
      </c>
      <c r="AI226" s="1218"/>
      <c r="AL226" s="848"/>
      <c r="AM226" s="827"/>
      <c r="AO226" s="1279" t="s">
        <v>819</v>
      </c>
      <c r="AP226" s="1280">
        <f>SUM(AP225)</f>
        <v>0</v>
      </c>
    </row>
    <row r="227" spans="1:44" s="585" customFormat="1" ht="16.2" thickBot="1">
      <c r="F227" s="1235">
        <f>SUM(F225:F226)</f>
        <v>0</v>
      </c>
      <c r="G227" s="1236" t="s">
        <v>769</v>
      </c>
      <c r="I227" s="1218"/>
      <c r="L227" s="848"/>
      <c r="M227" s="827"/>
      <c r="AF227" s="1235">
        <f>SUM(AF225:AF226)</f>
        <v>0</v>
      </c>
      <c r="AG227" s="1236" t="s">
        <v>769</v>
      </c>
      <c r="AI227" s="1218"/>
      <c r="AL227" s="848"/>
      <c r="AM227" s="827"/>
    </row>
    <row r="228" spans="1:44" s="585" customFormat="1">
      <c r="I228" s="1218"/>
      <c r="L228" s="848"/>
      <c r="M228" s="827"/>
      <c r="AI228" s="1218"/>
      <c r="AL228" s="848"/>
      <c r="AM228" s="827"/>
    </row>
    <row r="229" spans="1:44" s="585" customFormat="1">
      <c r="I229" s="1218"/>
      <c r="L229" s="848"/>
      <c r="M229" s="827"/>
      <c r="AI229" s="1218"/>
      <c r="AL229" s="848"/>
      <c r="AM229" s="827"/>
    </row>
    <row r="230" spans="1:44" s="585" customFormat="1" ht="21.6" thickBot="1">
      <c r="A230" s="1862" t="s">
        <v>780</v>
      </c>
      <c r="B230" s="1858"/>
      <c r="C230" s="1858"/>
      <c r="D230" s="1858"/>
      <c r="E230" s="1858"/>
      <c r="F230" s="1858"/>
      <c r="G230" s="1858"/>
      <c r="I230" s="1218"/>
      <c r="K230" s="1859" t="s">
        <v>780</v>
      </c>
      <c r="L230" s="1859"/>
      <c r="M230" s="1859"/>
      <c r="N230" s="1859"/>
      <c r="O230" s="1859"/>
      <c r="P230" s="1859"/>
      <c r="AA230" s="1858" t="s">
        <v>780</v>
      </c>
      <c r="AB230" s="1858"/>
      <c r="AC230" s="1858"/>
      <c r="AD230" s="1858"/>
      <c r="AE230" s="1858"/>
      <c r="AF230" s="1858"/>
      <c r="AG230" s="1858"/>
      <c r="AI230" s="1218"/>
      <c r="AK230" s="1859" t="s">
        <v>780</v>
      </c>
      <c r="AL230" s="1859"/>
      <c r="AM230" s="1859"/>
      <c r="AN230" s="1859"/>
      <c r="AO230" s="1859"/>
      <c r="AP230" s="1859"/>
    </row>
    <row r="231" spans="1:44" s="585" customFormat="1" ht="16.2" thickBot="1">
      <c r="A231" s="1842" t="s">
        <v>781</v>
      </c>
      <c r="B231" s="1843"/>
      <c r="C231" s="1843"/>
      <c r="D231" s="1843"/>
      <c r="E231" s="1843"/>
      <c r="F231" s="1843"/>
      <c r="G231" s="1844"/>
      <c r="I231" s="1302">
        <f>$I$160</f>
        <v>0</v>
      </c>
      <c r="K231" s="1845" t="s">
        <v>816</v>
      </c>
      <c r="L231" s="1846"/>
      <c r="M231" s="1846"/>
      <c r="N231" s="1846"/>
      <c r="O231" s="1846"/>
      <c r="P231" s="1847"/>
      <c r="AA231" s="1842" t="s">
        <v>781</v>
      </c>
      <c r="AB231" s="1843"/>
      <c r="AC231" s="1843"/>
      <c r="AD231" s="1843"/>
      <c r="AE231" s="1843"/>
      <c r="AF231" s="1843"/>
      <c r="AG231" s="1844"/>
      <c r="AI231" s="1302">
        <f>$AI$160</f>
        <v>0</v>
      </c>
      <c r="AK231" s="1845" t="s">
        <v>816</v>
      </c>
      <c r="AL231" s="1846"/>
      <c r="AM231" s="1846"/>
      <c r="AN231" s="1846"/>
      <c r="AO231" s="1846"/>
      <c r="AP231" s="1847"/>
    </row>
    <row r="232" spans="1:44" s="585" customFormat="1" ht="16.2" thickBot="1">
      <c r="A232" s="142"/>
      <c r="B232" s="1194" t="s">
        <v>746</v>
      </c>
      <c r="C232" s="1195" t="s">
        <v>747</v>
      </c>
      <c r="D232" s="1196" t="s">
        <v>748</v>
      </c>
      <c r="E232" s="1196" t="s">
        <v>749</v>
      </c>
      <c r="F232" s="1196" t="s">
        <v>750</v>
      </c>
      <c r="G232" s="1197" t="s">
        <v>751</v>
      </c>
      <c r="I232" s="1218"/>
      <c r="K232" s="1274" t="s">
        <v>805</v>
      </c>
      <c r="L232" s="1276" t="s">
        <v>746</v>
      </c>
      <c r="M232" s="1277" t="s">
        <v>747</v>
      </c>
      <c r="N232" s="1275" t="s">
        <v>748</v>
      </c>
      <c r="O232" s="1275" t="s">
        <v>749</v>
      </c>
      <c r="P232" s="1197" t="s">
        <v>750</v>
      </c>
      <c r="AA232" s="142"/>
      <c r="AB232" s="1194" t="s">
        <v>746</v>
      </c>
      <c r="AC232" s="1195" t="s">
        <v>747</v>
      </c>
      <c r="AD232" s="1196" t="s">
        <v>748</v>
      </c>
      <c r="AE232" s="1196" t="s">
        <v>749</v>
      </c>
      <c r="AF232" s="1196" t="s">
        <v>750</v>
      </c>
      <c r="AG232" s="1197" t="s">
        <v>751</v>
      </c>
      <c r="AI232" s="1218"/>
      <c r="AK232" s="1274" t="s">
        <v>805</v>
      </c>
      <c r="AL232" s="1276" t="s">
        <v>746</v>
      </c>
      <c r="AM232" s="1277" t="s">
        <v>747</v>
      </c>
      <c r="AN232" s="1275" t="s">
        <v>748</v>
      </c>
      <c r="AO232" s="1275" t="s">
        <v>749</v>
      </c>
      <c r="AP232" s="1197" t="s">
        <v>750</v>
      </c>
    </row>
    <row r="233" spans="1:44" s="585" customFormat="1" ht="16.2" thickBot="1">
      <c r="A233" s="1226" t="s">
        <v>763</v>
      </c>
      <c r="B233" s="1198" t="s">
        <v>758</v>
      </c>
      <c r="C233" s="1199">
        <v>100</v>
      </c>
      <c r="D233" s="1200" t="s">
        <v>753</v>
      </c>
      <c r="E233" s="1201">
        <f>ROUNDUP(I231/C233,0)</f>
        <v>0</v>
      </c>
      <c r="F233" s="1202">
        <f>E233*Glaze4</f>
        <v>0</v>
      </c>
      <c r="G233" s="1203"/>
      <c r="I233" s="1218"/>
      <c r="K233" s="1271" t="s">
        <v>812</v>
      </c>
      <c r="L233" s="1214" t="s">
        <v>811</v>
      </c>
      <c r="M233" s="1214">
        <v>0.5</v>
      </c>
      <c r="N233" s="1215" t="s">
        <v>807</v>
      </c>
      <c r="O233" s="1273">
        <f>CEILING(I231*M233,50)</f>
        <v>0</v>
      </c>
      <c r="P233" s="1272">
        <f>IF((O233+O234)&lt;450,(O233*$X$148),(O233*Q28_40s))</f>
        <v>0</v>
      </c>
      <c r="Q233" s="585" t="s">
        <v>1182</v>
      </c>
      <c r="AA233" s="1226" t="s">
        <v>763</v>
      </c>
      <c r="AB233" s="1198" t="s">
        <v>758</v>
      </c>
      <c r="AC233" s="1199">
        <v>100</v>
      </c>
      <c r="AD233" s="1200" t="s">
        <v>753</v>
      </c>
      <c r="AE233" s="1201">
        <f>ROUNDUP(AI231/AC233,0)</f>
        <v>0</v>
      </c>
      <c r="AF233" s="1202">
        <f>AE233*Glaze4</f>
        <v>0</v>
      </c>
      <c r="AG233" s="1203"/>
      <c r="AI233" s="1218"/>
      <c r="AK233" s="1271" t="s">
        <v>812</v>
      </c>
      <c r="AL233" s="1214" t="s">
        <v>811</v>
      </c>
      <c r="AM233" s="1214">
        <v>0.5</v>
      </c>
      <c r="AN233" s="1215" t="s">
        <v>807</v>
      </c>
      <c r="AO233" s="1273">
        <f>CEILING(AI231*AM233,50)</f>
        <v>0</v>
      </c>
      <c r="AP233" s="1272">
        <f>IF((AO233+AO234)&lt;450,(AO233*$X$148),(AO233*Q28_40s))</f>
        <v>0</v>
      </c>
      <c r="AQ233" s="585" t="s">
        <v>1182</v>
      </c>
    </row>
    <row r="234" spans="1:44" s="594" customFormat="1" ht="16.2" thickBot="1">
      <c r="A234" s="1252" t="s">
        <v>764</v>
      </c>
      <c r="B234" s="1253" t="s">
        <v>758</v>
      </c>
      <c r="C234" s="1254">
        <v>90</v>
      </c>
      <c r="D234" s="1255" t="s">
        <v>753</v>
      </c>
      <c r="E234" s="1256">
        <f>ROUNDUP(I231/C234,0)</f>
        <v>0</v>
      </c>
      <c r="F234" s="1257">
        <f>E234*Glaze4</f>
        <v>0</v>
      </c>
      <c r="G234" s="1258"/>
      <c r="H234" s="585"/>
      <c r="I234" s="1218"/>
      <c r="J234" s="585"/>
      <c r="K234" s="1271" t="s">
        <v>812</v>
      </c>
      <c r="L234" s="1214" t="s">
        <v>811</v>
      </c>
      <c r="M234" s="1214">
        <v>0.4</v>
      </c>
      <c r="N234" s="1215" t="s">
        <v>807</v>
      </c>
      <c r="O234" s="1273">
        <f>CEILING(I231*M234,50)</f>
        <v>0</v>
      </c>
      <c r="P234" s="1272">
        <f>IF((O233+O234)&lt;450,(O234*$X$148),(O234*Q28_40s))</f>
        <v>0</v>
      </c>
      <c r="Q234" s="585" t="s">
        <v>1182</v>
      </c>
      <c r="R234" s="585"/>
      <c r="S234" s="585"/>
      <c r="T234" s="585"/>
      <c r="AA234" s="1252" t="s">
        <v>764</v>
      </c>
      <c r="AB234" s="1253" t="s">
        <v>758</v>
      </c>
      <c r="AC234" s="1254">
        <v>90</v>
      </c>
      <c r="AD234" s="1255" t="s">
        <v>753</v>
      </c>
      <c r="AE234" s="1256">
        <f>ROUNDUP(AI231/AC234,0)</f>
        <v>0</v>
      </c>
      <c r="AF234" s="1257">
        <f>AE234*Glaze4</f>
        <v>0</v>
      </c>
      <c r="AG234" s="1258"/>
      <c r="AH234" s="585"/>
      <c r="AI234" s="1218"/>
      <c r="AJ234" s="585"/>
      <c r="AK234" s="1271" t="s">
        <v>812</v>
      </c>
      <c r="AL234" s="1214" t="s">
        <v>811</v>
      </c>
      <c r="AM234" s="1214">
        <v>0.4</v>
      </c>
      <c r="AN234" s="1215" t="s">
        <v>807</v>
      </c>
      <c r="AO234" s="1273">
        <f>CEILING(AI231*AM234,50)</f>
        <v>0</v>
      </c>
      <c r="AP234" s="1272">
        <f>IF((AO233+AO234)&lt;450,(AO234*$X$148),(AO234*Q28_40s))</f>
        <v>0</v>
      </c>
      <c r="AQ234" s="585" t="s">
        <v>1182</v>
      </c>
      <c r="AR234" s="585"/>
    </row>
    <row r="235" spans="1:44" s="594" customFormat="1" ht="16.2" thickBot="1">
      <c r="A235" s="1226" t="s">
        <v>757</v>
      </c>
      <c r="B235" s="1198" t="s">
        <v>758</v>
      </c>
      <c r="C235" s="1199">
        <v>90</v>
      </c>
      <c r="D235" s="1200" t="s">
        <v>753</v>
      </c>
      <c r="E235" s="1201">
        <f>ROUNDUP(I231/C235,0)</f>
        <v>0</v>
      </c>
      <c r="F235" s="1202">
        <f>E235*Glaze4</f>
        <v>0</v>
      </c>
      <c r="G235" s="1203"/>
      <c r="H235" s="585"/>
      <c r="I235" s="1218"/>
      <c r="J235" s="585"/>
      <c r="K235" s="585"/>
      <c r="L235" s="848"/>
      <c r="M235" s="827"/>
      <c r="N235" s="585"/>
      <c r="O235" s="1279" t="s">
        <v>819</v>
      </c>
      <c r="P235" s="1280">
        <f>SUM(P233:P234)</f>
        <v>0</v>
      </c>
      <c r="Q235" s="585"/>
      <c r="R235" s="593"/>
      <c r="S235" s="593"/>
      <c r="AA235" s="1226" t="s">
        <v>757</v>
      </c>
      <c r="AB235" s="1198" t="s">
        <v>758</v>
      </c>
      <c r="AC235" s="1199">
        <v>90</v>
      </c>
      <c r="AD235" s="1200" t="s">
        <v>753</v>
      </c>
      <c r="AE235" s="1201">
        <f>ROUNDUP(AI231/AC235,0)</f>
        <v>0</v>
      </c>
      <c r="AF235" s="1202">
        <f>AE235*Glaze4</f>
        <v>0</v>
      </c>
      <c r="AG235" s="1203"/>
      <c r="AH235" s="585"/>
      <c r="AI235" s="1218"/>
      <c r="AJ235" s="585"/>
      <c r="AK235" s="585"/>
      <c r="AL235" s="848"/>
      <c r="AM235" s="827"/>
      <c r="AN235" s="585"/>
      <c r="AO235" s="1279" t="s">
        <v>819</v>
      </c>
      <c r="AP235" s="1280">
        <f>SUM(AP233:AP234)</f>
        <v>0</v>
      </c>
      <c r="AQ235" s="585"/>
      <c r="AR235" s="593"/>
    </row>
    <row r="236" spans="1:44" s="594" customFormat="1" ht="16.2" thickBot="1">
      <c r="A236" s="1219" t="s">
        <v>761</v>
      </c>
      <c r="B236" s="1220" t="s">
        <v>759</v>
      </c>
      <c r="C236" s="1221">
        <v>775</v>
      </c>
      <c r="D236" s="1222" t="s">
        <v>760</v>
      </c>
      <c r="E236" s="1223">
        <f>ROUNDUP(I231/C236,0)</f>
        <v>0</v>
      </c>
      <c r="F236" s="1224">
        <f>E236*$T$158</f>
        <v>0</v>
      </c>
      <c r="G236" s="1225"/>
      <c r="H236" s="585"/>
      <c r="I236" s="1218"/>
      <c r="J236" s="585"/>
      <c r="K236" s="585"/>
      <c r="L236" s="848"/>
      <c r="M236" s="827"/>
      <c r="N236" s="585"/>
      <c r="O236" s="585"/>
      <c r="P236" s="593"/>
      <c r="Q236" s="593"/>
      <c r="R236" s="605"/>
      <c r="S236" s="593"/>
      <c r="AA236" s="1219" t="s">
        <v>761</v>
      </c>
      <c r="AB236" s="1220" t="s">
        <v>759</v>
      </c>
      <c r="AC236" s="1221">
        <v>775</v>
      </c>
      <c r="AD236" s="1222" t="s">
        <v>760</v>
      </c>
      <c r="AE236" s="1223">
        <f>ROUNDUP(AI231/AC236,0)</f>
        <v>0</v>
      </c>
      <c r="AF236" s="1224">
        <f>AE236*$T$158</f>
        <v>0</v>
      </c>
      <c r="AG236" s="1225"/>
      <c r="AH236" s="585"/>
      <c r="AI236" s="1218"/>
      <c r="AJ236" s="585"/>
      <c r="AK236" s="585"/>
      <c r="AL236" s="848"/>
      <c r="AM236" s="827"/>
      <c r="AN236" s="585"/>
      <c r="AO236" s="585"/>
      <c r="AP236" s="593"/>
      <c r="AQ236" s="593"/>
      <c r="AR236" s="605"/>
    </row>
    <row r="237" spans="1:44" s="594" customFormat="1" ht="16.2" thickBot="1">
      <c r="A237" s="585"/>
      <c r="B237" s="585"/>
      <c r="C237" s="585"/>
      <c r="D237" s="585"/>
      <c r="E237" s="585"/>
      <c r="F237" s="1235">
        <f>SUM(F233:F236)</f>
        <v>0</v>
      </c>
      <c r="G237" s="1236" t="s">
        <v>769</v>
      </c>
      <c r="H237" s="585"/>
      <c r="I237" s="1218"/>
      <c r="J237" s="585"/>
      <c r="K237" s="585"/>
      <c r="L237" s="848"/>
      <c r="M237" s="827"/>
      <c r="N237" s="585"/>
      <c r="O237" s="585"/>
      <c r="P237" s="593"/>
      <c r="Q237" s="605"/>
      <c r="R237" s="605"/>
      <c r="S237" s="593"/>
      <c r="AA237" s="585"/>
      <c r="AB237" s="585"/>
      <c r="AC237" s="585"/>
      <c r="AD237" s="585"/>
      <c r="AE237" s="585"/>
      <c r="AF237" s="1235">
        <f>SUM(AF233:AF236)</f>
        <v>0</v>
      </c>
      <c r="AG237" s="1236" t="s">
        <v>769</v>
      </c>
      <c r="AH237" s="585"/>
      <c r="AI237" s="1218"/>
      <c r="AJ237" s="585"/>
      <c r="AK237" s="585"/>
      <c r="AL237" s="848"/>
      <c r="AM237" s="827"/>
      <c r="AN237" s="585"/>
      <c r="AO237" s="585"/>
      <c r="AP237" s="593"/>
      <c r="AQ237" s="605"/>
      <c r="AR237" s="605"/>
    </row>
    <row r="238" spans="1:44" s="594" customFormat="1" ht="16.2" thickBot="1">
      <c r="A238" s="585"/>
      <c r="B238" s="585"/>
      <c r="C238" s="585"/>
      <c r="D238" s="585"/>
      <c r="E238" s="585"/>
      <c r="F238" s="585"/>
      <c r="G238" s="585"/>
      <c r="H238" s="585"/>
      <c r="I238" s="1218"/>
      <c r="J238" s="585"/>
      <c r="K238" s="585"/>
      <c r="L238" s="848"/>
      <c r="M238" s="827"/>
      <c r="N238" s="585"/>
      <c r="O238" s="585"/>
      <c r="P238" s="593"/>
      <c r="Q238" s="605"/>
      <c r="R238" s="605"/>
      <c r="S238" s="593"/>
      <c r="AA238" s="585"/>
      <c r="AB238" s="585"/>
      <c r="AC238" s="585"/>
      <c r="AD238" s="585"/>
      <c r="AE238" s="585"/>
      <c r="AF238" s="585"/>
      <c r="AG238" s="585"/>
      <c r="AH238" s="585"/>
      <c r="AI238" s="1218"/>
      <c r="AJ238" s="585"/>
      <c r="AK238" s="585"/>
      <c r="AL238" s="848"/>
      <c r="AM238" s="827"/>
      <c r="AN238" s="585"/>
      <c r="AO238" s="585"/>
      <c r="AP238" s="593"/>
      <c r="AQ238" s="605"/>
      <c r="AR238" s="605"/>
    </row>
    <row r="239" spans="1:44" s="594" customFormat="1" ht="16.2" thickBot="1">
      <c r="A239" s="1842" t="s">
        <v>782</v>
      </c>
      <c r="B239" s="1843"/>
      <c r="C239" s="1843"/>
      <c r="D239" s="1843"/>
      <c r="E239" s="1843"/>
      <c r="F239" s="1843"/>
      <c r="G239" s="1844"/>
      <c r="H239" s="585"/>
      <c r="I239" s="1302">
        <f>$I$160</f>
        <v>0</v>
      </c>
      <c r="J239" s="585"/>
      <c r="K239" s="1845" t="s">
        <v>782</v>
      </c>
      <c r="L239" s="1846"/>
      <c r="M239" s="1846"/>
      <c r="N239" s="1846"/>
      <c r="O239" s="1846"/>
      <c r="P239" s="1847"/>
      <c r="Q239" s="605"/>
      <c r="R239" s="605"/>
      <c r="S239" s="593"/>
      <c r="AA239" s="1842" t="s">
        <v>782</v>
      </c>
      <c r="AB239" s="1843"/>
      <c r="AC239" s="1843"/>
      <c r="AD239" s="1843"/>
      <c r="AE239" s="1843"/>
      <c r="AF239" s="1843"/>
      <c r="AG239" s="1844"/>
      <c r="AH239" s="585"/>
      <c r="AI239" s="1302">
        <f>$AI$160</f>
        <v>0</v>
      </c>
      <c r="AJ239" s="585"/>
      <c r="AK239" s="1845" t="s">
        <v>782</v>
      </c>
      <c r="AL239" s="1846"/>
      <c r="AM239" s="1846"/>
      <c r="AN239" s="1846"/>
      <c r="AO239" s="1846"/>
      <c r="AP239" s="1847"/>
      <c r="AQ239" s="605"/>
      <c r="AR239" s="605"/>
    </row>
    <row r="240" spans="1:44" s="594" customFormat="1" ht="16.2" thickBot="1">
      <c r="A240" s="142"/>
      <c r="B240" s="1194" t="s">
        <v>746</v>
      </c>
      <c r="C240" s="1195" t="s">
        <v>747</v>
      </c>
      <c r="D240" s="1196" t="s">
        <v>748</v>
      </c>
      <c r="E240" s="1196" t="s">
        <v>749</v>
      </c>
      <c r="F240" s="1196" t="s">
        <v>750</v>
      </c>
      <c r="G240" s="1197" t="s">
        <v>751</v>
      </c>
      <c r="I240" s="1227"/>
      <c r="K240" s="1274" t="s">
        <v>805</v>
      </c>
      <c r="L240" s="1276" t="s">
        <v>746</v>
      </c>
      <c r="M240" s="1277" t="s">
        <v>747</v>
      </c>
      <c r="N240" s="1275" t="s">
        <v>748</v>
      </c>
      <c r="O240" s="1275" t="s">
        <v>749</v>
      </c>
      <c r="P240" s="1197" t="s">
        <v>750</v>
      </c>
      <c r="Q240" s="605"/>
      <c r="R240" s="593"/>
      <c r="S240" s="593"/>
      <c r="AA240" s="142"/>
      <c r="AB240" s="1194" t="s">
        <v>746</v>
      </c>
      <c r="AC240" s="1195" t="s">
        <v>747</v>
      </c>
      <c r="AD240" s="1196" t="s">
        <v>748</v>
      </c>
      <c r="AE240" s="1196" t="s">
        <v>749</v>
      </c>
      <c r="AF240" s="1196" t="s">
        <v>750</v>
      </c>
      <c r="AG240" s="1197" t="s">
        <v>751</v>
      </c>
      <c r="AI240" s="1227"/>
      <c r="AK240" s="1274" t="s">
        <v>805</v>
      </c>
      <c r="AL240" s="1276" t="s">
        <v>746</v>
      </c>
      <c r="AM240" s="1277" t="s">
        <v>747</v>
      </c>
      <c r="AN240" s="1275" t="s">
        <v>748</v>
      </c>
      <c r="AO240" s="1275" t="s">
        <v>749</v>
      </c>
      <c r="AP240" s="1197" t="s">
        <v>750</v>
      </c>
      <c r="AQ240" s="605"/>
      <c r="AR240" s="593"/>
    </row>
    <row r="241" spans="1:44" s="594" customFormat="1" ht="16.2" thickBot="1">
      <c r="A241" s="1232" t="s">
        <v>768</v>
      </c>
      <c r="B241" s="1204" t="s">
        <v>767</v>
      </c>
      <c r="C241" s="1205">
        <v>55</v>
      </c>
      <c r="D241" s="1206" t="s">
        <v>760</v>
      </c>
      <c r="E241" s="1207">
        <f>ROUNDUP(I239/C241,0)</f>
        <v>0</v>
      </c>
      <c r="F241" s="1208">
        <f>E241*SL</f>
        <v>0</v>
      </c>
      <c r="G241" s="1209"/>
      <c r="I241" s="1227"/>
      <c r="K241" s="1271" t="s">
        <v>812</v>
      </c>
      <c r="L241" s="1214" t="s">
        <v>811</v>
      </c>
      <c r="M241" s="1214">
        <v>0.8</v>
      </c>
      <c r="N241" s="1215" t="s">
        <v>807</v>
      </c>
      <c r="O241" s="1273">
        <f>CEILING(I239*M241,50)</f>
        <v>0</v>
      </c>
      <c r="P241" s="1272">
        <f>IF((O241+O242)&lt;450,(O241*$X$148),(O241*Q28_40s))</f>
        <v>0</v>
      </c>
      <c r="Q241" s="593" t="s">
        <v>1182</v>
      </c>
      <c r="R241" s="593"/>
      <c r="S241" s="593"/>
      <c r="AA241" s="1232" t="s">
        <v>768</v>
      </c>
      <c r="AB241" s="1204" t="s">
        <v>767</v>
      </c>
      <c r="AC241" s="1205">
        <v>55</v>
      </c>
      <c r="AD241" s="1206" t="s">
        <v>760</v>
      </c>
      <c r="AE241" s="1207">
        <f>ROUNDUP(AI239/AC241,0)</f>
        <v>0</v>
      </c>
      <c r="AF241" s="1208">
        <f>AE241*SL</f>
        <v>0</v>
      </c>
      <c r="AG241" s="1209"/>
      <c r="AI241" s="1227"/>
      <c r="AK241" s="1271" t="s">
        <v>812</v>
      </c>
      <c r="AL241" s="1214" t="s">
        <v>811</v>
      </c>
      <c r="AM241" s="1214">
        <v>0.8</v>
      </c>
      <c r="AN241" s="1215" t="s">
        <v>807</v>
      </c>
      <c r="AO241" s="1273">
        <f>CEILING(AI239*AM241,50)</f>
        <v>0</v>
      </c>
      <c r="AP241" s="1272">
        <f>IF((AO241+AO242)&lt;450,(AO241*$X$148),(AO241*Q28_40s))</f>
        <v>0</v>
      </c>
      <c r="AQ241" s="593" t="s">
        <v>1182</v>
      </c>
      <c r="AR241" s="593"/>
    </row>
    <row r="242" spans="1:44" s="594" customFormat="1" ht="16.2" thickBot="1">
      <c r="A242" s="1226" t="s">
        <v>764</v>
      </c>
      <c r="B242" s="1198" t="s">
        <v>758</v>
      </c>
      <c r="C242" s="1199">
        <v>90</v>
      </c>
      <c r="D242" s="1200" t="s">
        <v>753</v>
      </c>
      <c r="E242" s="1201">
        <f>ROUNDUP(I239/C242,0)</f>
        <v>0</v>
      </c>
      <c r="F242" s="1202">
        <f>E242*Glaze4</f>
        <v>0</v>
      </c>
      <c r="G242" s="1203"/>
      <c r="I242" s="1227"/>
      <c r="K242" s="1271" t="s">
        <v>812</v>
      </c>
      <c r="L242" s="1214" t="s">
        <v>811</v>
      </c>
      <c r="M242" s="1214">
        <v>0.4</v>
      </c>
      <c r="N242" s="1215" t="s">
        <v>807</v>
      </c>
      <c r="O242" s="1273">
        <f>CEILING(I239*M242,50)</f>
        <v>0</v>
      </c>
      <c r="P242" s="1272">
        <f>IF((O241+O242)&lt;450,(O242*$X$148),(O242*Q28_40s))</f>
        <v>0</v>
      </c>
      <c r="Q242" s="593" t="s">
        <v>1182</v>
      </c>
      <c r="R242" s="593"/>
      <c r="S242" s="593"/>
      <c r="AA242" s="1226" t="s">
        <v>764</v>
      </c>
      <c r="AB242" s="1198" t="s">
        <v>758</v>
      </c>
      <c r="AC242" s="1199">
        <v>90</v>
      </c>
      <c r="AD242" s="1200" t="s">
        <v>753</v>
      </c>
      <c r="AE242" s="1201">
        <f>ROUNDUP(AI239/AC242,0)</f>
        <v>0</v>
      </c>
      <c r="AF242" s="1202">
        <f>AE242*Glaze4</f>
        <v>0</v>
      </c>
      <c r="AG242" s="1203"/>
      <c r="AI242" s="1227"/>
      <c r="AK242" s="1271" t="s">
        <v>812</v>
      </c>
      <c r="AL242" s="1214" t="s">
        <v>811</v>
      </c>
      <c r="AM242" s="1214">
        <v>0.4</v>
      </c>
      <c r="AN242" s="1215" t="s">
        <v>807</v>
      </c>
      <c r="AO242" s="1273">
        <f>CEILING(AI239*AM242,50)</f>
        <v>0</v>
      </c>
      <c r="AP242" s="1272">
        <f>IF((AO241+AO242)&lt;450,(AO242*$X$148),(AO242*Q28_40s))</f>
        <v>0</v>
      </c>
      <c r="AQ242" s="593" t="s">
        <v>1182</v>
      </c>
      <c r="AR242" s="593"/>
    </row>
    <row r="243" spans="1:44" s="594" customFormat="1" ht="16.2" thickBot="1">
      <c r="A243" s="1252" t="s">
        <v>757</v>
      </c>
      <c r="B243" s="1253" t="s">
        <v>758</v>
      </c>
      <c r="C243" s="1254">
        <v>90</v>
      </c>
      <c r="D243" s="1255" t="s">
        <v>753</v>
      </c>
      <c r="E243" s="1256">
        <f>ROUNDUP(I239/C243,0)</f>
        <v>0</v>
      </c>
      <c r="F243" s="1257">
        <f>E243*Glaze4</f>
        <v>0</v>
      </c>
      <c r="G243" s="1258"/>
      <c r="I243" s="1227"/>
      <c r="O243" s="1279" t="s">
        <v>819</v>
      </c>
      <c r="P243" s="1280">
        <f>SUM(P241:P242)</f>
        <v>0</v>
      </c>
      <c r="Q243" s="593"/>
      <c r="R243" s="593"/>
      <c r="S243" s="593"/>
      <c r="AA243" s="1252" t="s">
        <v>757</v>
      </c>
      <c r="AB243" s="1253" t="s">
        <v>758</v>
      </c>
      <c r="AC243" s="1254">
        <v>90</v>
      </c>
      <c r="AD243" s="1255" t="s">
        <v>753</v>
      </c>
      <c r="AE243" s="1256">
        <f>ROUNDUP(AI239/AC243,0)</f>
        <v>0</v>
      </c>
      <c r="AF243" s="1257">
        <f>AE243*Glaze4</f>
        <v>0</v>
      </c>
      <c r="AG243" s="1258"/>
      <c r="AI243" s="1227"/>
      <c r="AO243" s="1279" t="s">
        <v>819</v>
      </c>
      <c r="AP243" s="1280">
        <f>SUM(AP241:AP242)</f>
        <v>0</v>
      </c>
      <c r="AQ243" s="593"/>
      <c r="AR243" s="593"/>
    </row>
    <row r="244" spans="1:44" s="594" customFormat="1" ht="16.2" thickBot="1">
      <c r="A244" s="1219" t="s">
        <v>761</v>
      </c>
      <c r="B244" s="1220" t="s">
        <v>759</v>
      </c>
      <c r="C244" s="1221">
        <v>775</v>
      </c>
      <c r="D244" s="1222" t="s">
        <v>760</v>
      </c>
      <c r="E244" s="1223">
        <f>ROUNDUP(I239/C244,0)</f>
        <v>0</v>
      </c>
      <c r="F244" s="1224">
        <f>E244*$T$158</f>
        <v>0</v>
      </c>
      <c r="G244" s="1225"/>
      <c r="I244" s="1227"/>
      <c r="Q244" s="593"/>
      <c r="R244" s="593"/>
      <c r="S244" s="593"/>
      <c r="AA244" s="1219" t="s">
        <v>761</v>
      </c>
      <c r="AB244" s="1220" t="s">
        <v>759</v>
      </c>
      <c r="AC244" s="1221">
        <v>775</v>
      </c>
      <c r="AD244" s="1222" t="s">
        <v>760</v>
      </c>
      <c r="AE244" s="1223">
        <f>ROUNDUP(AI239/AC244,0)</f>
        <v>0</v>
      </c>
      <c r="AF244" s="1224">
        <f>AE244*$T$158</f>
        <v>0</v>
      </c>
      <c r="AG244" s="1225"/>
      <c r="AI244" s="1227"/>
      <c r="AQ244" s="593"/>
      <c r="AR244" s="593"/>
    </row>
    <row r="245" spans="1:44" s="594" customFormat="1" ht="16.2" thickBot="1">
      <c r="A245" s="585"/>
      <c r="B245" s="585"/>
      <c r="C245" s="585"/>
      <c r="D245" s="585"/>
      <c r="E245" s="585"/>
      <c r="F245" s="1235">
        <f>SUM(F241:F244)</f>
        <v>0</v>
      </c>
      <c r="G245" s="1236" t="s">
        <v>769</v>
      </c>
      <c r="I245" s="1227"/>
      <c r="Q245" s="593"/>
      <c r="R245" s="593"/>
      <c r="S245" s="593"/>
      <c r="AA245" s="585"/>
      <c r="AB245" s="585"/>
      <c r="AC245" s="585"/>
      <c r="AD245" s="585"/>
      <c r="AE245" s="585"/>
      <c r="AF245" s="1235">
        <f>SUM(AF241:AF244)</f>
        <v>0</v>
      </c>
      <c r="AG245" s="1236" t="s">
        <v>769</v>
      </c>
      <c r="AI245" s="1227"/>
      <c r="AQ245" s="593"/>
      <c r="AR245" s="593"/>
    </row>
    <row r="246" spans="1:44" s="594" customFormat="1" ht="16.2" thickBot="1">
      <c r="A246" s="593"/>
      <c r="B246" s="593"/>
      <c r="C246" s="605"/>
      <c r="D246" s="605"/>
      <c r="E246" s="593"/>
      <c r="F246" s="593"/>
      <c r="I246" s="1227"/>
      <c r="Q246" s="593"/>
      <c r="R246" s="593"/>
      <c r="S246" s="593"/>
      <c r="AA246" s="593"/>
      <c r="AB246" s="593"/>
      <c r="AC246" s="605"/>
      <c r="AD246" s="605"/>
      <c r="AE246" s="593"/>
      <c r="AF246" s="593"/>
      <c r="AI246" s="1227"/>
      <c r="AQ246" s="593"/>
      <c r="AR246" s="593"/>
    </row>
    <row r="247" spans="1:44" s="594" customFormat="1" ht="16.2" thickBot="1">
      <c r="A247" s="1842" t="s">
        <v>783</v>
      </c>
      <c r="B247" s="1843"/>
      <c r="C247" s="1843"/>
      <c r="D247" s="1843"/>
      <c r="E247" s="1843"/>
      <c r="F247" s="1843"/>
      <c r="G247" s="1844"/>
      <c r="H247" s="585"/>
      <c r="I247" s="1302">
        <f>$I$160</f>
        <v>0</v>
      </c>
      <c r="K247" s="1845" t="s">
        <v>783</v>
      </c>
      <c r="L247" s="1846"/>
      <c r="M247" s="1846"/>
      <c r="N247" s="1846"/>
      <c r="O247" s="1846"/>
      <c r="P247" s="1847"/>
      <c r="Q247" s="593"/>
      <c r="AA247" s="1842" t="s">
        <v>783</v>
      </c>
      <c r="AB247" s="1843"/>
      <c r="AC247" s="1843"/>
      <c r="AD247" s="1843"/>
      <c r="AE247" s="1843"/>
      <c r="AF247" s="1843"/>
      <c r="AG247" s="1844"/>
      <c r="AH247" s="585"/>
      <c r="AI247" s="1302">
        <f>$AI$160</f>
        <v>0</v>
      </c>
      <c r="AK247" s="1845" t="s">
        <v>783</v>
      </c>
      <c r="AL247" s="1846"/>
      <c r="AM247" s="1846"/>
      <c r="AN247" s="1846"/>
      <c r="AO247" s="1846"/>
      <c r="AP247" s="1847"/>
      <c r="AQ247" s="593"/>
    </row>
    <row r="248" spans="1:44" s="64" customFormat="1" ht="16.2" thickBot="1">
      <c r="A248" s="142"/>
      <c r="B248" s="1194" t="s">
        <v>746</v>
      </c>
      <c r="C248" s="1195" t="s">
        <v>747</v>
      </c>
      <c r="D248" s="1196" t="s">
        <v>748</v>
      </c>
      <c r="E248" s="1196" t="s">
        <v>749</v>
      </c>
      <c r="F248" s="1196" t="s">
        <v>750</v>
      </c>
      <c r="G248" s="1197" t="s">
        <v>751</v>
      </c>
      <c r="H248" s="594"/>
      <c r="I248" s="1227"/>
      <c r="K248" s="1274" t="s">
        <v>805</v>
      </c>
      <c r="L248" s="1276" t="s">
        <v>746</v>
      </c>
      <c r="M248" s="1277" t="s">
        <v>747</v>
      </c>
      <c r="N248" s="1275" t="s">
        <v>748</v>
      </c>
      <c r="O248" s="1275" t="s">
        <v>749</v>
      </c>
      <c r="P248" s="1197" t="s">
        <v>750</v>
      </c>
      <c r="Q248" s="594"/>
      <c r="AA248" s="142"/>
      <c r="AB248" s="1194" t="s">
        <v>746</v>
      </c>
      <c r="AC248" s="1195" t="s">
        <v>747</v>
      </c>
      <c r="AD248" s="1196" t="s">
        <v>748</v>
      </c>
      <c r="AE248" s="1196" t="s">
        <v>749</v>
      </c>
      <c r="AF248" s="1196" t="s">
        <v>750</v>
      </c>
      <c r="AG248" s="1197" t="s">
        <v>751</v>
      </c>
      <c r="AH248" s="594"/>
      <c r="AI248" s="1227"/>
      <c r="AK248" s="1274" t="s">
        <v>805</v>
      </c>
      <c r="AL248" s="1276" t="s">
        <v>746</v>
      </c>
      <c r="AM248" s="1277" t="s">
        <v>747</v>
      </c>
      <c r="AN248" s="1275" t="s">
        <v>748</v>
      </c>
      <c r="AO248" s="1275" t="s">
        <v>749</v>
      </c>
      <c r="AP248" s="1197" t="s">
        <v>750</v>
      </c>
      <c r="AQ248" s="594"/>
    </row>
    <row r="249" spans="1:44" s="64" customFormat="1" ht="16.2" thickBot="1">
      <c r="A249" s="1232" t="s">
        <v>768</v>
      </c>
      <c r="B249" s="1204" t="s">
        <v>767</v>
      </c>
      <c r="C249" s="1205">
        <v>55</v>
      </c>
      <c r="D249" s="1206" t="s">
        <v>760</v>
      </c>
      <c r="E249" s="1207">
        <f>ROUNDUP(I247/C249,0)</f>
        <v>0</v>
      </c>
      <c r="F249" s="1208">
        <f>E249*SL</f>
        <v>0</v>
      </c>
      <c r="G249" s="1209"/>
      <c r="H249" s="594"/>
      <c r="I249" s="1227"/>
      <c r="K249" s="1271" t="s">
        <v>812</v>
      </c>
      <c r="L249" s="1214" t="s">
        <v>811</v>
      </c>
      <c r="M249" s="1214">
        <v>0.8</v>
      </c>
      <c r="N249" s="1215" t="s">
        <v>807</v>
      </c>
      <c r="O249" s="1273">
        <f>CEILING(I247*M249,50)</f>
        <v>0</v>
      </c>
      <c r="P249" s="1272">
        <f>IF((O249+O250)&lt;450,(O249*$X$148),(O249*Q28_40s))</f>
        <v>0</v>
      </c>
      <c r="Q249" s="64" t="s">
        <v>1182</v>
      </c>
      <c r="AA249" s="1232" t="s">
        <v>768</v>
      </c>
      <c r="AB249" s="1204" t="s">
        <v>767</v>
      </c>
      <c r="AC249" s="1205">
        <v>55</v>
      </c>
      <c r="AD249" s="1206" t="s">
        <v>760</v>
      </c>
      <c r="AE249" s="1207">
        <f>ROUNDUP(AI247/AC249,0)</f>
        <v>0</v>
      </c>
      <c r="AF249" s="1208">
        <f>AE249*SL</f>
        <v>0</v>
      </c>
      <c r="AG249" s="1209"/>
      <c r="AH249" s="594"/>
      <c r="AI249" s="1227"/>
      <c r="AK249" s="1271" t="s">
        <v>812</v>
      </c>
      <c r="AL249" s="1214" t="s">
        <v>811</v>
      </c>
      <c r="AM249" s="1214">
        <v>0.8</v>
      </c>
      <c r="AN249" s="1215" t="s">
        <v>807</v>
      </c>
      <c r="AO249" s="1273">
        <f>CEILING(AI247*AM249,50)</f>
        <v>0</v>
      </c>
      <c r="AP249" s="1272">
        <f>IF((AO249+AO250)&lt;450,(AO249*$X$148),(AO249*Q28_40s))</f>
        <v>0</v>
      </c>
      <c r="AQ249" s="64" t="s">
        <v>1182</v>
      </c>
    </row>
    <row r="250" spans="1:44" s="64" customFormat="1" ht="16.2" thickBot="1">
      <c r="A250" s="1226" t="s">
        <v>764</v>
      </c>
      <c r="B250" s="1198" t="s">
        <v>758</v>
      </c>
      <c r="C250" s="1199">
        <v>90</v>
      </c>
      <c r="D250" s="1200" t="s">
        <v>753</v>
      </c>
      <c r="E250" s="1201">
        <f>ROUNDUP(I247/C250,0)</f>
        <v>0</v>
      </c>
      <c r="F250" s="1202">
        <f>E250*Glaze4</f>
        <v>0</v>
      </c>
      <c r="G250" s="1203"/>
      <c r="H250" s="594"/>
      <c r="I250" s="1227"/>
      <c r="K250" s="1271" t="s">
        <v>812</v>
      </c>
      <c r="L250" s="1214" t="s">
        <v>811</v>
      </c>
      <c r="M250" s="1214">
        <v>0.4</v>
      </c>
      <c r="N250" s="1215" t="s">
        <v>807</v>
      </c>
      <c r="O250" s="1273">
        <f>CEILING(I247*M250,50)</f>
        <v>0</v>
      </c>
      <c r="P250" s="1272">
        <f>IF((O249+O250)&lt;450,(O250*$X$148),(O250*Q28_40s))</f>
        <v>0</v>
      </c>
      <c r="Q250" s="64" t="s">
        <v>1182</v>
      </c>
      <c r="AA250" s="1226" t="s">
        <v>764</v>
      </c>
      <c r="AB250" s="1198" t="s">
        <v>758</v>
      </c>
      <c r="AC250" s="1199">
        <v>90</v>
      </c>
      <c r="AD250" s="1200" t="s">
        <v>753</v>
      </c>
      <c r="AE250" s="1201">
        <f>ROUNDUP(AI247/AC250,0)</f>
        <v>0</v>
      </c>
      <c r="AF250" s="1202">
        <f>AE250*Glaze4</f>
        <v>0</v>
      </c>
      <c r="AG250" s="1203"/>
      <c r="AH250" s="594"/>
      <c r="AI250" s="1227"/>
      <c r="AK250" s="1271" t="s">
        <v>812</v>
      </c>
      <c r="AL250" s="1214" t="s">
        <v>811</v>
      </c>
      <c r="AM250" s="1214">
        <v>0.4</v>
      </c>
      <c r="AN250" s="1215" t="s">
        <v>807</v>
      </c>
      <c r="AO250" s="1273">
        <f>CEILING(AI247*AM250,50)</f>
        <v>0</v>
      </c>
      <c r="AP250" s="1272">
        <f>IF((AO249+AO250)&lt;450,(AO250*$X$148),(AO250*Q28_40s))</f>
        <v>0</v>
      </c>
      <c r="AQ250" s="64" t="s">
        <v>1182</v>
      </c>
    </row>
    <row r="251" spans="1:44" s="64" customFormat="1" ht="16.2" thickBot="1">
      <c r="A251" s="1252" t="s">
        <v>785</v>
      </c>
      <c r="B251" s="1253" t="s">
        <v>758</v>
      </c>
      <c r="C251" s="1254">
        <v>90</v>
      </c>
      <c r="D251" s="1255" t="s">
        <v>753</v>
      </c>
      <c r="E251" s="1256">
        <f>ROUNDUP(I247/C251,0)</f>
        <v>0</v>
      </c>
      <c r="F251" s="1257">
        <f>E251*Glaze4</f>
        <v>0</v>
      </c>
      <c r="G251" s="1258"/>
      <c r="H251" s="594"/>
      <c r="I251" s="1227"/>
      <c r="O251" s="1279" t="s">
        <v>819</v>
      </c>
      <c r="P251" s="1280">
        <f>SUM(P249:P250)</f>
        <v>0</v>
      </c>
      <c r="AA251" s="1252" t="s">
        <v>785</v>
      </c>
      <c r="AB251" s="1253" t="s">
        <v>758</v>
      </c>
      <c r="AC251" s="1254">
        <v>90</v>
      </c>
      <c r="AD251" s="1255" t="s">
        <v>753</v>
      </c>
      <c r="AE251" s="1256">
        <f>ROUNDUP(AI247/AC251,0)</f>
        <v>0</v>
      </c>
      <c r="AF251" s="1257">
        <f>AE251*Glaze4</f>
        <v>0</v>
      </c>
      <c r="AG251" s="1258"/>
      <c r="AH251" s="594"/>
      <c r="AI251" s="1227"/>
      <c r="AO251" s="1279" t="s">
        <v>819</v>
      </c>
      <c r="AP251" s="1280">
        <f>SUM(AP249:AP250)</f>
        <v>0</v>
      </c>
    </row>
    <row r="252" spans="1:44" s="64" customFormat="1" ht="16.2" thickBot="1">
      <c r="A252" s="1226" t="s">
        <v>784</v>
      </c>
      <c r="B252" s="1198" t="s">
        <v>758</v>
      </c>
      <c r="C252" s="1199">
        <v>250</v>
      </c>
      <c r="D252" s="1200" t="s">
        <v>753</v>
      </c>
      <c r="E252" s="1201">
        <f>ROUNDUP(I247/C252,0)</f>
        <v>0</v>
      </c>
      <c r="F252" s="1202">
        <f>E252*Glaze4</f>
        <v>0</v>
      </c>
      <c r="G252" s="1259" t="s">
        <v>786</v>
      </c>
      <c r="H252" s="1243">
        <f>(6.5/1600)*I247</f>
        <v>0</v>
      </c>
      <c r="I252" s="1227"/>
      <c r="J252" s="53"/>
      <c r="AA252" s="1226" t="s">
        <v>784</v>
      </c>
      <c r="AB252" s="1198" t="s">
        <v>758</v>
      </c>
      <c r="AC252" s="1199">
        <v>250</v>
      </c>
      <c r="AD252" s="1200" t="s">
        <v>753</v>
      </c>
      <c r="AE252" s="1201">
        <f>ROUNDUP(AI247/AC252,0)</f>
        <v>0</v>
      </c>
      <c r="AF252" s="1202">
        <f>AE252*Glaze4</f>
        <v>0</v>
      </c>
      <c r="AG252" s="1259" t="s">
        <v>786</v>
      </c>
      <c r="AH252" s="1243">
        <f>(6.5/1600)*AI247</f>
        <v>0</v>
      </c>
      <c r="AI252" s="1227"/>
      <c r="AJ252" s="53"/>
    </row>
    <row r="253" spans="1:44" s="64" customFormat="1" ht="16.2" thickBot="1">
      <c r="A253" s="1219" t="s">
        <v>761</v>
      </c>
      <c r="B253" s="1220" t="s">
        <v>759</v>
      </c>
      <c r="C253" s="1221">
        <v>775</v>
      </c>
      <c r="D253" s="1222" t="s">
        <v>760</v>
      </c>
      <c r="E253" s="1223">
        <f>ROUNDUP(I247/C253,0)</f>
        <v>0</v>
      </c>
      <c r="F253" s="1224">
        <f>E253*$T$158</f>
        <v>0</v>
      </c>
      <c r="G253" s="1225"/>
      <c r="H253" s="594"/>
      <c r="I253" s="1227"/>
      <c r="J253" s="106"/>
      <c r="K253" s="53"/>
      <c r="L253" s="53"/>
      <c r="AA253" s="1219" t="s">
        <v>761</v>
      </c>
      <c r="AB253" s="1220" t="s">
        <v>759</v>
      </c>
      <c r="AC253" s="1221">
        <v>775</v>
      </c>
      <c r="AD253" s="1222" t="s">
        <v>760</v>
      </c>
      <c r="AE253" s="1223">
        <f>ROUNDUP(AI247/AC253,0)</f>
        <v>0</v>
      </c>
      <c r="AF253" s="1224">
        <f>AE253*$T$158</f>
        <v>0</v>
      </c>
      <c r="AG253" s="1225"/>
      <c r="AH253" s="594"/>
      <c r="AI253" s="1227"/>
      <c r="AJ253" s="106"/>
      <c r="AK253" s="53"/>
      <c r="AL253" s="53"/>
    </row>
    <row r="254" spans="1:44" s="64" customFormat="1" ht="16.2" thickBot="1">
      <c r="A254" s="585"/>
      <c r="B254" s="585"/>
      <c r="C254" s="585"/>
      <c r="D254" s="585"/>
      <c r="E254" s="585"/>
      <c r="F254" s="1235">
        <f>SUM(F249:F253)</f>
        <v>0</v>
      </c>
      <c r="G254" s="1236" t="s">
        <v>769</v>
      </c>
      <c r="H254" s="108"/>
      <c r="I254" s="1229"/>
      <c r="J254" s="106"/>
      <c r="K254" s="106"/>
      <c r="L254" s="106"/>
      <c r="AA254" s="585"/>
      <c r="AB254" s="585"/>
      <c r="AC254" s="585"/>
      <c r="AD254" s="585"/>
      <c r="AE254" s="585"/>
      <c r="AF254" s="1235">
        <f>SUM(AF249:AF253)</f>
        <v>0</v>
      </c>
      <c r="AG254" s="1236" t="s">
        <v>769</v>
      </c>
      <c r="AH254" s="108"/>
      <c r="AI254" s="1229"/>
      <c r="AJ254" s="106"/>
      <c r="AK254" s="106"/>
      <c r="AL254" s="106"/>
    </row>
    <row r="255" spans="1:44" s="64" customFormat="1">
      <c r="A255" s="53"/>
      <c r="B255" s="53"/>
      <c r="C255" s="53"/>
      <c r="D255" s="53"/>
      <c r="E255" s="107"/>
      <c r="G255" s="53"/>
      <c r="H255" s="53"/>
      <c r="I255" s="1229"/>
      <c r="J255" s="79"/>
      <c r="K255" s="106"/>
      <c r="L255" s="106"/>
      <c r="AA255" s="53"/>
      <c r="AB255" s="53"/>
      <c r="AC255" s="53"/>
      <c r="AD255" s="53"/>
      <c r="AE255" s="107"/>
      <c r="AG255" s="53"/>
      <c r="AH255" s="53"/>
      <c r="AI255" s="1229"/>
      <c r="AJ255" s="79"/>
      <c r="AK255" s="106"/>
      <c r="AL255" s="106"/>
    </row>
    <row r="256" spans="1:44" s="64" customFormat="1">
      <c r="A256" s="53"/>
      <c r="B256" s="53"/>
      <c r="C256" s="53"/>
      <c r="D256" s="106"/>
      <c r="E256" s="106"/>
      <c r="G256" s="53"/>
      <c r="H256" s="93"/>
      <c r="I256" s="1229"/>
      <c r="J256" s="79"/>
      <c r="K256" s="79"/>
      <c r="L256" s="53"/>
      <c r="AA256" s="53"/>
      <c r="AB256" s="53"/>
      <c r="AC256" s="53"/>
      <c r="AD256" s="106"/>
      <c r="AE256" s="106"/>
      <c r="AG256" s="53"/>
      <c r="AH256" s="93"/>
      <c r="AI256" s="1229"/>
      <c r="AJ256" s="79"/>
      <c r="AK256" s="79"/>
      <c r="AL256" s="53"/>
    </row>
    <row r="257" spans="1:42" s="64" customFormat="1" ht="21.6" thickBot="1">
      <c r="A257" s="1866" t="s">
        <v>787</v>
      </c>
      <c r="B257" s="1852"/>
      <c r="C257" s="1852"/>
      <c r="D257" s="1852"/>
      <c r="E257" s="1852"/>
      <c r="F257" s="1852"/>
      <c r="G257" s="1852"/>
      <c r="H257" s="93"/>
      <c r="I257" s="1229"/>
      <c r="J257" s="79"/>
      <c r="K257" s="1853" t="s">
        <v>787</v>
      </c>
      <c r="L257" s="1853"/>
      <c r="M257" s="1853"/>
      <c r="N257" s="1853"/>
      <c r="O257" s="1853"/>
      <c r="P257" s="1853"/>
      <c r="AA257" s="1852" t="s">
        <v>787</v>
      </c>
      <c r="AB257" s="1852"/>
      <c r="AC257" s="1852"/>
      <c r="AD257" s="1852"/>
      <c r="AE257" s="1852"/>
      <c r="AF257" s="1852"/>
      <c r="AG257" s="1852"/>
      <c r="AH257" s="93"/>
      <c r="AI257" s="1229"/>
      <c r="AJ257" s="79"/>
      <c r="AK257" s="1853" t="s">
        <v>787</v>
      </c>
      <c r="AL257" s="1853"/>
      <c r="AM257" s="1853"/>
      <c r="AN257" s="1853"/>
      <c r="AO257" s="1853"/>
      <c r="AP257" s="1853"/>
    </row>
    <row r="258" spans="1:42" s="64" customFormat="1" ht="16.2" thickBot="1">
      <c r="A258" s="1842" t="s">
        <v>788</v>
      </c>
      <c r="B258" s="1843"/>
      <c r="C258" s="1843"/>
      <c r="D258" s="1843"/>
      <c r="E258" s="1843"/>
      <c r="F258" s="1843"/>
      <c r="G258" s="1844"/>
      <c r="H258" s="93"/>
      <c r="I258" s="1302">
        <f>$I$160</f>
        <v>0</v>
      </c>
      <c r="J258" s="79"/>
      <c r="K258" s="1845" t="s">
        <v>788</v>
      </c>
      <c r="L258" s="1846"/>
      <c r="M258" s="1846"/>
      <c r="N258" s="1846"/>
      <c r="O258" s="1846"/>
      <c r="P258" s="1847"/>
      <c r="AA258" s="1842" t="s">
        <v>788</v>
      </c>
      <c r="AB258" s="1843"/>
      <c r="AC258" s="1843"/>
      <c r="AD258" s="1843"/>
      <c r="AE258" s="1843"/>
      <c r="AF258" s="1843"/>
      <c r="AG258" s="1844"/>
      <c r="AH258" s="93"/>
      <c r="AI258" s="1302">
        <f>$AI$160</f>
        <v>0</v>
      </c>
      <c r="AJ258" s="79"/>
      <c r="AK258" s="1845" t="s">
        <v>788</v>
      </c>
      <c r="AL258" s="1846"/>
      <c r="AM258" s="1846"/>
      <c r="AN258" s="1846"/>
      <c r="AO258" s="1846"/>
      <c r="AP258" s="1847"/>
    </row>
    <row r="259" spans="1:42" s="64" customFormat="1" ht="16.2" thickBot="1">
      <c r="A259" s="142"/>
      <c r="B259" s="1194" t="s">
        <v>746</v>
      </c>
      <c r="C259" s="1195" t="s">
        <v>747</v>
      </c>
      <c r="D259" s="1196" t="s">
        <v>748</v>
      </c>
      <c r="E259" s="1196" t="s">
        <v>749</v>
      </c>
      <c r="F259" s="1196" t="s">
        <v>750</v>
      </c>
      <c r="G259" s="1197" t="s">
        <v>751</v>
      </c>
      <c r="H259" s="103"/>
      <c r="I259" s="1230"/>
      <c r="J259" s="104"/>
      <c r="K259" s="1274" t="s">
        <v>805</v>
      </c>
      <c r="L259" s="1276" t="s">
        <v>746</v>
      </c>
      <c r="M259" s="1277" t="s">
        <v>747</v>
      </c>
      <c r="N259" s="1275" t="s">
        <v>748</v>
      </c>
      <c r="O259" s="1275" t="s">
        <v>749</v>
      </c>
      <c r="P259" s="1197" t="s">
        <v>750</v>
      </c>
      <c r="AA259" s="142"/>
      <c r="AB259" s="1194" t="s">
        <v>746</v>
      </c>
      <c r="AC259" s="1195" t="s">
        <v>747</v>
      </c>
      <c r="AD259" s="1196" t="s">
        <v>748</v>
      </c>
      <c r="AE259" s="1196" t="s">
        <v>749</v>
      </c>
      <c r="AF259" s="1196" t="s">
        <v>750</v>
      </c>
      <c r="AG259" s="1197" t="s">
        <v>751</v>
      </c>
      <c r="AH259" s="103"/>
      <c r="AI259" s="1230"/>
      <c r="AJ259" s="104"/>
      <c r="AK259" s="1274" t="s">
        <v>805</v>
      </c>
      <c r="AL259" s="1276" t="s">
        <v>746</v>
      </c>
      <c r="AM259" s="1277" t="s">
        <v>747</v>
      </c>
      <c r="AN259" s="1275" t="s">
        <v>748</v>
      </c>
      <c r="AO259" s="1275" t="s">
        <v>749</v>
      </c>
      <c r="AP259" s="1197" t="s">
        <v>750</v>
      </c>
    </row>
    <row r="260" spans="1:42" s="64" customFormat="1" ht="16.2" thickBot="1">
      <c r="A260" s="1226" t="s">
        <v>763</v>
      </c>
      <c r="B260" s="1198" t="s">
        <v>609</v>
      </c>
      <c r="C260" s="1199">
        <v>100</v>
      </c>
      <c r="D260" s="1200" t="s">
        <v>753</v>
      </c>
      <c r="E260" s="1201">
        <f>ROUNDUP(I258/C260,0)</f>
        <v>0</v>
      </c>
      <c r="F260" s="1202">
        <f>E260*ShopFloor</f>
        <v>0</v>
      </c>
      <c r="G260" s="1203"/>
      <c r="H260" s="53"/>
      <c r="I260" s="1228"/>
      <c r="K260" s="1271" t="s">
        <v>609</v>
      </c>
      <c r="L260" s="1214" t="s">
        <v>806</v>
      </c>
      <c r="M260" s="1214">
        <v>0.5</v>
      </c>
      <c r="N260" s="1215" t="s">
        <v>807</v>
      </c>
      <c r="O260" s="1273">
        <f>CEILING(I258*M260,50)</f>
        <v>0</v>
      </c>
      <c r="P260" s="1272">
        <f>O260*Silica</f>
        <v>0</v>
      </c>
      <c r="AA260" s="1226" t="s">
        <v>763</v>
      </c>
      <c r="AB260" s="1198" t="s">
        <v>609</v>
      </c>
      <c r="AC260" s="1199">
        <v>100</v>
      </c>
      <c r="AD260" s="1200" t="s">
        <v>753</v>
      </c>
      <c r="AE260" s="1201">
        <f>ROUNDUP(AI258/AC260,0)</f>
        <v>0</v>
      </c>
      <c r="AF260" s="1202">
        <f>AE260*ShopFloor</f>
        <v>0</v>
      </c>
      <c r="AG260" s="1203"/>
      <c r="AH260" s="53"/>
      <c r="AI260" s="1228"/>
      <c r="AK260" s="1271" t="s">
        <v>609</v>
      </c>
      <c r="AL260" s="1214" t="s">
        <v>806</v>
      </c>
      <c r="AM260" s="1214">
        <v>0.5</v>
      </c>
      <c r="AN260" s="1215" t="s">
        <v>807</v>
      </c>
      <c r="AO260" s="1273">
        <f>CEILING(AI258*AM260,50)</f>
        <v>0</v>
      </c>
      <c r="AP260" s="1272">
        <f>AO260*Silica</f>
        <v>0</v>
      </c>
    </row>
    <row r="261" spans="1:42" s="64" customFormat="1" ht="16.2" thickBot="1">
      <c r="A261" s="1252" t="s">
        <v>764</v>
      </c>
      <c r="B261" s="1253" t="s">
        <v>609</v>
      </c>
      <c r="C261" s="1254">
        <v>100</v>
      </c>
      <c r="D261" s="1255" t="s">
        <v>753</v>
      </c>
      <c r="E261" s="1256">
        <f>ROUNDUP(I258/C261,0)</f>
        <v>0</v>
      </c>
      <c r="F261" s="1257">
        <f>E261*ShopFloor</f>
        <v>0</v>
      </c>
      <c r="G261" s="1258"/>
      <c r="H261" s="53"/>
      <c r="I261" s="1229"/>
      <c r="J261" s="79"/>
      <c r="K261" s="1271" t="s">
        <v>609</v>
      </c>
      <c r="L261" s="1214" t="s">
        <v>806</v>
      </c>
      <c r="M261" s="1214">
        <v>0.4</v>
      </c>
      <c r="N261" s="1215" t="s">
        <v>807</v>
      </c>
      <c r="O261" s="1273">
        <f>CEILING(I258*M261,50)</f>
        <v>0</v>
      </c>
      <c r="P261" s="1272">
        <f>O261*Silica</f>
        <v>0</v>
      </c>
      <c r="AA261" s="1252" t="s">
        <v>764</v>
      </c>
      <c r="AB261" s="1253" t="s">
        <v>609</v>
      </c>
      <c r="AC261" s="1254">
        <v>100</v>
      </c>
      <c r="AD261" s="1255" t="s">
        <v>753</v>
      </c>
      <c r="AE261" s="1256">
        <f>ROUNDUP(AI258/AC261,0)</f>
        <v>0</v>
      </c>
      <c r="AF261" s="1257">
        <f>AE261*ShopFloor</f>
        <v>0</v>
      </c>
      <c r="AG261" s="1258"/>
      <c r="AH261" s="53"/>
      <c r="AI261" s="1229"/>
      <c r="AJ261" s="79"/>
      <c r="AK261" s="1271" t="s">
        <v>609</v>
      </c>
      <c r="AL261" s="1214" t="s">
        <v>806</v>
      </c>
      <c r="AM261" s="1214">
        <v>0.4</v>
      </c>
      <c r="AN261" s="1215" t="s">
        <v>807</v>
      </c>
      <c r="AO261" s="1273">
        <f>CEILING(AI258*AM261,50)</f>
        <v>0</v>
      </c>
      <c r="AP261" s="1272">
        <f>AO261*Silica</f>
        <v>0</v>
      </c>
    </row>
    <row r="262" spans="1:42" s="64" customFormat="1" ht="16.2" thickBot="1">
      <c r="A262" s="1226" t="s">
        <v>757</v>
      </c>
      <c r="B262" s="1198" t="s">
        <v>609</v>
      </c>
      <c r="C262" s="1199">
        <v>100</v>
      </c>
      <c r="D262" s="1200" t="s">
        <v>753</v>
      </c>
      <c r="E262" s="1201">
        <f>ROUNDUP(I258/C262,0)</f>
        <v>0</v>
      </c>
      <c r="F262" s="1202">
        <f>E262*ShopFloor</f>
        <v>0</v>
      </c>
      <c r="G262" s="1203"/>
      <c r="H262" s="93"/>
      <c r="I262" s="1229"/>
      <c r="J262" s="79"/>
      <c r="K262" s="79"/>
      <c r="O262" s="1279" t="s">
        <v>819</v>
      </c>
      <c r="P262" s="1280">
        <f>SUM(P260:P261)</f>
        <v>0</v>
      </c>
      <c r="AA262" s="1226" t="s">
        <v>757</v>
      </c>
      <c r="AB262" s="1198" t="s">
        <v>609</v>
      </c>
      <c r="AC262" s="1199">
        <v>100</v>
      </c>
      <c r="AD262" s="1200" t="s">
        <v>753</v>
      </c>
      <c r="AE262" s="1201">
        <f>ROUNDUP(AI258/AC262,0)</f>
        <v>0</v>
      </c>
      <c r="AF262" s="1202">
        <f>AE262*ShopFloor</f>
        <v>0</v>
      </c>
      <c r="AG262" s="1203"/>
      <c r="AH262" s="93"/>
      <c r="AI262" s="1229"/>
      <c r="AJ262" s="79"/>
      <c r="AK262" s="79"/>
      <c r="AO262" s="1279" t="s">
        <v>819</v>
      </c>
      <c r="AP262" s="1280">
        <f>SUM(AP260:AP261)</f>
        <v>0</v>
      </c>
    </row>
    <row r="263" spans="1:42" s="64" customFormat="1" ht="16.2" thickBot="1">
      <c r="A263" s="1219" t="s">
        <v>761</v>
      </c>
      <c r="B263" s="1220" t="s">
        <v>789</v>
      </c>
      <c r="C263" s="1221">
        <v>850</v>
      </c>
      <c r="D263" s="1222" t="s">
        <v>760</v>
      </c>
      <c r="E263" s="1223">
        <f>ROUNDUP(I258/C263,0)</f>
        <v>0</v>
      </c>
      <c r="F263" s="1224">
        <f>E263*AT_Pgmt_Satin_w_Grit</f>
        <v>0</v>
      </c>
      <c r="G263" s="1225"/>
      <c r="H263" s="93"/>
      <c r="I263" s="1229"/>
      <c r="J263" s="79"/>
      <c r="K263" s="79"/>
      <c r="AA263" s="1219" t="s">
        <v>761</v>
      </c>
      <c r="AB263" s="1220" t="s">
        <v>789</v>
      </c>
      <c r="AC263" s="1221">
        <v>850</v>
      </c>
      <c r="AD263" s="1222" t="s">
        <v>760</v>
      </c>
      <c r="AE263" s="1223">
        <f>ROUNDUP(AI258/AC263,0)</f>
        <v>0</v>
      </c>
      <c r="AF263" s="1224">
        <f>AE263*AT_Pgmt_Satin_w_Grit</f>
        <v>0</v>
      </c>
      <c r="AG263" s="1225"/>
      <c r="AH263" s="93"/>
      <c r="AI263" s="1229"/>
      <c r="AJ263" s="79"/>
      <c r="AK263" s="79"/>
    </row>
    <row r="264" spans="1:42" s="64" customFormat="1" ht="16.2" thickBot="1">
      <c r="A264" s="585"/>
      <c r="B264" s="585"/>
      <c r="C264" s="585"/>
      <c r="D264" s="585"/>
      <c r="E264" s="585"/>
      <c r="F264" s="1235">
        <f>SUM(F260:F263)</f>
        <v>0</v>
      </c>
      <c r="G264" s="1236" t="s">
        <v>769</v>
      </c>
      <c r="H264" s="93"/>
      <c r="I264" s="1229"/>
      <c r="J264" s="79"/>
      <c r="K264" s="79"/>
      <c r="AA264" s="585"/>
      <c r="AB264" s="585"/>
      <c r="AC264" s="585"/>
      <c r="AD264" s="585"/>
      <c r="AE264" s="585"/>
      <c r="AF264" s="1235">
        <f>SUM(AF260:AF263)</f>
        <v>0</v>
      </c>
      <c r="AG264" s="1236" t="s">
        <v>769</v>
      </c>
      <c r="AH264" s="93"/>
      <c r="AI264" s="1229"/>
      <c r="AJ264" s="79"/>
      <c r="AK264" s="79"/>
    </row>
    <row r="265" spans="1:42" s="64" customFormat="1" ht="16.2" thickBot="1">
      <c r="A265" s="53"/>
      <c r="B265" s="93"/>
      <c r="C265" s="79"/>
      <c r="D265" s="79"/>
      <c r="E265" s="111"/>
      <c r="F265" s="53"/>
      <c r="G265" s="53"/>
      <c r="H265" s="93"/>
      <c r="I265" s="1229"/>
      <c r="J265" s="79"/>
      <c r="K265" s="79"/>
      <c r="AA265" s="53"/>
      <c r="AB265" s="93"/>
      <c r="AC265" s="79"/>
      <c r="AD265" s="79"/>
      <c r="AE265" s="111"/>
      <c r="AF265" s="53"/>
      <c r="AG265" s="53"/>
      <c r="AH265" s="93"/>
      <c r="AI265" s="1229"/>
      <c r="AJ265" s="79"/>
      <c r="AK265" s="79"/>
    </row>
    <row r="266" spans="1:42" s="64" customFormat="1" ht="16.2" thickBot="1">
      <c r="A266" s="1842" t="s">
        <v>790</v>
      </c>
      <c r="B266" s="1843"/>
      <c r="C266" s="1843"/>
      <c r="D266" s="1843"/>
      <c r="E266" s="1843"/>
      <c r="F266" s="1843"/>
      <c r="G266" s="1844"/>
      <c r="H266" s="93"/>
      <c r="I266" s="1302">
        <f>$I$160</f>
        <v>0</v>
      </c>
      <c r="J266" s="79"/>
      <c r="K266" s="1845" t="s">
        <v>817</v>
      </c>
      <c r="L266" s="1846"/>
      <c r="M266" s="1846"/>
      <c r="N266" s="1846"/>
      <c r="O266" s="1846"/>
      <c r="P266" s="1847"/>
      <c r="AA266" s="1842" t="s">
        <v>790</v>
      </c>
      <c r="AB266" s="1843"/>
      <c r="AC266" s="1843"/>
      <c r="AD266" s="1843"/>
      <c r="AE266" s="1843"/>
      <c r="AF266" s="1843"/>
      <c r="AG266" s="1844"/>
      <c r="AH266" s="93"/>
      <c r="AI266" s="1302">
        <f>$AI$160</f>
        <v>0</v>
      </c>
      <c r="AJ266" s="79"/>
      <c r="AK266" s="1845" t="s">
        <v>817</v>
      </c>
      <c r="AL266" s="1846"/>
      <c r="AM266" s="1846"/>
      <c r="AN266" s="1846"/>
      <c r="AO266" s="1846"/>
      <c r="AP266" s="1847"/>
    </row>
    <row r="267" spans="1:42" s="64" customFormat="1" ht="16.2" thickBot="1">
      <c r="A267" s="142"/>
      <c r="B267" s="1194" t="s">
        <v>746</v>
      </c>
      <c r="C267" s="1195" t="s">
        <v>747</v>
      </c>
      <c r="D267" s="1196" t="s">
        <v>748</v>
      </c>
      <c r="E267" s="1196" t="s">
        <v>749</v>
      </c>
      <c r="F267" s="1196" t="s">
        <v>750</v>
      </c>
      <c r="G267" s="1197" t="s">
        <v>751</v>
      </c>
      <c r="H267" s="93"/>
      <c r="I267" s="1229"/>
      <c r="J267" s="79"/>
      <c r="K267" s="1274" t="s">
        <v>805</v>
      </c>
      <c r="L267" s="1276" t="s">
        <v>746</v>
      </c>
      <c r="M267" s="1277" t="s">
        <v>747</v>
      </c>
      <c r="N267" s="1275" t="s">
        <v>748</v>
      </c>
      <c r="O267" s="1275" t="s">
        <v>749</v>
      </c>
      <c r="P267" s="1197" t="s">
        <v>750</v>
      </c>
      <c r="AA267" s="142"/>
      <c r="AB267" s="1194" t="s">
        <v>746</v>
      </c>
      <c r="AC267" s="1195" t="s">
        <v>747</v>
      </c>
      <c r="AD267" s="1196" t="s">
        <v>748</v>
      </c>
      <c r="AE267" s="1196" t="s">
        <v>749</v>
      </c>
      <c r="AF267" s="1196" t="s">
        <v>750</v>
      </c>
      <c r="AG267" s="1197" t="s">
        <v>751</v>
      </c>
      <c r="AH267" s="93"/>
      <c r="AI267" s="1229"/>
      <c r="AJ267" s="79"/>
      <c r="AK267" s="1274" t="s">
        <v>805</v>
      </c>
      <c r="AL267" s="1276" t="s">
        <v>746</v>
      </c>
      <c r="AM267" s="1277" t="s">
        <v>747</v>
      </c>
      <c r="AN267" s="1275" t="s">
        <v>748</v>
      </c>
      <c r="AO267" s="1275" t="s">
        <v>749</v>
      </c>
      <c r="AP267" s="1197" t="s">
        <v>750</v>
      </c>
    </row>
    <row r="268" spans="1:42" s="64" customFormat="1" ht="16.2" thickBot="1">
      <c r="A268" s="1226" t="s">
        <v>763</v>
      </c>
      <c r="B268" s="1198" t="s">
        <v>609</v>
      </c>
      <c r="C268" s="1199">
        <v>100</v>
      </c>
      <c r="D268" s="1200" t="s">
        <v>753</v>
      </c>
      <c r="E268" s="1201">
        <f>ROUNDUP(I266/C268,0)</f>
        <v>0</v>
      </c>
      <c r="F268" s="1202">
        <f>E268*ShopFloor</f>
        <v>0</v>
      </c>
      <c r="G268" s="1203"/>
      <c r="H268" s="93"/>
      <c r="I268" s="1229"/>
      <c r="J268" s="79"/>
      <c r="K268" s="1271" t="s">
        <v>609</v>
      </c>
      <c r="L268" s="1214" t="s">
        <v>806</v>
      </c>
      <c r="M268" s="1214">
        <v>0.5</v>
      </c>
      <c r="N268" s="1215" t="s">
        <v>807</v>
      </c>
      <c r="O268" s="1273">
        <f>CEILING(I266*M268,50)</f>
        <v>0</v>
      </c>
      <c r="P268" s="1272">
        <f>O268*Silica</f>
        <v>0</v>
      </c>
      <c r="AA268" s="1226" t="s">
        <v>763</v>
      </c>
      <c r="AB268" s="1198" t="s">
        <v>609</v>
      </c>
      <c r="AC268" s="1199">
        <v>100</v>
      </c>
      <c r="AD268" s="1200" t="s">
        <v>753</v>
      </c>
      <c r="AE268" s="1201">
        <f>ROUNDUP(AI266/AC268,0)</f>
        <v>0</v>
      </c>
      <c r="AF268" s="1202">
        <f>AE268*ShopFloor</f>
        <v>0</v>
      </c>
      <c r="AG268" s="1203"/>
      <c r="AH268" s="93"/>
      <c r="AI268" s="1229"/>
      <c r="AJ268" s="79"/>
      <c r="AK268" s="1271" t="s">
        <v>609</v>
      </c>
      <c r="AL268" s="1214" t="s">
        <v>806</v>
      </c>
      <c r="AM268" s="1214">
        <v>0.5</v>
      </c>
      <c r="AN268" s="1215" t="s">
        <v>807</v>
      </c>
      <c r="AO268" s="1273">
        <f>CEILING(AI266*AM268,50)</f>
        <v>0</v>
      </c>
      <c r="AP268" s="1272">
        <f>AO268*Silica</f>
        <v>0</v>
      </c>
    </row>
    <row r="269" spans="1:42" s="64" customFormat="1" ht="16.2" thickBot="1">
      <c r="A269" s="1252" t="s">
        <v>757</v>
      </c>
      <c r="B269" s="1253" t="s">
        <v>609</v>
      </c>
      <c r="C269" s="1254">
        <v>100</v>
      </c>
      <c r="D269" s="1255" t="s">
        <v>753</v>
      </c>
      <c r="E269" s="1256">
        <f>ROUNDUP(I266/C269,0)</f>
        <v>0</v>
      </c>
      <c r="F269" s="1257">
        <f>E269*ShopFloor</f>
        <v>0</v>
      </c>
      <c r="G269" s="1258"/>
      <c r="H269" s="103"/>
      <c r="I269" s="1230"/>
      <c r="J269" s="104"/>
      <c r="K269" s="79"/>
      <c r="O269" s="1279" t="s">
        <v>819</v>
      </c>
      <c r="P269" s="1280">
        <f>SUM(P268)</f>
        <v>0</v>
      </c>
      <c r="AA269" s="1252" t="s">
        <v>757</v>
      </c>
      <c r="AB269" s="1253" t="s">
        <v>609</v>
      </c>
      <c r="AC269" s="1254">
        <v>100</v>
      </c>
      <c r="AD269" s="1255" t="s">
        <v>753</v>
      </c>
      <c r="AE269" s="1256">
        <f>ROUNDUP(AI266/AC269,0)</f>
        <v>0</v>
      </c>
      <c r="AF269" s="1257">
        <f>AE269*ShopFloor</f>
        <v>0</v>
      </c>
      <c r="AG269" s="1258"/>
      <c r="AH269" s="103"/>
      <c r="AI269" s="1230"/>
      <c r="AJ269" s="104"/>
      <c r="AK269" s="79"/>
      <c r="AO269" s="1279" t="s">
        <v>819</v>
      </c>
      <c r="AP269" s="1280">
        <f>SUM(AP268)</f>
        <v>0</v>
      </c>
    </row>
    <row r="270" spans="1:42" s="64" customFormat="1" ht="16.2" thickBot="1">
      <c r="A270" s="1219" t="s">
        <v>761</v>
      </c>
      <c r="B270" s="1220" t="s">
        <v>789</v>
      </c>
      <c r="C270" s="1221">
        <v>850</v>
      </c>
      <c r="D270" s="1222" t="s">
        <v>760</v>
      </c>
      <c r="E270" s="1223">
        <f>ROUNDUP(I266/C270,0)</f>
        <v>0</v>
      </c>
      <c r="F270" s="1224">
        <f>E270*AT_Pgmt_Satin_w_Grit</f>
        <v>0</v>
      </c>
      <c r="G270" s="1225"/>
      <c r="I270" s="1228"/>
      <c r="K270" s="104"/>
      <c r="AA270" s="1219" t="s">
        <v>761</v>
      </c>
      <c r="AB270" s="1220" t="s">
        <v>789</v>
      </c>
      <c r="AC270" s="1221">
        <v>850</v>
      </c>
      <c r="AD270" s="1222" t="s">
        <v>760</v>
      </c>
      <c r="AE270" s="1223">
        <f>ROUNDUP(AI266/AC270,0)</f>
        <v>0</v>
      </c>
      <c r="AF270" s="1224">
        <f>AE270*AT_Pgmt_Satin_w_Grit</f>
        <v>0</v>
      </c>
      <c r="AG270" s="1225"/>
      <c r="AI270" s="1228"/>
      <c r="AK270" s="104"/>
    </row>
    <row r="271" spans="1:42" s="64" customFormat="1" ht="16.2" thickBot="1">
      <c r="A271" s="585"/>
      <c r="B271" s="585"/>
      <c r="C271" s="585"/>
      <c r="D271" s="585"/>
      <c r="E271" s="585"/>
      <c r="F271" s="1235">
        <f>SUM(F268:F270)</f>
        <v>0</v>
      </c>
      <c r="G271" s="1236" t="s">
        <v>769</v>
      </c>
      <c r="I271" s="1228"/>
      <c r="AA271" s="585"/>
      <c r="AB271" s="585"/>
      <c r="AC271" s="585"/>
      <c r="AD271" s="585"/>
      <c r="AE271" s="585"/>
      <c r="AF271" s="1235">
        <f>SUM(AF268:AF270)</f>
        <v>0</v>
      </c>
      <c r="AG271" s="1236" t="s">
        <v>769</v>
      </c>
      <c r="AI271" s="1228"/>
    </row>
    <row r="272" spans="1:42" s="64" customFormat="1">
      <c r="A272" s="53"/>
      <c r="B272" s="53"/>
      <c r="C272" s="79"/>
      <c r="D272" s="79"/>
      <c r="E272" s="53"/>
      <c r="F272" s="53"/>
      <c r="I272" s="1228"/>
      <c r="AA272" s="53"/>
      <c r="AB272" s="53"/>
      <c r="AC272" s="79"/>
      <c r="AD272" s="79"/>
      <c r="AE272" s="53"/>
      <c r="AF272" s="53"/>
      <c r="AI272" s="1228"/>
    </row>
    <row r="273" spans="1:44" s="64" customFormat="1">
      <c r="A273" s="53"/>
      <c r="B273" s="53"/>
      <c r="C273" s="79"/>
      <c r="D273" s="79"/>
      <c r="E273" s="53"/>
      <c r="F273" s="53"/>
      <c r="I273" s="1228"/>
      <c r="AA273" s="53"/>
      <c r="AB273" s="53"/>
      <c r="AC273" s="79"/>
      <c r="AD273" s="79"/>
      <c r="AE273" s="53"/>
      <c r="AF273" s="53"/>
      <c r="AI273" s="1228"/>
    </row>
    <row r="274" spans="1:44" s="64" customFormat="1" ht="21.6" thickBot="1">
      <c r="A274" s="1867" t="s">
        <v>791</v>
      </c>
      <c r="B274" s="1850"/>
      <c r="C274" s="1850"/>
      <c r="D274" s="1850"/>
      <c r="E274" s="1850"/>
      <c r="F274" s="1850"/>
      <c r="G274" s="1850"/>
      <c r="I274" s="1228"/>
      <c r="K274" s="1851" t="s">
        <v>791</v>
      </c>
      <c r="L274" s="1851"/>
      <c r="M274" s="1851"/>
      <c r="N274" s="1851"/>
      <c r="O274" s="1851"/>
      <c r="P274" s="1851"/>
      <c r="AA274" s="1850" t="s">
        <v>791</v>
      </c>
      <c r="AB274" s="1850"/>
      <c r="AC274" s="1850"/>
      <c r="AD274" s="1850"/>
      <c r="AE274" s="1850"/>
      <c r="AF274" s="1850"/>
      <c r="AG274" s="1850"/>
      <c r="AI274" s="1228"/>
      <c r="AK274" s="1851" t="s">
        <v>791</v>
      </c>
      <c r="AL274" s="1851"/>
      <c r="AM274" s="1851"/>
      <c r="AN274" s="1851"/>
      <c r="AO274" s="1851"/>
      <c r="AP274" s="1851"/>
    </row>
    <row r="275" spans="1:44" s="64" customFormat="1" ht="16.2" thickBot="1">
      <c r="A275" s="1842" t="s">
        <v>792</v>
      </c>
      <c r="B275" s="1843"/>
      <c r="C275" s="1843"/>
      <c r="D275" s="1843"/>
      <c r="E275" s="1843"/>
      <c r="F275" s="1843"/>
      <c r="G275" s="1844"/>
      <c r="I275" s="1302">
        <f>$I$160</f>
        <v>0</v>
      </c>
      <c r="K275" s="1845" t="s">
        <v>792</v>
      </c>
      <c r="L275" s="1846"/>
      <c r="M275" s="1846"/>
      <c r="N275" s="1846"/>
      <c r="O275" s="1846"/>
      <c r="P275" s="1847"/>
      <c r="AA275" s="1842" t="s">
        <v>792</v>
      </c>
      <c r="AB275" s="1843"/>
      <c r="AC275" s="1843"/>
      <c r="AD275" s="1843"/>
      <c r="AE275" s="1843"/>
      <c r="AF275" s="1843"/>
      <c r="AG275" s="1844"/>
      <c r="AI275" s="1302">
        <f>$AI$160</f>
        <v>0</v>
      </c>
      <c r="AK275" s="1845" t="s">
        <v>792</v>
      </c>
      <c r="AL275" s="1846"/>
      <c r="AM275" s="1846"/>
      <c r="AN275" s="1846"/>
      <c r="AO275" s="1846"/>
      <c r="AP275" s="1847"/>
    </row>
    <row r="276" spans="1:44" s="64" customFormat="1" ht="16.2" thickBot="1">
      <c r="A276" s="142"/>
      <c r="B276" s="1194" t="s">
        <v>746</v>
      </c>
      <c r="C276" s="1195" t="s">
        <v>747</v>
      </c>
      <c r="D276" s="1196" t="s">
        <v>748</v>
      </c>
      <c r="E276" s="1196" t="s">
        <v>749</v>
      </c>
      <c r="F276" s="1196" t="s">
        <v>750</v>
      </c>
      <c r="G276" s="1197" t="s">
        <v>751</v>
      </c>
      <c r="I276" s="1228"/>
      <c r="K276" s="1274" t="s">
        <v>805</v>
      </c>
      <c r="L276" s="1276" t="s">
        <v>746</v>
      </c>
      <c r="M276" s="1277" t="s">
        <v>747</v>
      </c>
      <c r="N276" s="1275" t="s">
        <v>748</v>
      </c>
      <c r="O276" s="1275" t="s">
        <v>749</v>
      </c>
      <c r="P276" s="1197" t="s">
        <v>750</v>
      </c>
      <c r="AA276" s="142"/>
      <c r="AB276" s="1194" t="s">
        <v>746</v>
      </c>
      <c r="AC276" s="1195" t="s">
        <v>747</v>
      </c>
      <c r="AD276" s="1196" t="s">
        <v>748</v>
      </c>
      <c r="AE276" s="1196" t="s">
        <v>749</v>
      </c>
      <c r="AF276" s="1196" t="s">
        <v>750</v>
      </c>
      <c r="AG276" s="1197" t="s">
        <v>751</v>
      </c>
      <c r="AI276" s="1228"/>
      <c r="AK276" s="1274" t="s">
        <v>805</v>
      </c>
      <c r="AL276" s="1276" t="s">
        <v>746</v>
      </c>
      <c r="AM276" s="1277" t="s">
        <v>747</v>
      </c>
      <c r="AN276" s="1275" t="s">
        <v>748</v>
      </c>
      <c r="AO276" s="1275" t="s">
        <v>749</v>
      </c>
      <c r="AP276" s="1197" t="s">
        <v>750</v>
      </c>
    </row>
    <row r="277" spans="1:44" s="64" customFormat="1" ht="16.2" thickBot="1">
      <c r="A277" s="1226" t="s">
        <v>444</v>
      </c>
      <c r="B277" s="1198" t="s">
        <v>792</v>
      </c>
      <c r="C277" s="1199">
        <v>100</v>
      </c>
      <c r="D277" s="1200" t="s">
        <v>753</v>
      </c>
      <c r="E277" s="1201">
        <f>ROUNDUP(I275/C277,0)</f>
        <v>0</v>
      </c>
      <c r="F277" s="1202">
        <f>E277*GardReg</f>
        <v>0</v>
      </c>
      <c r="G277" s="1260" t="s">
        <v>793</v>
      </c>
      <c r="I277" s="1228"/>
      <c r="K277" s="1271" t="s">
        <v>897</v>
      </c>
      <c r="L277" s="1214" t="s">
        <v>813</v>
      </c>
      <c r="M277" s="1214"/>
      <c r="N277" s="1215" t="s">
        <v>807</v>
      </c>
      <c r="O277" s="1273">
        <f>CEILING(I275*M277,50)</f>
        <v>0</v>
      </c>
      <c r="P277" s="1272">
        <f>O277*Q277</f>
        <v>0</v>
      </c>
      <c r="Q277" s="64">
        <v>0</v>
      </c>
      <c r="AA277" s="1226" t="s">
        <v>444</v>
      </c>
      <c r="AB277" s="1198" t="s">
        <v>792</v>
      </c>
      <c r="AC277" s="1199">
        <v>100</v>
      </c>
      <c r="AD277" s="1200" t="s">
        <v>753</v>
      </c>
      <c r="AE277" s="1201">
        <f>ROUNDUP(AI275/AC277,0)</f>
        <v>0</v>
      </c>
      <c r="AF277" s="1202">
        <f>AE277*GardReg</f>
        <v>0</v>
      </c>
      <c r="AG277" s="1260" t="s">
        <v>793</v>
      </c>
      <c r="AI277" s="1228"/>
      <c r="AK277" s="1271" t="s">
        <v>897</v>
      </c>
      <c r="AL277" s="1214" t="s">
        <v>813</v>
      </c>
      <c r="AM277" s="1214"/>
      <c r="AN277" s="1215" t="s">
        <v>807</v>
      </c>
      <c r="AO277" s="1273">
        <f>CEILING(AI275*AM277,50)</f>
        <v>0</v>
      </c>
      <c r="AP277" s="1272">
        <f>AO277*AQ277</f>
        <v>0</v>
      </c>
      <c r="AQ277" s="64">
        <v>0</v>
      </c>
    </row>
    <row r="278" spans="1:44" s="64" customFormat="1" ht="16.2" thickBot="1">
      <c r="A278" s="1219" t="s">
        <v>761</v>
      </c>
      <c r="B278" s="1220" t="s">
        <v>789</v>
      </c>
      <c r="C278" s="1221">
        <v>850</v>
      </c>
      <c r="D278" s="1222" t="s">
        <v>760</v>
      </c>
      <c r="E278" s="1223">
        <f>ROUNDUP(I275/C278,0)</f>
        <v>0</v>
      </c>
      <c r="F278" s="1224">
        <f>E278*AT_Pgmt_Satin_w_Grit</f>
        <v>0</v>
      </c>
      <c r="G278" s="1225"/>
      <c r="I278" s="1228"/>
      <c r="O278" s="1279" t="s">
        <v>819</v>
      </c>
      <c r="P278" s="1280">
        <f>SUM(P277)</f>
        <v>0</v>
      </c>
      <c r="Q278" s="1370" t="s">
        <v>897</v>
      </c>
      <c r="AA278" s="1219" t="s">
        <v>761</v>
      </c>
      <c r="AB278" s="1220" t="s">
        <v>789</v>
      </c>
      <c r="AC278" s="1221">
        <v>850</v>
      </c>
      <c r="AD278" s="1222" t="s">
        <v>760</v>
      </c>
      <c r="AE278" s="1223">
        <f>ROUNDUP(AI275/AC278,0)</f>
        <v>0</v>
      </c>
      <c r="AF278" s="1224">
        <f>AE278*AT_Pgmt_Satin_w_Grit</f>
        <v>0</v>
      </c>
      <c r="AG278" s="1225"/>
      <c r="AI278" s="1228"/>
      <c r="AO278" s="1279" t="s">
        <v>819</v>
      </c>
      <c r="AP278" s="1280">
        <f>SUM(AP277)</f>
        <v>0</v>
      </c>
      <c r="AQ278" s="1370" t="s">
        <v>897</v>
      </c>
    </row>
    <row r="279" spans="1:44" s="64" customFormat="1" ht="16.2" thickBot="1">
      <c r="A279" s="585"/>
      <c r="B279" s="585"/>
      <c r="C279" s="585"/>
      <c r="D279" s="585"/>
      <c r="E279" s="585"/>
      <c r="F279" s="1235">
        <f>SUM(F277:F278)</f>
        <v>0</v>
      </c>
      <c r="G279" s="1236" t="s">
        <v>769</v>
      </c>
      <c r="I279" s="1228"/>
      <c r="O279" s="1281" t="s">
        <v>815</v>
      </c>
      <c r="AA279" s="585"/>
      <c r="AB279" s="585"/>
      <c r="AC279" s="585"/>
      <c r="AD279" s="585"/>
      <c r="AE279" s="585"/>
      <c r="AF279" s="1235">
        <f>SUM(AF277:AF278)</f>
        <v>0</v>
      </c>
      <c r="AG279" s="1236" t="s">
        <v>769</v>
      </c>
      <c r="AI279" s="1228"/>
      <c r="AO279" s="1281" t="s">
        <v>815</v>
      </c>
    </row>
    <row r="280" spans="1:44" s="64" customFormat="1">
      <c r="A280" s="53"/>
      <c r="B280" s="112"/>
      <c r="C280" s="79"/>
      <c r="D280" s="79"/>
      <c r="E280" s="53"/>
      <c r="F280" s="53"/>
      <c r="I280" s="1228"/>
      <c r="AA280" s="53"/>
      <c r="AB280" s="112"/>
      <c r="AC280" s="79"/>
      <c r="AD280" s="79"/>
      <c r="AE280" s="53"/>
      <c r="AF280" s="53"/>
      <c r="AI280" s="1228"/>
    </row>
    <row r="281" spans="1:44" s="64" customFormat="1">
      <c r="A281" s="53"/>
      <c r="B281" s="113"/>
      <c r="C281" s="79"/>
      <c r="D281" s="66"/>
      <c r="E281" s="53"/>
      <c r="F281" s="53"/>
      <c r="I281" s="1228"/>
      <c r="AA281" s="53"/>
      <c r="AB281" s="113"/>
      <c r="AC281" s="79"/>
      <c r="AD281" s="66"/>
      <c r="AE281" s="53"/>
      <c r="AF281" s="53"/>
      <c r="AI281" s="1228"/>
    </row>
    <row r="282" spans="1:44" s="64" customFormat="1" ht="21.6" thickBot="1">
      <c r="A282" s="1869" t="s">
        <v>794</v>
      </c>
      <c r="B282" s="1854"/>
      <c r="C282" s="1854"/>
      <c r="D282" s="1854"/>
      <c r="E282" s="1854"/>
      <c r="F282" s="1854"/>
      <c r="G282" s="1854"/>
      <c r="I282" s="1228"/>
      <c r="K282" s="1855" t="s">
        <v>794</v>
      </c>
      <c r="L282" s="1855"/>
      <c r="M282" s="1855"/>
      <c r="N282" s="1855"/>
      <c r="O282" s="1855"/>
      <c r="P282" s="1855"/>
      <c r="AA282" s="1854" t="s">
        <v>794</v>
      </c>
      <c r="AB282" s="1854"/>
      <c r="AC282" s="1854"/>
      <c r="AD282" s="1854"/>
      <c r="AE282" s="1854"/>
      <c r="AF282" s="1854"/>
      <c r="AG282" s="1854"/>
      <c r="AI282" s="1228"/>
      <c r="AK282" s="1855" t="s">
        <v>794</v>
      </c>
      <c r="AL282" s="1855"/>
      <c r="AM282" s="1855"/>
      <c r="AN282" s="1855"/>
      <c r="AO282" s="1855"/>
      <c r="AP282" s="1855"/>
    </row>
    <row r="283" spans="1:44" s="64" customFormat="1" ht="16.2" thickBot="1">
      <c r="A283" s="1842" t="s">
        <v>818</v>
      </c>
      <c r="B283" s="1843"/>
      <c r="C283" s="1843"/>
      <c r="D283" s="1843"/>
      <c r="E283" s="1843"/>
      <c r="F283" s="1843"/>
      <c r="G283" s="1844"/>
      <c r="I283" s="1302">
        <f>$I$160</f>
        <v>0</v>
      </c>
      <c r="K283" s="1845" t="s">
        <v>818</v>
      </c>
      <c r="L283" s="1846"/>
      <c r="M283" s="1846"/>
      <c r="N283" s="1846"/>
      <c r="O283" s="1846"/>
      <c r="P283" s="1847"/>
      <c r="AA283" s="1842" t="s">
        <v>818</v>
      </c>
      <c r="AB283" s="1843"/>
      <c r="AC283" s="1843"/>
      <c r="AD283" s="1843"/>
      <c r="AE283" s="1843"/>
      <c r="AF283" s="1843"/>
      <c r="AG283" s="1844"/>
      <c r="AI283" s="1302">
        <f>$AI$160</f>
        <v>0</v>
      </c>
      <c r="AK283" s="1845" t="s">
        <v>818</v>
      </c>
      <c r="AL283" s="1846"/>
      <c r="AM283" s="1846"/>
      <c r="AN283" s="1846"/>
      <c r="AO283" s="1846"/>
      <c r="AP283" s="1847"/>
    </row>
    <row r="284" spans="1:44" s="64" customFormat="1" ht="16.2" thickBot="1">
      <c r="A284" s="142"/>
      <c r="B284" s="1194" t="s">
        <v>746</v>
      </c>
      <c r="C284" s="1195" t="s">
        <v>747</v>
      </c>
      <c r="D284" s="1196" t="s">
        <v>748</v>
      </c>
      <c r="E284" s="1196" t="s">
        <v>749</v>
      </c>
      <c r="F284" s="1196" t="s">
        <v>750</v>
      </c>
      <c r="G284" s="1197" t="s">
        <v>751</v>
      </c>
      <c r="I284" s="1228"/>
      <c r="K284" s="1274" t="s">
        <v>805</v>
      </c>
      <c r="L284" s="1276" t="s">
        <v>746</v>
      </c>
      <c r="M284" s="1277" t="s">
        <v>747</v>
      </c>
      <c r="N284" s="1275" t="s">
        <v>748</v>
      </c>
      <c r="O284" s="1275" t="s">
        <v>749</v>
      </c>
      <c r="P284" s="1197" t="s">
        <v>750</v>
      </c>
      <c r="AA284" s="142"/>
      <c r="AB284" s="1194" t="s">
        <v>746</v>
      </c>
      <c r="AC284" s="1195" t="s">
        <v>747</v>
      </c>
      <c r="AD284" s="1196" t="s">
        <v>748</v>
      </c>
      <c r="AE284" s="1196" t="s">
        <v>749</v>
      </c>
      <c r="AF284" s="1196" t="s">
        <v>750</v>
      </c>
      <c r="AG284" s="1197" t="s">
        <v>751</v>
      </c>
      <c r="AI284" s="1228"/>
      <c r="AK284" s="1274" t="s">
        <v>805</v>
      </c>
      <c r="AL284" s="1276" t="s">
        <v>746</v>
      </c>
      <c r="AM284" s="1277" t="s">
        <v>747</v>
      </c>
      <c r="AN284" s="1275" t="s">
        <v>748</v>
      </c>
      <c r="AO284" s="1275" t="s">
        <v>749</v>
      </c>
      <c r="AP284" s="1197" t="s">
        <v>750</v>
      </c>
    </row>
    <row r="285" spans="1:44" s="64" customFormat="1" ht="16.2" thickBot="1">
      <c r="A285" s="1261" t="s">
        <v>795</v>
      </c>
      <c r="B285" s="1262" t="s">
        <v>796</v>
      </c>
      <c r="C285" s="1247">
        <v>100</v>
      </c>
      <c r="D285" s="1248" t="s">
        <v>753</v>
      </c>
      <c r="E285" s="1249">
        <f>ROUNDUP(I283/C285,0)</f>
        <v>0</v>
      </c>
      <c r="F285" s="1250">
        <f>E285*NovolacGard</f>
        <v>0</v>
      </c>
      <c r="G285" s="1251" t="s">
        <v>797</v>
      </c>
      <c r="I285" s="1228"/>
      <c r="K285" s="1271" t="s">
        <v>897</v>
      </c>
      <c r="L285" s="1214" t="s">
        <v>813</v>
      </c>
      <c r="M285" s="1214"/>
      <c r="N285" s="1215" t="s">
        <v>807</v>
      </c>
      <c r="O285" s="1273">
        <f>CEILING(I283*M285,50)</f>
        <v>0</v>
      </c>
      <c r="P285" s="1272">
        <f>O285*Q285</f>
        <v>0</v>
      </c>
      <c r="Q285" s="64">
        <v>0</v>
      </c>
      <c r="AA285" s="1261" t="s">
        <v>795</v>
      </c>
      <c r="AB285" s="1262" t="s">
        <v>796</v>
      </c>
      <c r="AC285" s="1247">
        <v>100</v>
      </c>
      <c r="AD285" s="1248" t="s">
        <v>753</v>
      </c>
      <c r="AE285" s="1249">
        <f>ROUNDUP(AI283/AC285,0)</f>
        <v>0</v>
      </c>
      <c r="AF285" s="1250">
        <f>AE285*NovolacGard</f>
        <v>0</v>
      </c>
      <c r="AG285" s="1251" t="s">
        <v>797</v>
      </c>
      <c r="AI285" s="1228"/>
      <c r="AK285" s="1271" t="s">
        <v>897</v>
      </c>
      <c r="AL285" s="1214" t="s">
        <v>813</v>
      </c>
      <c r="AM285" s="1214"/>
      <c r="AN285" s="1215" t="s">
        <v>807</v>
      </c>
      <c r="AO285" s="1273">
        <f>CEILING(AI283*AM285,50)</f>
        <v>0</v>
      </c>
      <c r="AP285" s="1272">
        <f>AO285*AQ285</f>
        <v>0</v>
      </c>
      <c r="AQ285" s="64">
        <v>0</v>
      </c>
    </row>
    <row r="286" spans="1:44" s="64" customFormat="1" ht="16.2" thickBot="1">
      <c r="F286" s="1235">
        <f>SUM(F285)</f>
        <v>0</v>
      </c>
      <c r="G286" s="1236" t="s">
        <v>769</v>
      </c>
      <c r="I286" s="1228"/>
      <c r="L286" s="53"/>
      <c r="M286" s="53"/>
      <c r="N286" s="53"/>
      <c r="O286" s="1279" t="s">
        <v>819</v>
      </c>
      <c r="P286" s="1280">
        <f>SUM(P285)</f>
        <v>0</v>
      </c>
      <c r="Q286" s="1370" t="s">
        <v>897</v>
      </c>
      <c r="AF286" s="1235">
        <f>SUM(AF285)</f>
        <v>0</v>
      </c>
      <c r="AG286" s="1236" t="s">
        <v>769</v>
      </c>
      <c r="AI286" s="1228"/>
      <c r="AL286" s="53"/>
      <c r="AM286" s="53"/>
      <c r="AN286" s="53"/>
      <c r="AO286" s="1279" t="s">
        <v>819</v>
      </c>
      <c r="AP286" s="1280">
        <f>SUM(AP285)</f>
        <v>0</v>
      </c>
      <c r="AQ286" s="1370" t="s">
        <v>897</v>
      </c>
    </row>
    <row r="287" spans="1:44" s="64" customFormat="1">
      <c r="I287" s="1228"/>
      <c r="L287" s="53"/>
      <c r="M287" s="53"/>
      <c r="N287" s="53"/>
      <c r="O287" s="1281" t="s">
        <v>815</v>
      </c>
      <c r="AI287" s="1228"/>
      <c r="AL287" s="53"/>
      <c r="AM287" s="53"/>
      <c r="AN287" s="53"/>
      <c r="AO287" s="1281" t="s">
        <v>815</v>
      </c>
    </row>
    <row r="288" spans="1:44" s="64" customFormat="1">
      <c r="A288" s="1294"/>
      <c r="B288" s="1294"/>
      <c r="C288" s="1294"/>
      <c r="D288" s="1294"/>
      <c r="E288" s="1295"/>
      <c r="F288" s="1295"/>
      <c r="G288" s="1295"/>
      <c r="H288" s="1295"/>
      <c r="I288" s="1296"/>
      <c r="J288" s="1295"/>
      <c r="K288" s="1295"/>
      <c r="L288" s="1294"/>
      <c r="M288" s="1294"/>
      <c r="N288" s="1294"/>
      <c r="O288" s="1294"/>
      <c r="P288" s="1294"/>
      <c r="Q288" s="1295"/>
      <c r="R288" s="1295"/>
      <c r="S288" s="1295"/>
      <c r="T288" s="1295"/>
      <c r="U288" s="1295"/>
      <c r="V288" s="1295"/>
      <c r="W288" s="1295"/>
      <c r="X288" s="1295"/>
      <c r="Y288" s="1299"/>
      <c r="Z288" s="1299"/>
      <c r="AA288" s="1294"/>
      <c r="AB288" s="1294"/>
      <c r="AC288" s="1294"/>
      <c r="AD288" s="1294"/>
      <c r="AE288" s="1295"/>
      <c r="AF288" s="1295"/>
      <c r="AG288" s="1295"/>
      <c r="AH288" s="1295"/>
      <c r="AI288" s="1507" t="s">
        <v>824</v>
      </c>
      <c r="AJ288" s="1295"/>
      <c r="AK288" s="1295"/>
      <c r="AL288" s="1294"/>
      <c r="AM288" s="1294"/>
      <c r="AN288" s="1294"/>
      <c r="AO288" s="1294"/>
      <c r="AP288" s="1294"/>
      <c r="AQ288" s="1295"/>
      <c r="AR288" s="1295"/>
    </row>
    <row r="289" spans="1:44" s="64" customFormat="1">
      <c r="A289" s="1294"/>
      <c r="B289" s="1294"/>
      <c r="C289" s="1294"/>
      <c r="D289" s="1294"/>
      <c r="E289" s="1295"/>
      <c r="F289" s="1295"/>
      <c r="G289" s="1295"/>
      <c r="H289" s="1295"/>
      <c r="I289" s="1296"/>
      <c r="J289" s="1295"/>
      <c r="K289" s="1295"/>
      <c r="L289" s="1294"/>
      <c r="M289" s="1294"/>
      <c r="N289" s="1294"/>
      <c r="O289" s="1294"/>
      <c r="P289" s="1294"/>
      <c r="Q289" s="1295"/>
      <c r="R289" s="1295"/>
      <c r="S289" s="1295"/>
      <c r="T289" s="1295"/>
      <c r="U289" s="1295"/>
      <c r="V289" s="1295"/>
      <c r="W289" s="1295"/>
      <c r="X289" s="1295"/>
      <c r="Y289" s="1299"/>
      <c r="Z289" s="1299"/>
      <c r="AA289" s="1294"/>
      <c r="AB289" s="1294"/>
      <c r="AC289" s="1294"/>
      <c r="AD289" s="1294"/>
      <c r="AE289" s="1295"/>
      <c r="AF289" s="1295"/>
      <c r="AG289" s="1295"/>
      <c r="AH289" s="1295"/>
      <c r="AI289" s="1507" t="s">
        <v>986</v>
      </c>
      <c r="AJ289" s="1295"/>
      <c r="AK289" s="1295"/>
      <c r="AL289" s="1294"/>
      <c r="AM289" s="1294"/>
      <c r="AN289" s="1294"/>
      <c r="AO289" s="1294"/>
      <c r="AP289" s="1294"/>
      <c r="AQ289" s="1295"/>
      <c r="AR289" s="1295"/>
    </row>
    <row r="290" spans="1:44" s="64" customFormat="1">
      <c r="A290" s="53"/>
      <c r="B290" s="53"/>
      <c r="C290" s="53"/>
      <c r="D290" s="53"/>
      <c r="I290" s="1228"/>
      <c r="L290" s="53"/>
      <c r="M290" s="53"/>
      <c r="N290" s="53"/>
      <c r="O290" s="53"/>
      <c r="P290" s="53"/>
      <c r="AA290" s="53"/>
      <c r="AB290" s="53"/>
      <c r="AC290" s="53"/>
      <c r="AD290" s="53"/>
      <c r="AI290" s="1228"/>
      <c r="AL290" s="53"/>
      <c r="AM290" s="53"/>
      <c r="AN290" s="53"/>
      <c r="AO290" s="53"/>
      <c r="AP290" s="53"/>
    </row>
    <row r="291" spans="1:44" s="64" customFormat="1" ht="26.4" thickBot="1">
      <c r="A291" s="1868" t="s">
        <v>1003</v>
      </c>
      <c r="B291" s="1856"/>
      <c r="C291" s="1856"/>
      <c r="D291" s="1856"/>
      <c r="E291" s="1856"/>
      <c r="F291" s="1856"/>
      <c r="G291" s="1856"/>
      <c r="H291" s="1298"/>
      <c r="I291" s="1297"/>
      <c r="J291" s="1299"/>
      <c r="K291" s="1857" t="s">
        <v>1003</v>
      </c>
      <c r="L291" s="1857"/>
      <c r="M291" s="1857"/>
      <c r="N291" s="1857"/>
      <c r="O291" s="1857"/>
      <c r="P291" s="1857"/>
      <c r="AA291" s="1856" t="s">
        <v>824</v>
      </c>
      <c r="AB291" s="1856"/>
      <c r="AC291" s="1856"/>
      <c r="AD291" s="1856"/>
      <c r="AE291" s="1856"/>
      <c r="AF291" s="1856"/>
      <c r="AG291" s="1856"/>
      <c r="AI291" s="1228"/>
      <c r="AK291" s="1857" t="s">
        <v>824</v>
      </c>
      <c r="AL291" s="1857"/>
      <c r="AM291" s="1857"/>
      <c r="AN291" s="1857"/>
      <c r="AO291" s="1857"/>
      <c r="AP291" s="1857"/>
    </row>
    <row r="292" spans="1:44" s="64" customFormat="1" ht="16.2" thickBot="1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 s="53"/>
      <c r="AA292" s="1842" t="s">
        <v>984</v>
      </c>
      <c r="AB292" s="1843"/>
      <c r="AC292" s="1843"/>
      <c r="AD292" s="1843"/>
      <c r="AE292" s="1843"/>
      <c r="AF292" s="1843"/>
      <c r="AG292" s="1844"/>
      <c r="AH292" s="585"/>
      <c r="AI292" s="1301">
        <f>$AI$160</f>
        <v>0</v>
      </c>
      <c r="AJ292" s="594"/>
      <c r="AK292" s="1845" t="s">
        <v>984</v>
      </c>
      <c r="AL292" s="1846"/>
      <c r="AM292" s="1846"/>
      <c r="AN292" s="1846"/>
      <c r="AO292" s="1846"/>
      <c r="AP292" s="1847"/>
      <c r="AQ292" s="53"/>
      <c r="AR292" s="53"/>
    </row>
    <row r="293" spans="1:44" s="64" customFormat="1" ht="16.2" thickBot="1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 s="53"/>
      <c r="AA293" s="142"/>
      <c r="AB293" s="1194" t="s">
        <v>746</v>
      </c>
      <c r="AC293" s="1195" t="s">
        <v>747</v>
      </c>
      <c r="AD293" s="1196" t="s">
        <v>748</v>
      </c>
      <c r="AE293" s="1196" t="s">
        <v>749</v>
      </c>
      <c r="AF293" s="1196" t="s">
        <v>750</v>
      </c>
      <c r="AG293" s="1197" t="s">
        <v>751</v>
      </c>
      <c r="AH293" s="594"/>
      <c r="AI293" s="1227"/>
      <c r="AK293" s="1274" t="s">
        <v>805</v>
      </c>
      <c r="AL293" s="1276" t="s">
        <v>746</v>
      </c>
      <c r="AM293" s="1277" t="s">
        <v>747</v>
      </c>
      <c r="AN293" s="1275" t="s">
        <v>748</v>
      </c>
      <c r="AO293" s="1275" t="s">
        <v>749</v>
      </c>
      <c r="AP293" s="1197" t="s">
        <v>750</v>
      </c>
      <c r="AQ293" s="53"/>
      <c r="AR293" s="53"/>
    </row>
    <row r="294" spans="1:44" s="64" customFormat="1" ht="16.2" thickBot="1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 s="53"/>
      <c r="AA294" s="1226" t="s">
        <v>981</v>
      </c>
      <c r="AB294" s="1198" t="s">
        <v>758</v>
      </c>
      <c r="AC294" s="1199">
        <f>36*2</f>
        <v>72</v>
      </c>
      <c r="AD294" s="1200" t="s">
        <v>753</v>
      </c>
      <c r="AE294" s="1201">
        <f>ROUNDUP(AI292/AC294,0)</f>
        <v>0</v>
      </c>
      <c r="AF294" s="1202">
        <f>AE294*Glaze4</f>
        <v>0</v>
      </c>
      <c r="AG294" s="1260" t="s">
        <v>982</v>
      </c>
      <c r="AH294" s="1072" t="s">
        <v>969</v>
      </c>
      <c r="AI294" s="1227"/>
      <c r="AK294" s="1271" t="s">
        <v>979</v>
      </c>
      <c r="AL294" s="1214" t="s">
        <v>811</v>
      </c>
      <c r="AM294" s="1214">
        <f>1.333*0.5</f>
        <v>0.66649999999999998</v>
      </c>
      <c r="AN294" s="1215" t="s">
        <v>807</v>
      </c>
      <c r="AO294" s="1273">
        <f>CEILING(AI292*AM294,50)</f>
        <v>0</v>
      </c>
      <c r="AP294" s="1272">
        <f>IF((AO294+AO295)&lt;450,(AO294*$X$149),(AO294*Q11_25a))</f>
        <v>0</v>
      </c>
      <c r="AQ294" s="103" t="s">
        <v>634</v>
      </c>
      <c r="AR294" s="53" t="s">
        <v>1182</v>
      </c>
    </row>
    <row r="295" spans="1:44" s="64" customFormat="1" ht="16.2" thickBot="1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 s="53"/>
      <c r="S295" s="53"/>
      <c r="AA295" s="1252" t="s">
        <v>757</v>
      </c>
      <c r="AB295" s="1253" t="s">
        <v>983</v>
      </c>
      <c r="AC295" s="1254">
        <v>200</v>
      </c>
      <c r="AD295" s="1255" t="s">
        <v>753</v>
      </c>
      <c r="AE295" s="1256">
        <f>ROUNDUP(AI292/AC295,0)</f>
        <v>0</v>
      </c>
      <c r="AF295" s="1257">
        <f>AE295*CoveRez</f>
        <v>0</v>
      </c>
      <c r="AG295" s="1258"/>
      <c r="AH295" s="594"/>
      <c r="AI295" s="1227"/>
      <c r="AK295" s="1271" t="s">
        <v>979</v>
      </c>
      <c r="AL295" s="1214" t="s">
        <v>811</v>
      </c>
      <c r="AM295" s="1214">
        <f>0.66*0.5</f>
        <v>0.33</v>
      </c>
      <c r="AN295" s="1215" t="s">
        <v>807</v>
      </c>
      <c r="AO295" s="1273">
        <f>CEILING(AI292*AM295,50)</f>
        <v>0</v>
      </c>
      <c r="AP295" s="1272">
        <f>IF((AO294+AO295)&lt;450,(AO295*$X$149),(AO295*Q11_25a))</f>
        <v>0</v>
      </c>
      <c r="AQ295" s="103" t="s">
        <v>634</v>
      </c>
      <c r="AR295" s="53" t="s">
        <v>1182</v>
      </c>
    </row>
    <row r="296" spans="1:44" s="64" customFormat="1" ht="16.2" thickBot="1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 s="79"/>
      <c r="S296" s="53"/>
      <c r="AA296" s="1219" t="s">
        <v>761</v>
      </c>
      <c r="AB296" s="1220" t="s">
        <v>759</v>
      </c>
      <c r="AC296" s="1221">
        <v>775</v>
      </c>
      <c r="AD296" s="1222" t="s">
        <v>760</v>
      </c>
      <c r="AE296" s="1223">
        <f>ROUNDUP(AI292/AC296,0)</f>
        <v>0</v>
      </c>
      <c r="AF296" s="1224">
        <f>AE296*$T$158</f>
        <v>0</v>
      </c>
      <c r="AG296" s="1225"/>
      <c r="AH296" s="594"/>
      <c r="AI296" s="1227"/>
      <c r="AM296" s="1281" t="s">
        <v>980</v>
      </c>
      <c r="AO296" s="1279" t="s">
        <v>819</v>
      </c>
      <c r="AP296" s="1280">
        <f>SUM(AP294:AP295)</f>
        <v>0</v>
      </c>
      <c r="AQ296" s="79"/>
      <c r="AR296" s="79"/>
    </row>
    <row r="297" spans="1:44" s="64" customFormat="1" ht="16.2" thickBot="1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 s="79"/>
      <c r="S297" s="53"/>
      <c r="AA297" s="585"/>
      <c r="AB297" s="585"/>
      <c r="AC297" s="585"/>
      <c r="AD297" s="585"/>
      <c r="AE297" s="585"/>
      <c r="AF297" s="1235">
        <f>SUM(AF294:AF296)</f>
        <v>0</v>
      </c>
      <c r="AG297" s="1236" t="s">
        <v>769</v>
      </c>
      <c r="AH297" s="1243"/>
      <c r="AI297" s="1227"/>
      <c r="AJ297" s="53"/>
      <c r="AQ297" s="79"/>
      <c r="AR297" s="79"/>
    </row>
    <row r="298" spans="1:44" s="64" customFormat="1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 s="79"/>
      <c r="S298" s="53"/>
      <c r="AH298" s="594"/>
      <c r="AI298" s="1227"/>
      <c r="AJ298" s="106"/>
      <c r="AK298" s="53"/>
      <c r="AL298" s="53"/>
      <c r="AQ298" s="79"/>
      <c r="AR298" s="79"/>
    </row>
    <row r="299" spans="1:44" s="64" customFormat="1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 s="79"/>
      <c r="S299" s="53"/>
      <c r="AH299" s="108"/>
      <c r="AI299" s="1229"/>
      <c r="AJ299" s="106"/>
      <c r="AK299" s="106"/>
      <c r="AL299" s="106"/>
      <c r="AQ299" s="79"/>
      <c r="AR299" s="79"/>
    </row>
    <row r="300" spans="1:44" s="64" customFormat="1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 s="53"/>
      <c r="S300" s="53"/>
      <c r="AA300" s="53"/>
      <c r="AB300" s="53"/>
      <c r="AC300" s="79"/>
      <c r="AD300" s="79"/>
      <c r="AE300" s="53"/>
      <c r="AF300" s="53"/>
      <c r="AI300" s="1228"/>
      <c r="AL300" s="53"/>
      <c r="AM300" s="53"/>
      <c r="AN300" s="66"/>
      <c r="AO300" s="53"/>
      <c r="AP300" s="53"/>
      <c r="AQ300" s="53"/>
      <c r="AR300" s="53"/>
    </row>
    <row r="301" spans="1:44" s="64" customFormat="1" ht="16.2" thickBot="1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 s="53"/>
      <c r="S301" s="53"/>
      <c r="AA301" s="53"/>
      <c r="AB301" s="53"/>
      <c r="AC301" s="79"/>
      <c r="AD301" s="79"/>
      <c r="AE301" s="53"/>
      <c r="AF301" s="53"/>
      <c r="AI301" s="1228"/>
      <c r="AL301" s="53"/>
      <c r="AM301" s="53"/>
      <c r="AN301" s="66"/>
      <c r="AO301" s="53"/>
      <c r="AP301" s="53"/>
      <c r="AQ301" s="53"/>
      <c r="AR301" s="53"/>
    </row>
    <row r="302" spans="1:44" s="64" customFormat="1" ht="16.2" thickBot="1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 s="53"/>
      <c r="S302" s="53"/>
      <c r="AA302" s="1842" t="s">
        <v>952</v>
      </c>
      <c r="AB302" s="1843"/>
      <c r="AC302" s="1843"/>
      <c r="AD302" s="1843"/>
      <c r="AE302" s="1843"/>
      <c r="AF302" s="1843"/>
      <c r="AG302" s="1844"/>
      <c r="AH302" s="585"/>
      <c r="AI302" s="1301">
        <f>$AI$160</f>
        <v>0</v>
      </c>
      <c r="AJ302" s="585"/>
      <c r="AK302" s="1845" t="s">
        <v>952</v>
      </c>
      <c r="AL302" s="1846"/>
      <c r="AM302" s="1846"/>
      <c r="AN302" s="1846"/>
      <c r="AO302" s="1846"/>
      <c r="AP302" s="1847"/>
      <c r="AQ302" s="53"/>
      <c r="AR302" s="53"/>
    </row>
    <row r="303" spans="1:44" s="64" customFormat="1" ht="16.2" thickBot="1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 s="53"/>
      <c r="S303" s="53"/>
      <c r="AA303" s="142"/>
      <c r="AB303" s="1194" t="s">
        <v>746</v>
      </c>
      <c r="AC303" s="1195" t="s">
        <v>747</v>
      </c>
      <c r="AD303" s="1196" t="s">
        <v>748</v>
      </c>
      <c r="AE303" s="1196" t="s">
        <v>749</v>
      </c>
      <c r="AF303" s="1196" t="s">
        <v>750</v>
      </c>
      <c r="AG303" s="1197" t="s">
        <v>751</v>
      </c>
      <c r="AH303" s="585"/>
      <c r="AI303" s="1218"/>
      <c r="AJ303" s="585"/>
      <c r="AK303" s="1274" t="s">
        <v>805</v>
      </c>
      <c r="AL303" s="1276" t="s">
        <v>746</v>
      </c>
      <c r="AM303" s="1277" t="s">
        <v>747</v>
      </c>
      <c r="AN303" s="1275" t="s">
        <v>748</v>
      </c>
      <c r="AO303" s="1275" t="s">
        <v>749</v>
      </c>
      <c r="AP303" s="1197" t="s">
        <v>750</v>
      </c>
      <c r="AQ303" s="53"/>
      <c r="AR303" s="53"/>
    </row>
    <row r="304" spans="1:44" s="64" customFormat="1" ht="16.2" thickBot="1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 s="53"/>
      <c r="S304" s="53"/>
      <c r="AA304" s="1226" t="s">
        <v>763</v>
      </c>
      <c r="AB304" s="1198" t="s">
        <v>968</v>
      </c>
      <c r="AC304" s="1199">
        <v>250</v>
      </c>
      <c r="AD304" s="1200" t="s">
        <v>753</v>
      </c>
      <c r="AE304" s="1201">
        <f>ROUNDUP(AI302/AC304,0)</f>
        <v>0</v>
      </c>
      <c r="AF304" s="1202">
        <f>AE304*Gard_No_Sag</f>
        <v>0</v>
      </c>
      <c r="AG304" s="1203"/>
      <c r="AH304" s="585"/>
      <c r="AI304" s="1218"/>
      <c r="AJ304" s="585"/>
      <c r="AK304" s="1271" t="s">
        <v>642</v>
      </c>
      <c r="AL304" s="1214" t="s">
        <v>810</v>
      </c>
      <c r="AM304" s="1214">
        <v>0.12</v>
      </c>
      <c r="AN304" s="1215" t="s">
        <v>807</v>
      </c>
      <c r="AO304" s="1273">
        <f>CEILING(AI302*AM304,40)</f>
        <v>0</v>
      </c>
      <c r="AP304" s="1272">
        <f>IF((AO304+AO305)&lt;240,(AO304*$X$146),(AO304*MACROFlake))</f>
        <v>0</v>
      </c>
      <c r="AQ304" s="53" t="s">
        <v>1182</v>
      </c>
      <c r="AR304" s="53"/>
    </row>
    <row r="305" spans="1:44" s="64" customFormat="1" ht="16.2" thickBot="1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 s="53"/>
      <c r="S305" s="53"/>
      <c r="AA305" s="1252" t="s">
        <v>764</v>
      </c>
      <c r="AB305" s="1253" t="s">
        <v>758</v>
      </c>
      <c r="AC305" s="1254">
        <v>150</v>
      </c>
      <c r="AD305" s="1255" t="s">
        <v>753</v>
      </c>
      <c r="AE305" s="1256">
        <f>ROUNDUP(AI302/AC305,0)</f>
        <v>0</v>
      </c>
      <c r="AF305" s="1257">
        <f>AE305*Glaze4</f>
        <v>0</v>
      </c>
      <c r="AG305" s="1258"/>
      <c r="AH305" s="585"/>
      <c r="AI305" s="1218"/>
      <c r="AJ305" s="585"/>
      <c r="AK305" s="1271" t="s">
        <v>642</v>
      </c>
      <c r="AL305" s="1214" t="s">
        <v>810</v>
      </c>
      <c r="AM305" s="1214">
        <v>0.12</v>
      </c>
      <c r="AN305" s="1215" t="s">
        <v>807</v>
      </c>
      <c r="AO305" s="1273">
        <f>CEILING(AI302*AM305,40)</f>
        <v>0</v>
      </c>
      <c r="AP305" s="1272">
        <f>IF((AO304+AO305)&lt;240,(AO305*$X$146),(AO305*MACROFlake))</f>
        <v>0</v>
      </c>
      <c r="AQ305" s="53" t="s">
        <v>1182</v>
      </c>
      <c r="AR305" s="53"/>
    </row>
    <row r="306" spans="1:44" s="64" customFormat="1" ht="16.2" thickBot="1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 s="53"/>
      <c r="S306" s="53"/>
      <c r="AA306" s="1226" t="s">
        <v>757</v>
      </c>
      <c r="AB306" s="1198" t="s">
        <v>758</v>
      </c>
      <c r="AC306" s="1199">
        <v>150</v>
      </c>
      <c r="AD306" s="1200" t="s">
        <v>753</v>
      </c>
      <c r="AE306" s="1201">
        <f>ROUNDUP(AI302/AC306,0)</f>
        <v>0</v>
      </c>
      <c r="AF306" s="1202">
        <f>AE306*Glaze4</f>
        <v>0</v>
      </c>
      <c r="AG306" s="1203"/>
      <c r="AH306" s="585"/>
      <c r="AI306" s="1218"/>
      <c r="AJ306" s="585"/>
      <c r="AK306" s="585"/>
      <c r="AL306" s="848"/>
      <c r="AM306" s="827"/>
      <c r="AN306" s="585"/>
      <c r="AO306" s="1279" t="s">
        <v>819</v>
      </c>
      <c r="AP306" s="1280">
        <f>SUM(AP304:AP305)</f>
        <v>0</v>
      </c>
      <c r="AQ306" s="53"/>
      <c r="AR306" s="53"/>
    </row>
    <row r="307" spans="1:44" s="64" customFormat="1" ht="16.2" thickBot="1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AA307" s="1219" t="s">
        <v>761</v>
      </c>
      <c r="AB307" s="1220" t="s">
        <v>759</v>
      </c>
      <c r="AC307" s="1221">
        <v>775</v>
      </c>
      <c r="AD307" s="1222" t="s">
        <v>760</v>
      </c>
      <c r="AE307" s="1223">
        <f>ROUNDUP(AI302/AC307,0)</f>
        <v>0</v>
      </c>
      <c r="AF307" s="1224">
        <f>AE307*$T$158</f>
        <v>0</v>
      </c>
      <c r="AG307" s="1225"/>
      <c r="AH307" s="1504">
        <f>T158</f>
        <v>382.44800000000004</v>
      </c>
      <c r="AI307" s="1218">
        <f>AT_Clear_Satin_w_Grit</f>
        <v>382.44800000000004</v>
      </c>
      <c r="AJ307" s="585"/>
      <c r="AK307" s="585"/>
      <c r="AL307" s="848"/>
      <c r="AM307" s="827"/>
      <c r="AN307" s="585"/>
      <c r="AO307" s="585"/>
      <c r="AP307" s="585"/>
    </row>
    <row r="308" spans="1:44" s="64" customFormat="1" ht="16.2" thickBot="1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AA308" s="585"/>
      <c r="AB308" s="585"/>
      <c r="AC308" s="585"/>
      <c r="AD308" s="585"/>
      <c r="AE308" s="585"/>
      <c r="AF308" s="1235">
        <f>SUM(AF304:AF307)</f>
        <v>0</v>
      </c>
      <c r="AG308" s="1236" t="s">
        <v>769</v>
      </c>
      <c r="AH308" s="585"/>
      <c r="AI308" s="1218"/>
      <c r="AJ308" s="585"/>
      <c r="AK308" s="585"/>
      <c r="AL308" s="848"/>
      <c r="AM308" s="827"/>
      <c r="AN308" s="585"/>
      <c r="AO308" s="585"/>
      <c r="AP308" s="585"/>
    </row>
    <row r="309" spans="1:44" s="64" customFormat="1" ht="16.2" thickBot="1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AA309" s="103"/>
      <c r="AB309" s="103"/>
      <c r="AC309" s="104"/>
      <c r="AD309" s="104"/>
      <c r="AE309" s="53"/>
      <c r="AF309" s="53"/>
    </row>
    <row r="310" spans="1:44" s="64" customFormat="1" ht="16.2" thickBot="1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AA310" s="1842" t="s">
        <v>953</v>
      </c>
      <c r="AB310" s="1843"/>
      <c r="AC310" s="1843"/>
      <c r="AD310" s="1843"/>
      <c r="AE310" s="1843"/>
      <c r="AF310" s="1843"/>
      <c r="AG310" s="1844"/>
      <c r="AH310" s="585"/>
      <c r="AI310" s="1301">
        <f>$AI$160</f>
        <v>0</v>
      </c>
      <c r="AJ310" s="585"/>
      <c r="AK310" s="1845" t="s">
        <v>953</v>
      </c>
      <c r="AL310" s="1846"/>
      <c r="AM310" s="1846"/>
      <c r="AN310" s="1846"/>
      <c r="AO310" s="1846"/>
      <c r="AP310" s="1847"/>
    </row>
    <row r="311" spans="1:44" s="64" customFormat="1" ht="16.2" thickBot="1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AA311" s="142"/>
      <c r="AB311" s="1194" t="s">
        <v>746</v>
      </c>
      <c r="AC311" s="1195" t="s">
        <v>747</v>
      </c>
      <c r="AD311" s="1196" t="s">
        <v>748</v>
      </c>
      <c r="AE311" s="1196" t="s">
        <v>749</v>
      </c>
      <c r="AF311" s="1196" t="s">
        <v>750</v>
      </c>
      <c r="AG311" s="1197" t="s">
        <v>751</v>
      </c>
      <c r="AH311" s="585"/>
      <c r="AI311" s="1218"/>
      <c r="AJ311" s="585"/>
      <c r="AK311" s="1274" t="s">
        <v>805</v>
      </c>
      <c r="AL311" s="1276" t="s">
        <v>746</v>
      </c>
      <c r="AM311" s="1277" t="s">
        <v>747</v>
      </c>
      <c r="AN311" s="1275" t="s">
        <v>748</v>
      </c>
      <c r="AO311" s="1275" t="s">
        <v>749</v>
      </c>
      <c r="AP311" s="1197" t="s">
        <v>750</v>
      </c>
    </row>
    <row r="312" spans="1:44" s="64" customFormat="1" ht="16.2" thickBot="1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AA312" s="1226" t="s">
        <v>763</v>
      </c>
      <c r="AB312" s="1198" t="s">
        <v>968</v>
      </c>
      <c r="AC312" s="1199">
        <v>250</v>
      </c>
      <c r="AD312" s="1200" t="s">
        <v>753</v>
      </c>
      <c r="AE312" s="1201">
        <f>ROUNDUP(AI310/AC312,0)</f>
        <v>0</v>
      </c>
      <c r="AF312" s="1202">
        <f>AE312*Gard_No_Sag</f>
        <v>0</v>
      </c>
      <c r="AG312" s="1203"/>
      <c r="AH312" s="585"/>
      <c r="AI312" s="1218"/>
      <c r="AJ312" s="585"/>
      <c r="AK312" s="1271" t="s">
        <v>643</v>
      </c>
      <c r="AL312" s="1214" t="s">
        <v>810</v>
      </c>
      <c r="AM312" s="1214">
        <v>0.15</v>
      </c>
      <c r="AN312" s="1215" t="s">
        <v>807</v>
      </c>
      <c r="AO312" s="1273">
        <f>CEILING(AI310*AM312,40)</f>
        <v>0</v>
      </c>
      <c r="AP312" s="1272">
        <f>IF((AO312+AO313)&lt;240,(AO312*$X$147),(AO312*microFlake))</f>
        <v>0</v>
      </c>
      <c r="AQ312" s="64" t="s">
        <v>1182</v>
      </c>
    </row>
    <row r="313" spans="1:44" s="64" customFormat="1" ht="16.2" thickBot="1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AA313" s="1252" t="s">
        <v>764</v>
      </c>
      <c r="AB313" s="1253" t="s">
        <v>758</v>
      </c>
      <c r="AC313" s="1254">
        <v>150</v>
      </c>
      <c r="AD313" s="1255" t="s">
        <v>753</v>
      </c>
      <c r="AE313" s="1256">
        <f>ROUNDUP(AI310/AC313,0)</f>
        <v>0</v>
      </c>
      <c r="AF313" s="1257">
        <f>AE313*Glaze4</f>
        <v>0</v>
      </c>
      <c r="AG313" s="1258"/>
      <c r="AH313" s="585"/>
      <c r="AI313" s="1218"/>
      <c r="AJ313" s="585"/>
      <c r="AK313" s="1271" t="s">
        <v>643</v>
      </c>
      <c r="AL313" s="1214" t="s">
        <v>810</v>
      </c>
      <c r="AM313" s="1214">
        <v>0.15</v>
      </c>
      <c r="AN313" s="1215" t="s">
        <v>807</v>
      </c>
      <c r="AO313" s="1273">
        <f>CEILING(AI310*AM313,40)</f>
        <v>0</v>
      </c>
      <c r="AP313" s="1272">
        <f>IF((AO312+AO313)&lt;240,(AO313*$X$147),(AO313*microFlake))</f>
        <v>0</v>
      </c>
      <c r="AQ313" s="64" t="s">
        <v>1182</v>
      </c>
    </row>
    <row r="314" spans="1:44" s="64" customFormat="1" ht="16.2" thickBot="1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AA314" s="1226" t="s">
        <v>757</v>
      </c>
      <c r="AB314" s="1198" t="s">
        <v>758</v>
      </c>
      <c r="AC314" s="1199">
        <v>150</v>
      </c>
      <c r="AD314" s="1200" t="s">
        <v>753</v>
      </c>
      <c r="AE314" s="1201">
        <f>ROUNDUP(AI310/AC314,0)</f>
        <v>0</v>
      </c>
      <c r="AF314" s="1202">
        <f>AE314*Glaze4</f>
        <v>0</v>
      </c>
      <c r="AG314" s="1203"/>
      <c r="AH314" s="585"/>
      <c r="AI314" s="1218"/>
      <c r="AJ314" s="585"/>
      <c r="AK314" s="585"/>
      <c r="AL314" s="848"/>
      <c r="AM314" s="827"/>
      <c r="AN314" s="585"/>
      <c r="AO314" s="1279" t="s">
        <v>819</v>
      </c>
      <c r="AP314" s="1280">
        <f>SUM(AP312:AP313)</f>
        <v>0</v>
      </c>
    </row>
    <row r="315" spans="1:44" s="64" customFormat="1" ht="16.2" thickBot="1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AA315" s="1219" t="s">
        <v>761</v>
      </c>
      <c r="AB315" s="1220" t="s">
        <v>759</v>
      </c>
      <c r="AC315" s="1221">
        <v>775</v>
      </c>
      <c r="AD315" s="1222" t="s">
        <v>760</v>
      </c>
      <c r="AE315" s="1223">
        <f>ROUNDUP(AI310/AC315,0)</f>
        <v>0</v>
      </c>
      <c r="AF315" s="1224">
        <f>AE315*$T$158</f>
        <v>0</v>
      </c>
      <c r="AG315" s="1225"/>
      <c r="AH315" s="585"/>
      <c r="AI315" s="1218"/>
      <c r="AJ315" s="585"/>
      <c r="AK315" s="585"/>
      <c r="AL315" s="848"/>
      <c r="AM315" s="827"/>
      <c r="AN315" s="585"/>
      <c r="AO315" s="585"/>
      <c r="AP315" s="585"/>
    </row>
    <row r="316" spans="1:44" s="64" customFormat="1" ht="16.2" thickBot="1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AA316" s="585"/>
      <c r="AB316" s="585"/>
      <c r="AC316" s="585"/>
      <c r="AD316" s="585"/>
      <c r="AE316" s="585"/>
      <c r="AF316" s="1235">
        <f>SUM(AF312:AF315)</f>
        <v>0</v>
      </c>
      <c r="AG316" s="1236" t="s">
        <v>769</v>
      </c>
      <c r="AH316" s="585"/>
      <c r="AI316" s="1218"/>
      <c r="AJ316" s="585"/>
      <c r="AK316" s="585"/>
      <c r="AL316" s="848"/>
      <c r="AM316" s="827"/>
      <c r="AN316" s="585"/>
      <c r="AO316" s="585"/>
      <c r="AP316" s="585"/>
    </row>
    <row r="317" spans="1:44" s="64" customFormat="1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AA317" s="53"/>
      <c r="AB317" s="53"/>
      <c r="AC317" s="53"/>
      <c r="AD317" s="53"/>
      <c r="AE317" s="53"/>
      <c r="AG317" s="53"/>
      <c r="AH317" s="93"/>
      <c r="AI317" s="79"/>
      <c r="AJ317" s="79"/>
      <c r="AK317" s="79"/>
      <c r="AL317" s="53"/>
    </row>
    <row r="318" spans="1:44" s="64" customFormat="1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AA318" s="53"/>
      <c r="AB318" s="53"/>
      <c r="AC318" s="53"/>
      <c r="AD318" s="106"/>
      <c r="AE318" s="106"/>
      <c r="AG318" s="53"/>
      <c r="AH318" s="93"/>
      <c r="AI318" s="79"/>
      <c r="AJ318" s="79"/>
      <c r="AK318" s="79"/>
      <c r="AL318" s="106"/>
    </row>
    <row r="319" spans="1:44" s="64" customFormat="1" ht="21.6" thickBot="1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AA319" s="1850" t="s">
        <v>825</v>
      </c>
      <c r="AB319" s="1850"/>
      <c r="AC319" s="1850"/>
      <c r="AD319" s="1850"/>
      <c r="AE319" s="1850"/>
      <c r="AF319" s="1850"/>
      <c r="AG319" s="1850"/>
      <c r="AI319" s="1228"/>
      <c r="AK319" s="1851" t="s">
        <v>825</v>
      </c>
      <c r="AL319" s="1851"/>
      <c r="AM319" s="1851"/>
      <c r="AN319" s="1851"/>
      <c r="AO319" s="1851"/>
      <c r="AP319" s="1851"/>
    </row>
    <row r="320" spans="1:44" s="64" customFormat="1" ht="16.2" thickBot="1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AA320" s="1842" t="s">
        <v>954</v>
      </c>
      <c r="AB320" s="1843"/>
      <c r="AC320" s="1843"/>
      <c r="AD320" s="1843"/>
      <c r="AE320" s="1843"/>
      <c r="AF320" s="1843"/>
      <c r="AG320" s="1844"/>
      <c r="AI320" s="1301">
        <f>$AI$160</f>
        <v>0</v>
      </c>
      <c r="AK320" s="1845" t="s">
        <v>954</v>
      </c>
      <c r="AL320" s="1846"/>
      <c r="AM320" s="1846"/>
      <c r="AN320" s="1846"/>
      <c r="AO320" s="1846"/>
      <c r="AP320" s="1847"/>
    </row>
    <row r="321" spans="1:43" s="64" customFormat="1" ht="16.2" thickBot="1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AA321" s="142"/>
      <c r="AB321" s="1194" t="s">
        <v>746</v>
      </c>
      <c r="AC321" s="1195" t="s">
        <v>747</v>
      </c>
      <c r="AD321" s="1196" t="s">
        <v>748</v>
      </c>
      <c r="AE321" s="1196" t="s">
        <v>749</v>
      </c>
      <c r="AF321" s="1196" t="s">
        <v>750</v>
      </c>
      <c r="AG321" s="1197" t="s">
        <v>751</v>
      </c>
      <c r="AI321" s="1228"/>
      <c r="AK321" s="1274" t="s">
        <v>985</v>
      </c>
      <c r="AL321" s="1276" t="s">
        <v>746</v>
      </c>
      <c r="AM321" s="1277" t="s">
        <v>747</v>
      </c>
      <c r="AN321" s="1275" t="s">
        <v>748</v>
      </c>
      <c r="AO321" s="1275" t="s">
        <v>749</v>
      </c>
      <c r="AP321" s="1197" t="s">
        <v>750</v>
      </c>
    </row>
    <row r="322" spans="1:43" s="64" customFormat="1" ht="16.2" thickBot="1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AA322" s="1219" t="s">
        <v>977</v>
      </c>
      <c r="AB322" s="1220" t="s">
        <v>963</v>
      </c>
      <c r="AC322" s="1221">
        <v>370</v>
      </c>
      <c r="AD322" s="1222" t="s">
        <v>760</v>
      </c>
      <c r="AE322" s="1223">
        <f>ROUNDUP(AI320/AC322,0)</f>
        <v>0</v>
      </c>
      <c r="AF322" s="1224">
        <f>AE322*HP_Eggshell_Topcoat</f>
        <v>0</v>
      </c>
      <c r="AG322" s="1502" t="s">
        <v>964</v>
      </c>
      <c r="AH322" s="64" t="s">
        <v>966</v>
      </c>
      <c r="AI322" s="1503">
        <f>HP_Satin_Topcoat</f>
        <v>198.70760000000001</v>
      </c>
      <c r="AK322" s="1271" t="s">
        <v>975</v>
      </c>
      <c r="AL322" s="1214" t="s">
        <v>976</v>
      </c>
      <c r="AM322" s="1214"/>
      <c r="AN322" s="1215" t="s">
        <v>807</v>
      </c>
      <c r="AO322" s="1273">
        <f>CEILING(AI320*AM322,50)</f>
        <v>0</v>
      </c>
      <c r="AP322" s="1272" t="e">
        <f>AO322*AQ322</f>
        <v>#VALUE!</v>
      </c>
      <c r="AQ322" s="64" t="s">
        <v>814</v>
      </c>
    </row>
    <row r="323" spans="1:43" s="64" customFormat="1" ht="16.2" thickBot="1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AA323" s="1219" t="s">
        <v>978</v>
      </c>
      <c r="AB323" s="1220" t="s">
        <v>963</v>
      </c>
      <c r="AC323" s="1221">
        <v>370</v>
      </c>
      <c r="AD323" s="1222" t="s">
        <v>760</v>
      </c>
      <c r="AE323" s="1223">
        <f>ROUNDUP(AI320/AC323,0)</f>
        <v>0</v>
      </c>
      <c r="AF323" s="1224">
        <f>AE323*HP_Eggshell_Topcoat</f>
        <v>0</v>
      </c>
      <c r="AG323" s="1502" t="s">
        <v>965</v>
      </c>
      <c r="AH323" s="296">
        <f>MEDIAN(340,400)</f>
        <v>370</v>
      </c>
      <c r="AI323" s="1503">
        <f>HP_Eggshell_Topcoat</f>
        <v>233.42260000000002</v>
      </c>
      <c r="AO323" s="1279" t="s">
        <v>819</v>
      </c>
      <c r="AP323" s="1280" t="e">
        <f>SUM(AP322)</f>
        <v>#VALUE!</v>
      </c>
      <c r="AQ323" s="1370" t="s">
        <v>897</v>
      </c>
    </row>
    <row r="324" spans="1:43" s="64" customFormat="1" ht="16.2" thickBot="1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AA324" s="585"/>
      <c r="AB324" s="585"/>
      <c r="AC324" s="585"/>
      <c r="AD324" s="585"/>
      <c r="AE324" s="585"/>
      <c r="AF324" s="1235">
        <f>SUM(AF322:AF323)</f>
        <v>0</v>
      </c>
      <c r="AG324" s="1236" t="s">
        <v>769</v>
      </c>
      <c r="AI324" s="1228"/>
      <c r="AO324" s="1281" t="s">
        <v>815</v>
      </c>
    </row>
    <row r="325" spans="1:43" s="64" customFormat="1" ht="16.2" thickBot="1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AA325" s="53"/>
      <c r="AB325" s="93"/>
      <c r="AC325" s="79"/>
      <c r="AD325" s="79"/>
      <c r="AE325" s="111"/>
      <c r="AF325" s="53"/>
      <c r="AG325" s="53"/>
      <c r="AH325" s="93"/>
      <c r="AI325" s="79"/>
      <c r="AJ325" s="79"/>
      <c r="AK325" s="79"/>
    </row>
    <row r="326" spans="1:43" s="64" customFormat="1" ht="16.2" thickBot="1">
      <c r="A326" s="53"/>
      <c r="B326" s="93"/>
      <c r="C326" s="79"/>
      <c r="D326" s="79"/>
      <c r="E326" s="111"/>
      <c r="F326" s="53"/>
      <c r="G326" s="53"/>
      <c r="H326" s="93"/>
      <c r="I326" s="79"/>
      <c r="J326" s="79"/>
      <c r="K326" s="79"/>
      <c r="AA326" s="1842" t="s">
        <v>967</v>
      </c>
      <c r="AB326" s="1843"/>
      <c r="AC326" s="1843"/>
      <c r="AD326" s="1843"/>
      <c r="AE326" s="1843"/>
      <c r="AF326" s="1843"/>
      <c r="AG326" s="1844"/>
      <c r="AI326" s="1301">
        <f>$AI$160</f>
        <v>0</v>
      </c>
      <c r="AK326" s="1845" t="s">
        <v>967</v>
      </c>
      <c r="AL326" s="1846"/>
      <c r="AM326" s="1846"/>
      <c r="AN326" s="1846"/>
      <c r="AO326" s="1846"/>
      <c r="AP326" s="1847"/>
    </row>
    <row r="327" spans="1:43" s="64" customFormat="1" ht="16.2" thickBot="1">
      <c r="A327" s="53"/>
      <c r="B327" s="93"/>
      <c r="C327" s="79"/>
      <c r="D327" s="79"/>
      <c r="E327" s="53"/>
      <c r="F327" s="53"/>
      <c r="G327" s="53"/>
      <c r="H327" s="93"/>
      <c r="I327" s="79"/>
      <c r="J327" s="79"/>
      <c r="K327" s="79"/>
      <c r="AA327" s="142"/>
      <c r="AB327" s="1194" t="s">
        <v>746</v>
      </c>
      <c r="AC327" s="1195" t="s">
        <v>747</v>
      </c>
      <c r="AD327" s="1196" t="s">
        <v>748</v>
      </c>
      <c r="AE327" s="1196" t="s">
        <v>749</v>
      </c>
      <c r="AF327" s="1196" t="s">
        <v>750</v>
      </c>
      <c r="AG327" s="1197" t="s">
        <v>751</v>
      </c>
      <c r="AI327" s="1228"/>
      <c r="AK327" s="1274" t="s">
        <v>985</v>
      </c>
      <c r="AL327" s="1276" t="s">
        <v>746</v>
      </c>
      <c r="AM327" s="1277" t="s">
        <v>747</v>
      </c>
      <c r="AN327" s="1275" t="s">
        <v>748</v>
      </c>
      <c r="AO327" s="1275" t="s">
        <v>749</v>
      </c>
      <c r="AP327" s="1197" t="s">
        <v>750</v>
      </c>
    </row>
    <row r="328" spans="1:43" s="64" customFormat="1" ht="16.2" thickBot="1">
      <c r="A328" s="53"/>
      <c r="B328" s="93"/>
      <c r="C328" s="79"/>
      <c r="D328" s="79"/>
      <c r="E328" s="53"/>
      <c r="F328" s="53"/>
      <c r="G328" s="53"/>
      <c r="H328" s="93"/>
      <c r="I328" s="79"/>
      <c r="J328" s="79"/>
      <c r="K328" s="79"/>
      <c r="AA328" s="1226" t="s">
        <v>969</v>
      </c>
      <c r="AB328" s="1198" t="s">
        <v>968</v>
      </c>
      <c r="AC328" s="1199">
        <v>250</v>
      </c>
      <c r="AD328" s="1200" t="s">
        <v>753</v>
      </c>
      <c r="AE328" s="1201">
        <f>ROUNDUP(AI326/AC328,0)</f>
        <v>0</v>
      </c>
      <c r="AF328" s="1202">
        <f>AE328*Gard_No_Sag</f>
        <v>0</v>
      </c>
      <c r="AG328" s="1260"/>
      <c r="AK328" s="1271" t="s">
        <v>975</v>
      </c>
      <c r="AL328" s="1214" t="s">
        <v>976</v>
      </c>
      <c r="AM328" s="1214"/>
      <c r="AN328" s="1215" t="s">
        <v>807</v>
      </c>
      <c r="AO328" s="1273">
        <f>CEILING(AI327*AM328,50)</f>
        <v>0</v>
      </c>
      <c r="AP328" s="1272" t="e">
        <f>AO328*AQ328</f>
        <v>#VALUE!</v>
      </c>
      <c r="AQ328" s="64" t="s">
        <v>814</v>
      </c>
    </row>
    <row r="329" spans="1:43" s="64" customFormat="1" ht="16.2" thickBot="1">
      <c r="A329" s="103"/>
      <c r="B329" s="103"/>
      <c r="C329" s="104"/>
      <c r="D329" s="104"/>
      <c r="E329" s="53"/>
      <c r="F329" s="53"/>
      <c r="G329" s="103"/>
      <c r="H329" s="103"/>
      <c r="I329" s="104"/>
      <c r="J329" s="104"/>
      <c r="K329" s="104"/>
      <c r="AA329" s="1219" t="s">
        <v>977</v>
      </c>
      <c r="AB329" s="1220" t="s">
        <v>963</v>
      </c>
      <c r="AC329" s="1221">
        <v>370</v>
      </c>
      <c r="AD329" s="1222" t="s">
        <v>760</v>
      </c>
      <c r="AE329" s="1223">
        <f>ROUNDUP(AI326/AC329,0)</f>
        <v>0</v>
      </c>
      <c r="AF329" s="1224">
        <f>AE329*HP_Eggshell_Topcoat</f>
        <v>0</v>
      </c>
      <c r="AG329" s="1502" t="s">
        <v>964</v>
      </c>
      <c r="AH329" s="64" t="s">
        <v>966</v>
      </c>
      <c r="AI329" s="1503">
        <f>HP_Satin_Topcoat</f>
        <v>198.70760000000001</v>
      </c>
      <c r="AO329" s="1279" t="s">
        <v>819</v>
      </c>
      <c r="AP329" s="1280" t="e">
        <f>SUM(AP328)</f>
        <v>#VALUE!</v>
      </c>
      <c r="AQ329" s="1370" t="s">
        <v>897</v>
      </c>
    </row>
    <row r="330" spans="1:43" s="64" customFormat="1" ht="16.2" thickBot="1">
      <c r="A330" s="53"/>
      <c r="B330" s="53"/>
      <c r="C330" s="79"/>
      <c r="D330" s="79"/>
      <c r="E330" s="53"/>
      <c r="F330" s="53"/>
      <c r="AA330" s="1219" t="s">
        <v>978</v>
      </c>
      <c r="AB330" s="1220" t="s">
        <v>963</v>
      </c>
      <c r="AC330" s="1221">
        <v>370</v>
      </c>
      <c r="AD330" s="1222" t="s">
        <v>760</v>
      </c>
      <c r="AE330" s="1223">
        <f>ROUNDUP(AI326/AC330,0)</f>
        <v>0</v>
      </c>
      <c r="AF330" s="1224">
        <f>AE330*HP_Eggshell_Topcoat</f>
        <v>0</v>
      </c>
      <c r="AG330" s="1502" t="s">
        <v>965</v>
      </c>
      <c r="AH330" s="296">
        <f>MEDIAN(340,400)</f>
        <v>370</v>
      </c>
      <c r="AI330" s="1503">
        <f>HP_Eggshell_Topcoat</f>
        <v>233.42260000000002</v>
      </c>
      <c r="AO330" s="1281" t="s">
        <v>815</v>
      </c>
    </row>
    <row r="331" spans="1:43" s="64" customFormat="1" ht="16.2" thickBot="1">
      <c r="A331" s="53"/>
      <c r="B331" s="53"/>
      <c r="C331" s="79"/>
      <c r="D331" s="104"/>
      <c r="E331" s="53"/>
      <c r="F331" s="53"/>
      <c r="AA331" s="585"/>
      <c r="AB331" s="585"/>
      <c r="AC331" s="585"/>
      <c r="AD331" s="585"/>
      <c r="AE331" s="585"/>
      <c r="AF331" s="1235">
        <f>SUM(AF328:AF330)</f>
        <v>0</v>
      </c>
      <c r="AG331" s="1236" t="s">
        <v>769</v>
      </c>
      <c r="AI331" s="1228"/>
    </row>
    <row r="332" spans="1:43" s="64" customFormat="1" ht="16.2" thickBot="1">
      <c r="A332" s="53"/>
      <c r="B332" s="53"/>
      <c r="C332" s="79"/>
      <c r="D332" s="79"/>
      <c r="E332" s="53"/>
      <c r="F332" s="53"/>
    </row>
    <row r="333" spans="1:43" s="64" customFormat="1" ht="16.2" thickBot="1">
      <c r="A333" s="53"/>
      <c r="B333" s="53"/>
      <c r="C333" s="79"/>
      <c r="D333" s="79"/>
      <c r="E333" s="53"/>
      <c r="F333" s="53"/>
      <c r="AA333" s="1842" t="s">
        <v>971</v>
      </c>
      <c r="AB333" s="1843"/>
      <c r="AC333" s="1843"/>
      <c r="AD333" s="1843"/>
      <c r="AE333" s="1843"/>
      <c r="AF333" s="1843"/>
      <c r="AG333" s="1844"/>
      <c r="AI333" s="1301">
        <f>$AI$160</f>
        <v>0</v>
      </c>
      <c r="AK333" s="1845" t="s">
        <v>971</v>
      </c>
      <c r="AL333" s="1846"/>
      <c r="AM333" s="1846"/>
      <c r="AN333" s="1846"/>
      <c r="AO333" s="1846"/>
      <c r="AP333" s="1847"/>
    </row>
    <row r="334" spans="1:43" s="64" customFormat="1" ht="16.2" thickBot="1">
      <c r="A334" s="53"/>
      <c r="B334" s="112"/>
      <c r="C334" s="79"/>
      <c r="D334" s="79"/>
      <c r="E334" s="53"/>
      <c r="F334" s="53"/>
      <c r="AA334" s="142"/>
      <c r="AB334" s="1194" t="s">
        <v>746</v>
      </c>
      <c r="AC334" s="1195" t="s">
        <v>747</v>
      </c>
      <c r="AD334" s="1196" t="s">
        <v>748</v>
      </c>
      <c r="AE334" s="1196" t="s">
        <v>749</v>
      </c>
      <c r="AF334" s="1196" t="s">
        <v>750</v>
      </c>
      <c r="AG334" s="1197" t="s">
        <v>751</v>
      </c>
      <c r="AI334" s="1228"/>
      <c r="AK334" s="1274" t="s">
        <v>973</v>
      </c>
      <c r="AL334" s="1276" t="s">
        <v>746</v>
      </c>
      <c r="AM334" s="1277" t="s">
        <v>747</v>
      </c>
      <c r="AN334" s="1275" t="s">
        <v>748</v>
      </c>
      <c r="AO334" s="1275" t="s">
        <v>749</v>
      </c>
      <c r="AP334" s="1197" t="s">
        <v>750</v>
      </c>
    </row>
    <row r="335" spans="1:43" s="64" customFormat="1" ht="16.2" thickBot="1">
      <c r="A335" s="53"/>
      <c r="B335" s="112"/>
      <c r="C335" s="79"/>
      <c r="D335" s="79"/>
      <c r="E335" s="53"/>
      <c r="F335" s="53"/>
      <c r="AA335" s="1226" t="s">
        <v>444</v>
      </c>
      <c r="AB335" s="1198" t="s">
        <v>968</v>
      </c>
      <c r="AC335" s="1199">
        <v>250</v>
      </c>
      <c r="AD335" s="1200" t="s">
        <v>753</v>
      </c>
      <c r="AE335" s="1201">
        <f>ROUNDUP(AI333/AC335,0)</f>
        <v>0</v>
      </c>
      <c r="AF335" s="1202">
        <f>AE335*Gard_No_Sag</f>
        <v>0</v>
      </c>
      <c r="AG335" s="1260"/>
      <c r="AK335" s="1271" t="s">
        <v>956</v>
      </c>
      <c r="AL335" s="1214" t="s">
        <v>956</v>
      </c>
      <c r="AM335" s="1214">
        <v>1</v>
      </c>
      <c r="AN335" s="1215" t="s">
        <v>974</v>
      </c>
      <c r="AO335" s="1273">
        <f>CEILING(AI333*AM335,10)</f>
        <v>0</v>
      </c>
      <c r="AP335" s="1272">
        <f>AO335*Fiberglass_Mat</f>
        <v>0</v>
      </c>
    </row>
    <row r="336" spans="1:43" s="64" customFormat="1" ht="16.2" thickBot="1">
      <c r="A336" s="53"/>
      <c r="B336" s="113"/>
      <c r="C336" s="79"/>
      <c r="D336" s="79"/>
      <c r="E336" s="53"/>
      <c r="F336" s="53"/>
      <c r="AA336" s="1252" t="s">
        <v>972</v>
      </c>
      <c r="AB336" s="1198" t="s">
        <v>968</v>
      </c>
      <c r="AC336" s="1254">
        <v>100</v>
      </c>
      <c r="AD336" s="1255" t="s">
        <v>753</v>
      </c>
      <c r="AE336" s="1256">
        <f>ROUNDUP(AI333/AC336,0)</f>
        <v>0</v>
      </c>
      <c r="AF336" s="1257">
        <f>AE336*Gard_No_Sag</f>
        <v>0</v>
      </c>
      <c r="AG336" s="1258"/>
      <c r="AO336" s="1279" t="s">
        <v>819</v>
      </c>
      <c r="AP336" s="1280">
        <f>SUM(AP335)</f>
        <v>0</v>
      </c>
    </row>
    <row r="337" spans="1:41" s="64" customFormat="1" ht="16.2" thickBot="1">
      <c r="A337" s="53"/>
      <c r="B337" s="113"/>
      <c r="C337" s="79"/>
      <c r="D337" s="79"/>
      <c r="E337" s="53"/>
      <c r="F337" s="53"/>
      <c r="AA337" s="1219" t="s">
        <v>977</v>
      </c>
      <c r="AB337" s="1220" t="s">
        <v>963</v>
      </c>
      <c r="AC337" s="1221">
        <v>370</v>
      </c>
      <c r="AD337" s="1222" t="s">
        <v>760</v>
      </c>
      <c r="AE337" s="1223">
        <f>ROUNDUP(AI333/AC337,0)</f>
        <v>0</v>
      </c>
      <c r="AF337" s="1224">
        <f>AE337*HP_Eggshell_Topcoat</f>
        <v>0</v>
      </c>
      <c r="AG337" s="1502" t="s">
        <v>964</v>
      </c>
      <c r="AH337" s="64" t="s">
        <v>966</v>
      </c>
      <c r="AI337" s="1503">
        <f>HP_Satin_Topcoat</f>
        <v>198.70760000000001</v>
      </c>
      <c r="AO337" s="1281" t="s">
        <v>815</v>
      </c>
    </row>
    <row r="338" spans="1:41" s="64" customFormat="1" ht="16.2" thickBot="1">
      <c r="A338" s="53"/>
      <c r="B338" s="113"/>
      <c r="C338" s="79"/>
      <c r="D338" s="79"/>
      <c r="E338" s="53"/>
      <c r="F338" s="53"/>
      <c r="AA338" s="1219" t="s">
        <v>978</v>
      </c>
      <c r="AB338" s="1220" t="s">
        <v>963</v>
      </c>
      <c r="AC338" s="1221">
        <v>370</v>
      </c>
      <c r="AD338" s="1222" t="s">
        <v>760</v>
      </c>
      <c r="AE338" s="1223">
        <f>ROUNDUP(AI333/AC338,0)</f>
        <v>0</v>
      </c>
      <c r="AF338" s="1224">
        <f>AE338*HP_Eggshell_Topcoat</f>
        <v>0</v>
      </c>
      <c r="AG338" s="1502" t="s">
        <v>965</v>
      </c>
      <c r="AH338" s="296">
        <f>MEDIAN(340,400)</f>
        <v>370</v>
      </c>
      <c r="AI338" s="1503">
        <f>HP_Eggshell_Topcoat</f>
        <v>233.42260000000002</v>
      </c>
    </row>
    <row r="339" spans="1:41" s="64" customFormat="1" ht="16.2" thickBot="1">
      <c r="A339" s="53"/>
      <c r="B339" s="113"/>
      <c r="C339" s="79"/>
      <c r="D339" s="79"/>
      <c r="E339" s="53"/>
      <c r="F339" s="53"/>
      <c r="AA339" s="585"/>
      <c r="AB339" s="585"/>
      <c r="AC339" s="585"/>
      <c r="AD339" s="585"/>
      <c r="AE339" s="585"/>
      <c r="AF339" s="1235">
        <f>SUM(AF335:AF338)</f>
        <v>0</v>
      </c>
      <c r="AG339" s="1236" t="s">
        <v>769</v>
      </c>
      <c r="AI339" s="1228"/>
    </row>
    <row r="340" spans="1:41" s="64" customFormat="1">
      <c r="A340" s="53"/>
      <c r="B340" s="112"/>
      <c r="C340" s="79"/>
      <c r="D340" s="79"/>
      <c r="E340" s="53"/>
      <c r="F340" s="53"/>
    </row>
    <row r="341" spans="1:41" s="64" customFormat="1">
      <c r="A341" s="53"/>
      <c r="B341" s="112"/>
      <c r="C341" s="79"/>
      <c r="D341" s="79"/>
      <c r="E341" s="53"/>
      <c r="F341" s="53"/>
    </row>
    <row r="342" spans="1:41" s="64" customFormat="1">
      <c r="A342" s="53"/>
      <c r="B342" s="112"/>
      <c r="C342" s="79"/>
      <c r="D342" s="66"/>
      <c r="E342" s="53"/>
      <c r="F342" s="53"/>
      <c r="N342" s="53"/>
    </row>
    <row r="343" spans="1:41" s="64" customFormat="1">
      <c r="A343" s="53"/>
      <c r="B343" s="113"/>
      <c r="C343" s="79"/>
      <c r="D343" s="79"/>
      <c r="E343" s="53"/>
      <c r="F343" s="53"/>
      <c r="G343" s="53"/>
      <c r="I343" s="114"/>
      <c r="N343" s="53"/>
    </row>
    <row r="344" spans="1:41" s="64" customFormat="1">
      <c r="A344" s="53"/>
      <c r="B344" s="53"/>
      <c r="C344" s="79"/>
      <c r="D344" s="79"/>
      <c r="E344" s="79"/>
      <c r="F344" s="79"/>
      <c r="N344" s="53"/>
    </row>
    <row r="345" spans="1:41" s="64" customFormat="1">
      <c r="A345" s="53"/>
      <c r="B345" s="53"/>
      <c r="C345" s="79"/>
      <c r="D345" s="79"/>
      <c r="F345" s="108"/>
      <c r="N345" s="53"/>
    </row>
    <row r="346" spans="1:41" s="64" customFormat="1">
      <c r="D346" s="79"/>
    </row>
    <row r="347" spans="1:41" s="64" customFormat="1">
      <c r="A347" s="115"/>
    </row>
    <row r="348" spans="1:41" s="64" customFormat="1"/>
    <row r="349" spans="1:41" s="64" customFormat="1">
      <c r="A349" s="53"/>
      <c r="B349" s="53"/>
      <c r="C349" s="53"/>
      <c r="D349" s="53"/>
      <c r="L349" s="53"/>
      <c r="M349" s="53"/>
      <c r="N349" s="53"/>
      <c r="O349" s="53"/>
      <c r="P349" s="53"/>
    </row>
    <row r="350" spans="1:41" s="64" customFormat="1">
      <c r="A350" s="53"/>
      <c r="B350" s="53"/>
      <c r="C350" s="53"/>
      <c r="D350" s="53"/>
      <c r="E350" s="53"/>
      <c r="F350" s="53"/>
      <c r="L350" s="53"/>
      <c r="M350" s="53"/>
      <c r="N350" s="53"/>
      <c r="O350" s="53"/>
      <c r="P350" s="79"/>
    </row>
    <row r="351" spans="1:41" s="64" customFormat="1">
      <c r="A351" s="53"/>
      <c r="B351" s="101"/>
      <c r="C351" s="79"/>
      <c r="D351" s="79"/>
      <c r="E351" s="102"/>
      <c r="F351" s="53"/>
      <c r="L351" s="53"/>
      <c r="M351" s="53"/>
      <c r="N351" s="79"/>
      <c r="O351" s="79"/>
      <c r="P351" s="79"/>
    </row>
    <row r="352" spans="1:41" s="64" customFormat="1">
      <c r="A352" s="53"/>
      <c r="B352" s="53"/>
      <c r="C352" s="79"/>
      <c r="D352" s="79"/>
      <c r="E352" s="53"/>
      <c r="F352" s="53"/>
      <c r="L352" s="53"/>
      <c r="M352" s="53"/>
      <c r="N352" s="79"/>
      <c r="O352" s="102"/>
      <c r="P352" s="79"/>
    </row>
    <row r="353" spans="1:19" s="64" customFormat="1">
      <c r="A353" s="53"/>
      <c r="B353" s="53"/>
      <c r="C353" s="79"/>
      <c r="D353" s="79"/>
      <c r="E353" s="53"/>
      <c r="F353" s="53"/>
      <c r="L353" s="53"/>
      <c r="M353" s="53"/>
      <c r="N353" s="79"/>
      <c r="O353" s="102"/>
      <c r="P353" s="79"/>
    </row>
    <row r="354" spans="1:19" s="64" customFormat="1">
      <c r="A354" s="53"/>
      <c r="B354" s="53"/>
      <c r="C354" s="79"/>
      <c r="D354" s="79"/>
      <c r="E354" s="53"/>
      <c r="F354" s="53"/>
      <c r="L354" s="53"/>
      <c r="M354" s="79"/>
      <c r="N354" s="66"/>
      <c r="O354" s="53"/>
      <c r="P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L355" s="53"/>
      <c r="M355" s="53"/>
      <c r="N355" s="66"/>
      <c r="O355" s="53"/>
      <c r="P355" s="53"/>
      <c r="Q355" s="79"/>
      <c r="R355" s="79"/>
      <c r="S355" s="53"/>
    </row>
    <row r="356" spans="1:19" s="64" customFormat="1">
      <c r="A356" s="53"/>
      <c r="B356" s="53"/>
      <c r="C356" s="79"/>
      <c r="D356" s="79"/>
      <c r="E356" s="53"/>
      <c r="F356" s="53"/>
      <c r="L356" s="53"/>
      <c r="M356" s="53"/>
      <c r="N356" s="66"/>
      <c r="O356" s="53"/>
      <c r="P356" s="53"/>
      <c r="Q356" s="79"/>
      <c r="R356" s="79"/>
      <c r="S356" s="53"/>
    </row>
    <row r="357" spans="1:19" s="64" customFormat="1">
      <c r="A357" s="53"/>
      <c r="B357" s="53"/>
      <c r="C357" s="79"/>
      <c r="D357" s="79"/>
      <c r="E357" s="53"/>
      <c r="F357" s="53"/>
      <c r="L357" s="53"/>
      <c r="M357" s="53"/>
      <c r="N357" s="66"/>
      <c r="O357" s="53"/>
      <c r="P357" s="53"/>
      <c r="Q357" s="79"/>
      <c r="R357" s="79"/>
      <c r="S357" s="53"/>
    </row>
    <row r="358" spans="1:19" s="64" customFormat="1">
      <c r="A358" s="53"/>
      <c r="B358" s="53"/>
      <c r="C358" s="79"/>
      <c r="D358" s="79"/>
      <c r="E358" s="53"/>
      <c r="F358" s="53"/>
      <c r="L358" s="53"/>
      <c r="M358" s="53"/>
      <c r="N358" s="66"/>
      <c r="O358" s="53"/>
      <c r="P358" s="53"/>
      <c r="Q358" s="79"/>
      <c r="R358" s="79"/>
      <c r="S358" s="53"/>
    </row>
    <row r="359" spans="1:19" s="64" customFormat="1">
      <c r="A359" s="53"/>
      <c r="B359" s="53"/>
      <c r="C359" s="79"/>
      <c r="D359" s="79"/>
      <c r="E359" s="53"/>
      <c r="F359" s="53"/>
      <c r="L359" s="53"/>
      <c r="M359" s="53"/>
      <c r="N359" s="66"/>
      <c r="O359" s="53"/>
      <c r="P359" s="53"/>
      <c r="Q359" s="53"/>
      <c r="R359" s="53"/>
      <c r="S359" s="53"/>
    </row>
    <row r="360" spans="1:19" s="64" customFormat="1">
      <c r="A360" s="53"/>
      <c r="B360" s="53"/>
      <c r="C360" s="79"/>
      <c r="D360" s="79"/>
      <c r="E360" s="53"/>
      <c r="F360" s="53"/>
      <c r="L360" s="53"/>
      <c r="M360" s="53"/>
      <c r="N360" s="66"/>
      <c r="O360" s="53"/>
      <c r="P360" s="53"/>
      <c r="Q360" s="53"/>
      <c r="R360" s="53"/>
      <c r="S360" s="53"/>
    </row>
    <row r="361" spans="1:19" s="64" customFormat="1">
      <c r="A361" s="53"/>
      <c r="B361" s="53"/>
      <c r="C361" s="79"/>
      <c r="D361" s="79"/>
      <c r="E361" s="53"/>
      <c r="F361" s="53"/>
      <c r="Q361" s="53"/>
      <c r="R361" s="53"/>
      <c r="S361" s="53"/>
    </row>
    <row r="362" spans="1:19" s="64" customFormat="1">
      <c r="A362" s="53"/>
      <c r="B362" s="53"/>
      <c r="C362" s="79"/>
      <c r="D362" s="79"/>
      <c r="E362" s="53"/>
      <c r="F362" s="53"/>
      <c r="Q362" s="53"/>
      <c r="R362" s="53"/>
      <c r="S362" s="53"/>
    </row>
    <row r="363" spans="1:19" s="64" customFormat="1">
      <c r="A363" s="53"/>
      <c r="B363" s="53"/>
      <c r="C363" s="79"/>
      <c r="D363" s="79"/>
      <c r="E363" s="102"/>
      <c r="F363" s="53"/>
      <c r="Q363" s="53"/>
      <c r="R363" s="53"/>
      <c r="S363" s="53"/>
    </row>
    <row r="364" spans="1:19" s="64" customFormat="1">
      <c r="A364" s="53"/>
      <c r="B364" s="53"/>
      <c r="C364" s="79"/>
      <c r="D364" s="79"/>
      <c r="E364" s="53"/>
      <c r="F364" s="53"/>
      <c r="Q364" s="53"/>
      <c r="R364" s="53"/>
      <c r="S364" s="53"/>
    </row>
    <row r="365" spans="1:19" s="64" customFormat="1">
      <c r="A365" s="53"/>
      <c r="B365" s="53"/>
      <c r="C365" s="79"/>
      <c r="D365" s="79"/>
      <c r="E365" s="53"/>
      <c r="F365" s="53"/>
      <c r="Q365" s="53"/>
      <c r="R365" s="53"/>
      <c r="S365" s="53"/>
    </row>
    <row r="366" spans="1:19" s="64" customFormat="1">
      <c r="A366" s="53"/>
      <c r="B366" s="53"/>
      <c r="C366" s="79"/>
      <c r="D366" s="79"/>
      <c r="E366" s="53"/>
      <c r="F366" s="53"/>
    </row>
    <row r="367" spans="1:19" s="64" customFormat="1">
      <c r="A367" s="53"/>
      <c r="B367" s="53"/>
      <c r="C367" s="79"/>
      <c r="D367" s="79"/>
      <c r="E367" s="53"/>
      <c r="F367" s="53"/>
    </row>
    <row r="368" spans="1:19" s="64" customFormat="1">
      <c r="A368" s="103"/>
      <c r="B368" s="103"/>
      <c r="C368" s="104"/>
      <c r="D368" s="104"/>
      <c r="E368" s="53"/>
      <c r="F368" s="53"/>
    </row>
    <row r="369" spans="1:12" s="64" customFormat="1">
      <c r="A369" s="103"/>
      <c r="B369" s="105"/>
      <c r="C369" s="104"/>
      <c r="D369" s="104"/>
      <c r="E369" s="53"/>
      <c r="F369" s="53"/>
    </row>
    <row r="370" spans="1:12" s="64" customFormat="1">
      <c r="A370" s="103"/>
      <c r="B370" s="103"/>
      <c r="C370" s="104"/>
      <c r="D370" s="104"/>
      <c r="E370" s="53"/>
      <c r="F370" s="53"/>
    </row>
    <row r="371" spans="1:12" s="64" customFormat="1">
      <c r="A371" s="103"/>
      <c r="B371" s="105"/>
      <c r="C371" s="104"/>
      <c r="D371" s="104"/>
      <c r="E371" s="53"/>
      <c r="G371" s="53"/>
      <c r="H371" s="53"/>
      <c r="I371" s="53"/>
      <c r="J371" s="53"/>
      <c r="K371" s="53"/>
      <c r="L371" s="53"/>
    </row>
    <row r="372" spans="1:12" s="64" customFormat="1">
      <c r="A372" s="53"/>
      <c r="B372" s="53"/>
      <c r="C372" s="79"/>
      <c r="D372" s="79"/>
      <c r="E372" s="53"/>
      <c r="G372" s="53"/>
      <c r="H372" s="53"/>
      <c r="I372" s="53"/>
      <c r="J372" s="106"/>
      <c r="K372" s="106"/>
      <c r="L372" s="106"/>
    </row>
    <row r="373" spans="1:12" s="64" customFormat="1">
      <c r="A373" s="3"/>
      <c r="B373" s="102"/>
      <c r="C373" s="3"/>
      <c r="D373" s="102"/>
      <c r="E373" s="107"/>
      <c r="G373" s="53"/>
      <c r="H373" s="108"/>
      <c r="I373" s="53"/>
      <c r="J373" s="106"/>
      <c r="K373" s="106"/>
      <c r="L373" s="106"/>
    </row>
    <row r="374" spans="1:12" s="64" customFormat="1">
      <c r="A374" s="53"/>
      <c r="B374" s="53"/>
      <c r="C374" s="53"/>
      <c r="D374" s="53"/>
      <c r="E374" s="107"/>
      <c r="G374" s="53"/>
      <c r="H374" s="53"/>
      <c r="I374" s="53"/>
      <c r="J374" s="79"/>
      <c r="K374" s="79"/>
      <c r="L374" s="53"/>
    </row>
    <row r="375" spans="1:12" s="64" customFormat="1">
      <c r="A375" s="53"/>
      <c r="B375" s="53"/>
      <c r="C375" s="53"/>
      <c r="D375" s="106"/>
      <c r="E375" s="106"/>
      <c r="G375" s="53"/>
      <c r="H375" s="93"/>
      <c r="I375" s="79"/>
      <c r="J375" s="79"/>
      <c r="K375" s="79"/>
      <c r="L375" s="106"/>
    </row>
    <row r="376" spans="1:12" s="64" customFormat="1">
      <c r="A376" s="53"/>
      <c r="B376" s="53"/>
      <c r="C376" s="53"/>
      <c r="D376" s="53"/>
      <c r="E376" s="53"/>
      <c r="G376" s="53"/>
      <c r="H376" s="93"/>
      <c r="I376" s="79"/>
      <c r="J376" s="79"/>
      <c r="K376" s="79"/>
      <c r="L376" s="53"/>
    </row>
    <row r="377" spans="1:12" s="64" customFormat="1">
      <c r="A377" s="53"/>
      <c r="B377" s="53"/>
      <c r="C377" s="53"/>
      <c r="D377" s="106"/>
      <c r="E377" s="106"/>
      <c r="G377" s="53"/>
      <c r="H377" s="93"/>
      <c r="I377" s="79"/>
      <c r="J377" s="79"/>
      <c r="K377" s="79"/>
      <c r="L377" s="106"/>
    </row>
    <row r="378" spans="1:12" s="64" customFormat="1">
      <c r="A378" s="53"/>
      <c r="B378" s="53"/>
      <c r="C378" s="53"/>
      <c r="D378" s="109"/>
      <c r="E378" s="109"/>
      <c r="F378" s="53"/>
      <c r="G378" s="103"/>
      <c r="H378" s="103"/>
      <c r="I378" s="104"/>
      <c r="J378" s="104"/>
      <c r="K378" s="79"/>
      <c r="L378" s="106"/>
    </row>
    <row r="379" spans="1:12" s="64" customFormat="1">
      <c r="A379" s="53"/>
      <c r="B379" s="53"/>
      <c r="C379" s="79"/>
      <c r="D379" s="79"/>
      <c r="E379" s="79"/>
      <c r="F379" s="53"/>
      <c r="G379" s="53"/>
      <c r="H379" s="53"/>
    </row>
    <row r="380" spans="1:12" s="64" customFormat="1">
      <c r="A380" s="53"/>
      <c r="B380" s="53"/>
      <c r="C380" s="53"/>
      <c r="D380" s="79"/>
      <c r="E380" s="53"/>
      <c r="F380" s="53"/>
      <c r="G380" s="110"/>
      <c r="H380" s="53"/>
      <c r="I380" s="53"/>
      <c r="J380" s="79"/>
      <c r="K380" s="79"/>
    </row>
    <row r="381" spans="1:12" s="64" customFormat="1">
      <c r="A381" s="53"/>
      <c r="B381" s="93"/>
      <c r="C381" s="79"/>
      <c r="D381" s="79"/>
      <c r="E381" s="53"/>
      <c r="F381" s="53"/>
      <c r="G381" s="102"/>
      <c r="H381" s="93"/>
      <c r="I381" s="79"/>
      <c r="J381" s="79"/>
      <c r="K381" s="79"/>
    </row>
    <row r="382" spans="1:12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79"/>
    </row>
    <row r="383" spans="1:12" s="64" customFormat="1">
      <c r="A383" s="53"/>
      <c r="B383" s="93"/>
      <c r="C383" s="79"/>
      <c r="D383" s="79"/>
      <c r="E383" s="53"/>
      <c r="F383" s="53"/>
      <c r="G383" s="53"/>
      <c r="H383" s="93"/>
      <c r="I383" s="79"/>
      <c r="J383" s="79"/>
      <c r="K383" s="79"/>
    </row>
    <row r="384" spans="1:12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79"/>
    </row>
    <row r="385" spans="1:11" s="64" customFormat="1">
      <c r="A385" s="53"/>
      <c r="B385" s="93"/>
      <c r="C385" s="79"/>
      <c r="D385" s="79"/>
      <c r="E385" s="111"/>
      <c r="F385" s="53"/>
      <c r="G385" s="53"/>
      <c r="H385" s="93"/>
      <c r="I385" s="79"/>
      <c r="J385" s="79"/>
      <c r="K385" s="79"/>
    </row>
    <row r="386" spans="1:11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79"/>
    </row>
    <row r="387" spans="1:11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79"/>
    </row>
    <row r="388" spans="1:11" s="64" customFormat="1">
      <c r="A388" s="103"/>
      <c r="B388" s="103"/>
      <c r="C388" s="104"/>
      <c r="D388" s="104"/>
      <c r="E388" s="53"/>
      <c r="F388" s="53"/>
      <c r="G388" s="103"/>
      <c r="H388" s="103"/>
      <c r="I388" s="104"/>
      <c r="J388" s="104"/>
      <c r="K388" s="104"/>
    </row>
    <row r="389" spans="1:11" s="64" customFormat="1">
      <c r="A389" s="53"/>
      <c r="B389" s="53"/>
      <c r="C389" s="79"/>
      <c r="D389" s="79"/>
      <c r="E389" s="53"/>
      <c r="F389" s="53"/>
    </row>
    <row r="390" spans="1:11" s="64" customFormat="1">
      <c r="A390" s="53"/>
      <c r="B390" s="53"/>
      <c r="C390" s="79"/>
      <c r="D390" s="104"/>
      <c r="E390" s="53"/>
      <c r="F390" s="53"/>
    </row>
    <row r="391" spans="1:11" s="64" customFormat="1">
      <c r="A391" s="53"/>
      <c r="B391" s="53"/>
      <c r="C391" s="79"/>
      <c r="D391" s="79"/>
      <c r="E391" s="53"/>
      <c r="F391" s="53"/>
    </row>
    <row r="392" spans="1:11" s="64" customFormat="1">
      <c r="A392" s="53"/>
      <c r="B392" s="53"/>
      <c r="C392" s="79"/>
      <c r="D392" s="79"/>
      <c r="E392" s="53"/>
      <c r="F392" s="53"/>
    </row>
    <row r="393" spans="1:11" s="64" customFormat="1">
      <c r="A393" s="53"/>
      <c r="B393" s="112"/>
      <c r="C393" s="79"/>
      <c r="D393" s="79"/>
      <c r="E393" s="53"/>
      <c r="F393" s="53"/>
    </row>
    <row r="394" spans="1:11" s="64" customFormat="1">
      <c r="A394" s="53"/>
      <c r="B394" s="112"/>
      <c r="C394" s="79"/>
      <c r="D394" s="79"/>
      <c r="E394" s="53"/>
      <c r="F394" s="53"/>
    </row>
    <row r="395" spans="1:11" s="64" customFormat="1">
      <c r="A395" s="53"/>
      <c r="B395" s="113"/>
      <c r="C395" s="79"/>
      <c r="D395" s="79"/>
      <c r="E395" s="53"/>
      <c r="F395" s="53"/>
    </row>
    <row r="396" spans="1:11" s="64" customFormat="1">
      <c r="A396" s="53"/>
      <c r="B396" s="113"/>
      <c r="C396" s="79"/>
      <c r="D396" s="79"/>
      <c r="E396" s="53"/>
      <c r="F396" s="53"/>
    </row>
    <row r="397" spans="1:11" s="64" customFormat="1">
      <c r="A397" s="53"/>
      <c r="B397" s="113"/>
      <c r="C397" s="79"/>
      <c r="D397" s="79"/>
      <c r="E397" s="53"/>
      <c r="F397" s="53"/>
    </row>
    <row r="398" spans="1:11" s="64" customFormat="1">
      <c r="A398" s="53"/>
      <c r="B398" s="113"/>
      <c r="C398" s="79"/>
      <c r="D398" s="79"/>
      <c r="E398" s="53"/>
      <c r="F398" s="53"/>
    </row>
    <row r="399" spans="1:11" s="64" customFormat="1">
      <c r="A399" s="53"/>
      <c r="B399" s="112"/>
      <c r="C399" s="79"/>
      <c r="D399" s="79"/>
      <c r="E399" s="53"/>
      <c r="F399" s="53"/>
    </row>
    <row r="400" spans="1:11" s="64" customFormat="1">
      <c r="A400" s="53"/>
      <c r="B400" s="112"/>
      <c r="C400" s="79"/>
      <c r="D400" s="79"/>
      <c r="E400" s="53"/>
      <c r="F400" s="53"/>
    </row>
    <row r="401" spans="1:19" s="64" customFormat="1">
      <c r="A401" s="53"/>
      <c r="B401" s="112"/>
      <c r="C401" s="79"/>
      <c r="D401" s="66"/>
      <c r="E401" s="53"/>
      <c r="F401" s="53"/>
      <c r="N401" s="53"/>
    </row>
    <row r="402" spans="1:19" s="64" customFormat="1">
      <c r="A402" s="53"/>
      <c r="B402" s="113"/>
      <c r="C402" s="79"/>
      <c r="D402" s="79"/>
      <c r="E402" s="53"/>
      <c r="F402" s="53"/>
      <c r="G402" s="53"/>
      <c r="I402" s="114"/>
      <c r="N402" s="53"/>
    </row>
    <row r="403" spans="1:19" s="64" customFormat="1">
      <c r="A403" s="53"/>
      <c r="B403" s="53"/>
      <c r="C403" s="79"/>
      <c r="D403" s="79"/>
      <c r="E403" s="79"/>
      <c r="F403" s="79"/>
      <c r="N403" s="53"/>
    </row>
    <row r="404" spans="1:19" s="64" customFormat="1">
      <c r="A404" s="53"/>
      <c r="B404" s="53"/>
      <c r="C404" s="79"/>
      <c r="D404" s="79"/>
      <c r="F404" s="108"/>
      <c r="N404" s="53"/>
    </row>
    <row r="405" spans="1:19" s="64" customFormat="1">
      <c r="A405" s="115"/>
      <c r="D405" s="79"/>
    </row>
    <row r="406" spans="1:19" s="64" customFormat="1"/>
    <row r="407" spans="1:19" s="64" customFormat="1">
      <c r="A407" s="116"/>
    </row>
    <row r="408" spans="1:19" s="64" customFormat="1">
      <c r="A408" s="53"/>
      <c r="B408" s="53"/>
      <c r="C408" s="53"/>
      <c r="D408" s="53"/>
      <c r="L408" s="53"/>
      <c r="M408" s="53"/>
      <c r="N408" s="53"/>
      <c r="O408" s="53"/>
      <c r="P408" s="53"/>
    </row>
    <row r="409" spans="1:19" s="64" customFormat="1">
      <c r="A409" s="53"/>
      <c r="B409" s="53"/>
      <c r="C409" s="53"/>
      <c r="D409" s="53"/>
      <c r="E409" s="53"/>
      <c r="F409" s="53"/>
      <c r="L409" s="53"/>
      <c r="M409" s="53"/>
      <c r="N409" s="53"/>
      <c r="O409" s="53"/>
      <c r="P409" s="79"/>
    </row>
    <row r="410" spans="1:19" s="64" customFormat="1">
      <c r="A410" s="53"/>
      <c r="B410" s="101"/>
      <c r="C410" s="79"/>
      <c r="D410" s="79"/>
      <c r="E410" s="102"/>
      <c r="F410" s="53"/>
      <c r="L410" s="53"/>
      <c r="M410" s="53"/>
      <c r="N410" s="79"/>
      <c r="O410" s="79"/>
      <c r="P410" s="79"/>
    </row>
    <row r="411" spans="1:19" s="64" customFormat="1">
      <c r="A411" s="53"/>
      <c r="B411" s="53"/>
      <c r="C411" s="79"/>
      <c r="D411" s="79"/>
      <c r="E411" s="53"/>
      <c r="F411" s="53"/>
      <c r="L411" s="53"/>
      <c r="M411" s="53"/>
      <c r="N411" s="79"/>
      <c r="O411" s="102"/>
      <c r="P411" s="79"/>
    </row>
    <row r="412" spans="1:19" s="64" customFormat="1">
      <c r="A412" s="53"/>
      <c r="B412" s="53"/>
      <c r="C412" s="79"/>
      <c r="D412" s="79"/>
      <c r="E412" s="53"/>
      <c r="F412" s="53"/>
      <c r="L412" s="53"/>
      <c r="M412" s="53"/>
      <c r="N412" s="79"/>
      <c r="O412" s="102"/>
      <c r="P412" s="79"/>
    </row>
    <row r="413" spans="1:19" s="64" customFormat="1">
      <c r="A413" s="53"/>
      <c r="B413" s="53"/>
      <c r="C413" s="79"/>
      <c r="D413" s="79"/>
      <c r="E413" s="53"/>
      <c r="F413" s="53"/>
      <c r="L413" s="53"/>
      <c r="M413" s="79"/>
      <c r="N413" s="66"/>
      <c r="O413" s="53"/>
      <c r="P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L414" s="53"/>
      <c r="M414" s="53"/>
      <c r="N414" s="66"/>
      <c r="O414" s="53"/>
      <c r="P414" s="53"/>
      <c r="Q414" s="79"/>
      <c r="R414" s="79"/>
      <c r="S414" s="53"/>
    </row>
    <row r="415" spans="1:19" s="64" customFormat="1">
      <c r="A415" s="53"/>
      <c r="B415" s="53"/>
      <c r="C415" s="79"/>
      <c r="D415" s="79"/>
      <c r="E415" s="53"/>
      <c r="F415" s="53"/>
      <c r="L415" s="53"/>
      <c r="M415" s="53"/>
      <c r="N415" s="66"/>
      <c r="O415" s="53"/>
      <c r="P415" s="53"/>
      <c r="Q415" s="79"/>
      <c r="R415" s="79"/>
      <c r="S415" s="53"/>
    </row>
    <row r="416" spans="1:19" s="64" customFormat="1">
      <c r="A416" s="53"/>
      <c r="B416" s="53"/>
      <c r="C416" s="79"/>
      <c r="D416" s="79"/>
      <c r="E416" s="53"/>
      <c r="F416" s="53"/>
      <c r="L416" s="53"/>
      <c r="M416" s="53"/>
      <c r="N416" s="66"/>
      <c r="O416" s="53"/>
      <c r="P416" s="53"/>
      <c r="Q416" s="79"/>
      <c r="R416" s="79"/>
      <c r="S416" s="53"/>
    </row>
    <row r="417" spans="1:19" s="64" customFormat="1">
      <c r="A417" s="53"/>
      <c r="B417" s="53"/>
      <c r="C417" s="79"/>
      <c r="D417" s="79"/>
      <c r="E417" s="53"/>
      <c r="F417" s="53"/>
      <c r="L417" s="53"/>
      <c r="M417" s="53"/>
      <c r="N417" s="66"/>
      <c r="O417" s="53"/>
      <c r="P417" s="53"/>
      <c r="Q417" s="79"/>
      <c r="R417" s="79"/>
      <c r="S417" s="53"/>
    </row>
    <row r="418" spans="1:19" s="64" customFormat="1">
      <c r="A418" s="53"/>
      <c r="B418" s="53"/>
      <c r="C418" s="79"/>
      <c r="D418" s="79"/>
      <c r="E418" s="53"/>
      <c r="F418" s="53"/>
      <c r="L418" s="53"/>
      <c r="M418" s="53"/>
      <c r="N418" s="66"/>
      <c r="O418" s="53"/>
      <c r="P418" s="53"/>
      <c r="Q418" s="53"/>
      <c r="R418" s="53"/>
      <c r="S418" s="53"/>
    </row>
    <row r="419" spans="1:19" s="64" customFormat="1">
      <c r="A419" s="53"/>
      <c r="B419" s="53"/>
      <c r="C419" s="79"/>
      <c r="D419" s="79"/>
      <c r="E419" s="53"/>
      <c r="F419" s="53"/>
      <c r="L419" s="53"/>
      <c r="M419" s="53"/>
      <c r="N419" s="66"/>
      <c r="O419" s="53"/>
      <c r="P419" s="53"/>
      <c r="Q419" s="53"/>
      <c r="R419" s="53"/>
      <c r="S419" s="53"/>
    </row>
    <row r="420" spans="1:19" s="64" customFormat="1">
      <c r="A420" s="53"/>
      <c r="B420" s="53"/>
      <c r="C420" s="79"/>
      <c r="D420" s="79"/>
      <c r="E420" s="53"/>
      <c r="F420" s="53"/>
      <c r="Q420" s="53"/>
      <c r="R420" s="53"/>
      <c r="S420" s="53"/>
    </row>
    <row r="421" spans="1:19" s="64" customFormat="1">
      <c r="A421" s="53"/>
      <c r="B421" s="53"/>
      <c r="C421" s="79"/>
      <c r="D421" s="79"/>
      <c r="E421" s="53"/>
      <c r="F421" s="53"/>
      <c r="Q421" s="53"/>
      <c r="R421" s="53"/>
      <c r="S421" s="53"/>
    </row>
    <row r="422" spans="1:19" s="64" customFormat="1">
      <c r="A422" s="53"/>
      <c r="B422" s="53"/>
      <c r="C422" s="79"/>
      <c r="D422" s="79"/>
      <c r="E422" s="102"/>
      <c r="F422" s="53"/>
      <c r="Q422" s="53"/>
      <c r="R422" s="53"/>
      <c r="S422" s="53"/>
    </row>
    <row r="423" spans="1:19" s="64" customFormat="1">
      <c r="A423" s="53"/>
      <c r="B423" s="53"/>
      <c r="C423" s="79"/>
      <c r="D423" s="79"/>
      <c r="E423" s="53"/>
      <c r="F423" s="53"/>
      <c r="Q423" s="53"/>
      <c r="R423" s="53"/>
      <c r="S423" s="53"/>
    </row>
    <row r="424" spans="1:19" s="64" customFormat="1">
      <c r="A424" s="53"/>
      <c r="B424" s="53"/>
      <c r="C424" s="79"/>
      <c r="D424" s="79"/>
      <c r="E424" s="53"/>
      <c r="F424" s="53"/>
      <c r="Q424" s="53"/>
      <c r="R424" s="53"/>
      <c r="S424" s="53"/>
    </row>
    <row r="425" spans="1:19" s="64" customFormat="1">
      <c r="A425" s="53"/>
      <c r="B425" s="53"/>
      <c r="C425" s="79"/>
      <c r="D425" s="79"/>
      <c r="E425" s="53"/>
      <c r="F425" s="53"/>
    </row>
    <row r="426" spans="1:19" s="64" customFormat="1">
      <c r="A426" s="53"/>
      <c r="B426" s="53"/>
      <c r="C426" s="79"/>
      <c r="D426" s="79"/>
      <c r="E426" s="53"/>
      <c r="F426" s="53"/>
    </row>
    <row r="427" spans="1:19" s="64" customFormat="1">
      <c r="A427" s="103"/>
      <c r="B427" s="103"/>
      <c r="C427" s="104"/>
      <c r="D427" s="104"/>
      <c r="E427" s="53"/>
      <c r="F427" s="53"/>
    </row>
    <row r="428" spans="1:19" s="64" customFormat="1">
      <c r="A428" s="103"/>
      <c r="B428" s="105"/>
      <c r="C428" s="104"/>
      <c r="D428" s="104"/>
      <c r="E428" s="53"/>
      <c r="F428" s="53"/>
    </row>
    <row r="429" spans="1:19" s="64" customFormat="1">
      <c r="A429" s="103"/>
      <c r="B429" s="103"/>
      <c r="C429" s="104"/>
      <c r="D429" s="104"/>
      <c r="E429" s="53"/>
      <c r="F429" s="53"/>
    </row>
    <row r="430" spans="1:19" s="64" customFormat="1">
      <c r="A430" s="103"/>
      <c r="B430" s="105"/>
      <c r="C430" s="104"/>
      <c r="D430" s="104"/>
      <c r="E430" s="53"/>
      <c r="G430" s="53"/>
      <c r="H430" s="53"/>
      <c r="I430" s="53"/>
      <c r="J430" s="53"/>
      <c r="K430" s="53"/>
      <c r="L430" s="53"/>
    </row>
    <row r="431" spans="1:19" s="64" customFormat="1">
      <c r="A431" s="53"/>
      <c r="B431" s="53"/>
      <c r="C431" s="79"/>
      <c r="D431" s="79"/>
      <c r="E431" s="53"/>
      <c r="G431" s="53"/>
      <c r="H431" s="53"/>
      <c r="I431" s="53"/>
      <c r="J431" s="106"/>
      <c r="K431" s="106"/>
      <c r="L431" s="106"/>
    </row>
    <row r="432" spans="1:19" s="64" customFormat="1">
      <c r="A432" s="3"/>
      <c r="B432" s="102"/>
      <c r="C432" s="3"/>
      <c r="D432" s="102"/>
      <c r="E432" s="107"/>
      <c r="G432" s="53"/>
      <c r="H432" s="108"/>
      <c r="I432" s="53"/>
      <c r="J432" s="106"/>
      <c r="K432" s="106"/>
      <c r="L432" s="106"/>
    </row>
    <row r="433" spans="1:12" s="64" customFormat="1">
      <c r="A433" s="53"/>
      <c r="B433" s="53"/>
      <c r="C433" s="53"/>
      <c r="D433" s="53"/>
      <c r="E433" s="107"/>
      <c r="G433" s="53"/>
      <c r="H433" s="53"/>
      <c r="I433" s="53"/>
      <c r="J433" s="79"/>
      <c r="K433" s="79"/>
      <c r="L433" s="53"/>
    </row>
    <row r="434" spans="1:12" s="64" customFormat="1">
      <c r="A434" s="53"/>
      <c r="B434" s="53"/>
      <c r="C434" s="53"/>
      <c r="D434" s="106"/>
      <c r="E434" s="106"/>
      <c r="G434" s="53"/>
      <c r="H434" s="93"/>
      <c r="I434" s="79"/>
      <c r="J434" s="79"/>
      <c r="K434" s="79"/>
      <c r="L434" s="106"/>
    </row>
    <row r="435" spans="1:12" s="64" customFormat="1">
      <c r="A435" s="53"/>
      <c r="B435" s="53"/>
      <c r="C435" s="53"/>
      <c r="D435" s="53"/>
      <c r="E435" s="53"/>
      <c r="G435" s="53"/>
      <c r="H435" s="93"/>
      <c r="I435" s="79"/>
      <c r="J435" s="79"/>
      <c r="K435" s="79"/>
      <c r="L435" s="53"/>
    </row>
    <row r="436" spans="1:12" s="64" customFormat="1">
      <c r="A436" s="53"/>
      <c r="B436" s="53"/>
      <c r="C436" s="53"/>
      <c r="D436" s="106"/>
      <c r="E436" s="106"/>
      <c r="G436" s="53"/>
      <c r="H436" s="93"/>
      <c r="I436" s="79"/>
      <c r="J436" s="79"/>
      <c r="K436" s="79"/>
      <c r="L436" s="106"/>
    </row>
    <row r="437" spans="1:12" s="64" customFormat="1">
      <c r="A437" s="53"/>
      <c r="B437" s="53"/>
      <c r="C437" s="53"/>
      <c r="D437" s="109"/>
      <c r="E437" s="109"/>
      <c r="F437" s="53"/>
      <c r="G437" s="103"/>
      <c r="H437" s="103"/>
      <c r="I437" s="104"/>
      <c r="J437" s="104"/>
      <c r="K437" s="79"/>
      <c r="L437" s="106"/>
    </row>
    <row r="438" spans="1:12" s="64" customFormat="1">
      <c r="A438" s="53"/>
      <c r="B438" s="53"/>
      <c r="C438" s="79"/>
      <c r="D438" s="79"/>
      <c r="E438" s="79"/>
      <c r="F438" s="53"/>
      <c r="G438" s="53"/>
      <c r="H438" s="53"/>
    </row>
    <row r="439" spans="1:12" s="64" customFormat="1">
      <c r="A439" s="53"/>
      <c r="B439" s="53"/>
      <c r="C439" s="53"/>
      <c r="D439" s="79"/>
      <c r="E439" s="53"/>
      <c r="F439" s="53"/>
      <c r="G439" s="110"/>
      <c r="H439" s="53"/>
      <c r="I439" s="53"/>
      <c r="J439" s="79"/>
      <c r="K439" s="79"/>
    </row>
    <row r="440" spans="1:12" s="64" customFormat="1">
      <c r="A440" s="53"/>
      <c r="B440" s="93"/>
      <c r="C440" s="79"/>
      <c r="D440" s="79"/>
      <c r="E440" s="53"/>
      <c r="F440" s="53"/>
      <c r="G440" s="102"/>
      <c r="H440" s="93"/>
      <c r="I440" s="79"/>
      <c r="J440" s="79"/>
      <c r="K440" s="79"/>
    </row>
    <row r="441" spans="1:12" s="64" customFormat="1">
      <c r="A441" s="53"/>
      <c r="B441" s="93"/>
      <c r="C441" s="79"/>
      <c r="D441" s="79"/>
      <c r="E441" s="53"/>
      <c r="F441" s="53"/>
      <c r="G441" s="53"/>
      <c r="H441" s="93"/>
      <c r="I441" s="79"/>
      <c r="J441" s="79"/>
      <c r="K441" s="79"/>
    </row>
    <row r="442" spans="1:12" s="64" customFormat="1">
      <c r="A442" s="53"/>
      <c r="B442" s="93"/>
      <c r="C442" s="79"/>
      <c r="D442" s="79"/>
      <c r="E442" s="53"/>
      <c r="F442" s="53"/>
      <c r="G442" s="53"/>
      <c r="H442" s="93"/>
      <c r="I442" s="79"/>
      <c r="J442" s="79"/>
      <c r="K442" s="79"/>
    </row>
    <row r="443" spans="1:12" s="64" customFormat="1">
      <c r="A443" s="53"/>
      <c r="B443" s="93"/>
      <c r="C443" s="79"/>
      <c r="D443" s="79"/>
      <c r="E443" s="111"/>
      <c r="F443" s="53"/>
      <c r="G443" s="53"/>
      <c r="H443" s="93"/>
      <c r="I443" s="79"/>
      <c r="J443" s="79"/>
      <c r="K443" s="79"/>
    </row>
    <row r="444" spans="1:12" s="64" customFormat="1">
      <c r="A444" s="53"/>
      <c r="B444" s="93"/>
      <c r="C444" s="79"/>
      <c r="D444" s="79"/>
      <c r="E444" s="53"/>
      <c r="F444" s="53"/>
      <c r="G444" s="53"/>
      <c r="H444" s="93"/>
      <c r="I444" s="79"/>
      <c r="J444" s="79"/>
      <c r="K444" s="79"/>
    </row>
    <row r="445" spans="1:12" s="64" customFormat="1">
      <c r="A445" s="53"/>
      <c r="B445" s="93"/>
      <c r="C445" s="79"/>
      <c r="D445" s="79"/>
      <c r="E445" s="53"/>
      <c r="F445" s="53"/>
      <c r="G445" s="53"/>
      <c r="H445" s="93"/>
      <c r="I445" s="79"/>
      <c r="J445" s="79"/>
      <c r="K445" s="79"/>
    </row>
    <row r="446" spans="1:12" s="64" customFormat="1">
      <c r="A446" s="53"/>
      <c r="B446" s="93"/>
      <c r="C446" s="79"/>
      <c r="D446" s="79"/>
      <c r="E446" s="53"/>
      <c r="F446" s="53"/>
      <c r="G446" s="53"/>
      <c r="H446" s="93"/>
      <c r="I446" s="79"/>
      <c r="J446" s="79"/>
      <c r="K446" s="79"/>
    </row>
    <row r="447" spans="1:12" s="64" customFormat="1">
      <c r="A447" s="103"/>
      <c r="B447" s="103"/>
      <c r="C447" s="104"/>
      <c r="D447" s="104"/>
      <c r="E447" s="53"/>
      <c r="F447" s="53"/>
      <c r="G447" s="103"/>
      <c r="H447" s="103"/>
      <c r="I447" s="104"/>
      <c r="J447" s="104"/>
      <c r="K447" s="104"/>
    </row>
    <row r="448" spans="1:12" s="64" customFormat="1">
      <c r="A448" s="53"/>
      <c r="B448" s="53"/>
      <c r="C448" s="79"/>
      <c r="D448" s="79"/>
      <c r="E448" s="53"/>
      <c r="F448" s="53"/>
    </row>
    <row r="449" spans="1:14" s="64" customFormat="1">
      <c r="A449" s="53"/>
      <c r="B449" s="53"/>
      <c r="C449" s="79"/>
      <c r="D449" s="104"/>
      <c r="E449" s="53"/>
      <c r="F449" s="53"/>
    </row>
    <row r="450" spans="1:14" s="64" customFormat="1">
      <c r="A450" s="53"/>
      <c r="B450" s="53"/>
      <c r="C450" s="79"/>
      <c r="D450" s="79"/>
      <c r="E450" s="53"/>
      <c r="F450" s="53"/>
    </row>
    <row r="451" spans="1:14" s="64" customFormat="1">
      <c r="A451" s="53"/>
      <c r="B451" s="53"/>
      <c r="C451" s="79"/>
      <c r="D451" s="79"/>
      <c r="E451" s="53"/>
      <c r="F451" s="53"/>
    </row>
    <row r="452" spans="1:14" s="64" customFormat="1">
      <c r="A452" s="53"/>
      <c r="B452" s="112"/>
      <c r="C452" s="79"/>
      <c r="D452" s="79"/>
      <c r="E452" s="53"/>
      <c r="F452" s="53"/>
    </row>
    <row r="453" spans="1:14" s="64" customFormat="1">
      <c r="A453" s="53"/>
      <c r="B453" s="112"/>
      <c r="C453" s="79"/>
      <c r="D453" s="79"/>
      <c r="E453" s="53"/>
      <c r="F453" s="53"/>
    </row>
    <row r="454" spans="1:14" s="64" customFormat="1">
      <c r="A454" s="53"/>
      <c r="B454" s="113"/>
      <c r="C454" s="79"/>
      <c r="D454" s="79"/>
      <c r="E454" s="53"/>
      <c r="F454" s="53"/>
    </row>
    <row r="455" spans="1:14" s="64" customFormat="1">
      <c r="A455" s="53"/>
      <c r="B455" s="113"/>
      <c r="C455" s="79"/>
      <c r="D455" s="79"/>
      <c r="E455" s="53"/>
      <c r="F455" s="53"/>
    </row>
    <row r="456" spans="1:14" s="64" customFormat="1">
      <c r="A456" s="53"/>
      <c r="B456" s="113"/>
      <c r="C456" s="79"/>
      <c r="D456" s="79"/>
      <c r="E456" s="53"/>
      <c r="F456" s="53"/>
    </row>
    <row r="457" spans="1:14" s="64" customFormat="1">
      <c r="A457" s="53"/>
      <c r="B457" s="113"/>
      <c r="C457" s="79"/>
      <c r="D457" s="79"/>
      <c r="E457" s="53"/>
      <c r="F457" s="53"/>
    </row>
    <row r="458" spans="1:14" s="64" customFormat="1">
      <c r="A458" s="53"/>
      <c r="B458" s="112"/>
      <c r="C458" s="79"/>
      <c r="D458" s="79"/>
      <c r="E458" s="53"/>
      <c r="F458" s="53"/>
    </row>
    <row r="459" spans="1:14" s="64" customFormat="1">
      <c r="A459" s="53"/>
      <c r="B459" s="112"/>
      <c r="C459" s="79"/>
      <c r="D459" s="79"/>
      <c r="E459" s="53"/>
      <c r="F459" s="53"/>
    </row>
    <row r="460" spans="1:14" s="64" customFormat="1">
      <c r="A460" s="53"/>
      <c r="B460" s="112"/>
      <c r="C460" s="79"/>
      <c r="D460" s="66"/>
      <c r="E460" s="53"/>
      <c r="F460" s="53"/>
      <c r="N460" s="53"/>
    </row>
    <row r="461" spans="1:14" s="64" customFormat="1">
      <c r="A461" s="53"/>
      <c r="B461" s="113"/>
      <c r="C461" s="79"/>
      <c r="D461" s="79"/>
      <c r="E461" s="53"/>
      <c r="F461" s="53"/>
      <c r="G461" s="53"/>
      <c r="I461" s="114"/>
      <c r="N461" s="53"/>
    </row>
    <row r="462" spans="1:14" s="64" customFormat="1">
      <c r="A462" s="53"/>
      <c r="B462" s="53"/>
      <c r="C462" s="79"/>
      <c r="D462" s="79"/>
      <c r="E462" s="79"/>
      <c r="F462" s="79"/>
      <c r="N462" s="53"/>
    </row>
    <row r="463" spans="1:14" s="64" customFormat="1">
      <c r="A463" s="53"/>
      <c r="B463" s="53"/>
      <c r="C463" s="79"/>
      <c r="D463" s="79"/>
      <c r="F463" s="108"/>
      <c r="N463" s="53"/>
    </row>
    <row r="464" spans="1:14" s="64" customFormat="1">
      <c r="D464" s="79"/>
    </row>
    <row r="465" spans="1:19" s="64" customFormat="1">
      <c r="A465" s="115"/>
    </row>
    <row r="466" spans="1:19" s="64" customFormat="1"/>
    <row r="467" spans="1:19" s="64" customFormat="1">
      <c r="A467" s="53"/>
      <c r="B467" s="53"/>
      <c r="C467" s="53"/>
      <c r="D467" s="53"/>
      <c r="L467" s="53"/>
      <c r="M467" s="53"/>
      <c r="N467" s="53"/>
      <c r="O467" s="53"/>
      <c r="P467" s="53"/>
    </row>
    <row r="468" spans="1:19" s="64" customFormat="1">
      <c r="A468" s="53"/>
      <c r="B468" s="53"/>
      <c r="C468" s="53"/>
      <c r="D468" s="53"/>
      <c r="E468" s="53"/>
      <c r="F468" s="53"/>
      <c r="L468" s="53"/>
      <c r="M468" s="53"/>
      <c r="N468" s="53"/>
      <c r="O468" s="53"/>
      <c r="P468" s="79"/>
    </row>
    <row r="469" spans="1:19" s="64" customFormat="1">
      <c r="A469" s="53"/>
      <c r="B469" s="101"/>
      <c r="C469" s="79"/>
      <c r="D469" s="79"/>
      <c r="E469" s="102"/>
      <c r="F469" s="53"/>
      <c r="L469" s="53"/>
      <c r="M469" s="53"/>
      <c r="N469" s="79"/>
      <c r="O469" s="79"/>
      <c r="P469" s="79"/>
    </row>
    <row r="470" spans="1:19" s="64" customFormat="1">
      <c r="A470" s="53"/>
      <c r="B470" s="53"/>
      <c r="C470" s="79"/>
      <c r="D470" s="79"/>
      <c r="E470" s="53"/>
      <c r="F470" s="53"/>
      <c r="L470" s="53"/>
      <c r="M470" s="53"/>
      <c r="N470" s="79"/>
      <c r="O470" s="102"/>
      <c r="P470" s="79"/>
    </row>
    <row r="471" spans="1:19" s="64" customFormat="1">
      <c r="A471" s="53"/>
      <c r="B471" s="53"/>
      <c r="C471" s="79"/>
      <c r="D471" s="79"/>
      <c r="E471" s="53"/>
      <c r="F471" s="53"/>
      <c r="L471" s="53"/>
      <c r="M471" s="53"/>
      <c r="N471" s="79"/>
      <c r="O471" s="102"/>
      <c r="P471" s="79"/>
    </row>
    <row r="472" spans="1:19" s="64" customFormat="1">
      <c r="A472" s="53"/>
      <c r="B472" s="53"/>
      <c r="C472" s="79"/>
      <c r="D472" s="79"/>
      <c r="E472" s="53"/>
      <c r="F472" s="53"/>
      <c r="L472" s="53"/>
      <c r="M472" s="79"/>
      <c r="N472" s="66"/>
      <c r="O472" s="53"/>
      <c r="P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L473" s="53"/>
      <c r="M473" s="53"/>
      <c r="N473" s="66"/>
      <c r="O473" s="53"/>
      <c r="P473" s="53"/>
      <c r="Q473" s="79"/>
      <c r="R473" s="79"/>
      <c r="S473" s="53"/>
    </row>
    <row r="474" spans="1:19" s="64" customFormat="1">
      <c r="A474" s="53"/>
      <c r="B474" s="53"/>
      <c r="C474" s="79"/>
      <c r="D474" s="79"/>
      <c r="E474" s="53"/>
      <c r="F474" s="53"/>
      <c r="L474" s="53"/>
      <c r="M474" s="53"/>
      <c r="N474" s="66"/>
      <c r="O474" s="53"/>
      <c r="P474" s="53"/>
      <c r="Q474" s="79"/>
      <c r="R474" s="79"/>
      <c r="S474" s="53"/>
    </row>
    <row r="475" spans="1:19" s="64" customFormat="1">
      <c r="A475" s="53"/>
      <c r="B475" s="53"/>
      <c r="C475" s="79"/>
      <c r="D475" s="79"/>
      <c r="E475" s="53"/>
      <c r="F475" s="53"/>
      <c r="L475" s="53"/>
      <c r="M475" s="53"/>
      <c r="N475" s="66"/>
      <c r="O475" s="53"/>
      <c r="P475" s="53"/>
      <c r="Q475" s="79"/>
      <c r="R475" s="79"/>
      <c r="S475" s="53"/>
    </row>
    <row r="476" spans="1:19" s="64" customFormat="1">
      <c r="A476" s="53"/>
      <c r="B476" s="53"/>
      <c r="C476" s="79"/>
      <c r="D476" s="79"/>
      <c r="E476" s="53"/>
      <c r="F476" s="53"/>
      <c r="L476" s="53"/>
      <c r="M476" s="53"/>
      <c r="N476" s="66"/>
      <c r="O476" s="53"/>
      <c r="P476" s="53"/>
      <c r="Q476" s="79"/>
      <c r="R476" s="79"/>
      <c r="S476" s="53"/>
    </row>
    <row r="477" spans="1:19" s="64" customFormat="1">
      <c r="A477" s="53"/>
      <c r="B477" s="53"/>
      <c r="C477" s="79"/>
      <c r="D477" s="79"/>
      <c r="E477" s="53"/>
      <c r="F477" s="53"/>
      <c r="L477" s="53"/>
      <c r="M477" s="53"/>
      <c r="N477" s="66"/>
      <c r="O477" s="53"/>
      <c r="P477" s="53"/>
      <c r="Q477" s="53"/>
      <c r="R477" s="53"/>
      <c r="S477" s="53"/>
    </row>
    <row r="478" spans="1:19" s="64" customFormat="1">
      <c r="A478" s="53"/>
      <c r="B478" s="53"/>
      <c r="C478" s="79"/>
      <c r="D478" s="79"/>
      <c r="E478" s="53"/>
      <c r="F478" s="53"/>
      <c r="L478" s="53"/>
      <c r="M478" s="53"/>
      <c r="N478" s="66"/>
      <c r="O478" s="53"/>
      <c r="P478" s="53"/>
      <c r="Q478" s="53"/>
      <c r="R478" s="53"/>
      <c r="S478" s="53"/>
    </row>
    <row r="479" spans="1:19" s="64" customFormat="1">
      <c r="A479" s="53"/>
      <c r="B479" s="53"/>
      <c r="C479" s="79"/>
      <c r="D479" s="79"/>
      <c r="E479" s="53"/>
      <c r="F479" s="53"/>
      <c r="Q479" s="53"/>
      <c r="R479" s="53"/>
      <c r="S479" s="53"/>
    </row>
    <row r="480" spans="1:19" s="64" customFormat="1">
      <c r="A480" s="53"/>
      <c r="B480" s="53"/>
      <c r="C480" s="79"/>
      <c r="D480" s="79"/>
      <c r="E480" s="53"/>
      <c r="F480" s="53"/>
      <c r="Q480" s="53"/>
      <c r="R480" s="53"/>
      <c r="S480" s="53"/>
    </row>
    <row r="481" spans="1:19" s="64" customFormat="1">
      <c r="A481" s="53"/>
      <c r="B481" s="53"/>
      <c r="C481" s="79"/>
      <c r="D481" s="79"/>
      <c r="E481" s="102"/>
      <c r="F481" s="53"/>
      <c r="Q481" s="53"/>
      <c r="R481" s="53"/>
      <c r="S481" s="53"/>
    </row>
    <row r="482" spans="1:19" s="64" customFormat="1">
      <c r="A482" s="53"/>
      <c r="B482" s="53"/>
      <c r="C482" s="79"/>
      <c r="D482" s="79"/>
      <c r="E482" s="53"/>
      <c r="F482" s="53"/>
      <c r="Q482" s="53"/>
      <c r="R482" s="53"/>
      <c r="S482" s="53"/>
    </row>
    <row r="483" spans="1:19" s="64" customFormat="1">
      <c r="A483" s="53"/>
      <c r="B483" s="53"/>
      <c r="C483" s="79"/>
      <c r="D483" s="79"/>
      <c r="E483" s="53"/>
      <c r="F483" s="53"/>
      <c r="Q483" s="53"/>
      <c r="R483" s="53"/>
      <c r="S483" s="53"/>
    </row>
    <row r="484" spans="1:19" s="64" customFormat="1">
      <c r="A484" s="53"/>
      <c r="B484" s="53"/>
      <c r="C484" s="79"/>
      <c r="D484" s="79"/>
      <c r="E484" s="53"/>
      <c r="F484" s="53"/>
    </row>
    <row r="485" spans="1:19" s="64" customFormat="1">
      <c r="A485" s="53"/>
      <c r="B485" s="53"/>
      <c r="C485" s="79"/>
      <c r="D485" s="79"/>
      <c r="E485" s="53"/>
      <c r="F485" s="53"/>
    </row>
    <row r="486" spans="1:19" s="64" customFormat="1">
      <c r="A486" s="103"/>
      <c r="B486" s="103"/>
      <c r="C486" s="104"/>
      <c r="D486" s="104"/>
      <c r="E486" s="53"/>
      <c r="F486" s="53"/>
    </row>
    <row r="487" spans="1:19" s="64" customFormat="1">
      <c r="A487" s="103"/>
      <c r="B487" s="105"/>
      <c r="C487" s="104"/>
      <c r="D487" s="104"/>
      <c r="E487" s="53"/>
      <c r="F487" s="53"/>
    </row>
    <row r="488" spans="1:19" s="64" customFormat="1">
      <c r="A488" s="103"/>
      <c r="B488" s="103"/>
      <c r="C488" s="104"/>
      <c r="D488" s="104"/>
      <c r="E488" s="53"/>
      <c r="F488" s="53"/>
    </row>
    <row r="489" spans="1:19" s="64" customFormat="1">
      <c r="A489" s="103"/>
      <c r="B489" s="105"/>
      <c r="C489" s="104"/>
      <c r="D489" s="104"/>
      <c r="E489" s="53"/>
      <c r="G489" s="53"/>
      <c r="H489" s="53"/>
      <c r="I489" s="53"/>
      <c r="J489" s="53"/>
      <c r="K489" s="53"/>
      <c r="L489" s="53"/>
    </row>
    <row r="490" spans="1:19" s="64" customFormat="1">
      <c r="A490" s="53"/>
      <c r="B490" s="53"/>
      <c r="C490" s="79"/>
      <c r="D490" s="79"/>
      <c r="E490" s="53"/>
      <c r="G490" s="53"/>
      <c r="H490" s="53"/>
      <c r="I490" s="53"/>
      <c r="J490" s="106"/>
      <c r="K490" s="106"/>
      <c r="L490" s="106"/>
    </row>
    <row r="491" spans="1:19" s="64" customFormat="1">
      <c r="A491" s="3"/>
      <c r="B491" s="102"/>
      <c r="C491" s="3"/>
      <c r="D491" s="102"/>
      <c r="E491" s="107"/>
      <c r="G491" s="53"/>
      <c r="H491" s="108"/>
      <c r="I491" s="53"/>
      <c r="J491" s="106"/>
      <c r="K491" s="106"/>
      <c r="L491" s="106"/>
    </row>
    <row r="492" spans="1:19" s="64" customFormat="1">
      <c r="A492" s="53"/>
      <c r="B492" s="53"/>
      <c r="C492" s="53"/>
      <c r="D492" s="53"/>
      <c r="E492" s="107"/>
      <c r="G492" s="53"/>
      <c r="H492" s="53"/>
      <c r="I492" s="53"/>
      <c r="J492" s="79"/>
      <c r="K492" s="79"/>
      <c r="L492" s="53"/>
    </row>
    <row r="493" spans="1:19" s="64" customFormat="1">
      <c r="A493" s="53"/>
      <c r="B493" s="53"/>
      <c r="C493" s="53"/>
      <c r="D493" s="106"/>
      <c r="E493" s="106"/>
      <c r="G493" s="53"/>
      <c r="H493" s="93"/>
      <c r="I493" s="79"/>
      <c r="J493" s="79"/>
      <c r="K493" s="79"/>
      <c r="L493" s="106"/>
    </row>
    <row r="494" spans="1:19" s="64" customFormat="1">
      <c r="A494" s="53"/>
      <c r="B494" s="53"/>
      <c r="C494" s="53"/>
      <c r="D494" s="53"/>
      <c r="E494" s="53"/>
      <c r="G494" s="53"/>
      <c r="H494" s="93"/>
      <c r="I494" s="79"/>
      <c r="J494" s="79"/>
      <c r="K494" s="79"/>
      <c r="L494" s="53"/>
    </row>
    <row r="495" spans="1:19" s="64" customFormat="1">
      <c r="A495" s="53"/>
      <c r="B495" s="53"/>
      <c r="C495" s="53"/>
      <c r="D495" s="106"/>
      <c r="E495" s="106"/>
      <c r="G495" s="53"/>
      <c r="H495" s="93"/>
      <c r="I495" s="79"/>
      <c r="J495" s="79"/>
      <c r="K495" s="79"/>
      <c r="L495" s="106"/>
    </row>
    <row r="496" spans="1:19" s="64" customFormat="1">
      <c r="A496" s="53"/>
      <c r="B496" s="53"/>
      <c r="C496" s="53"/>
      <c r="D496" s="109"/>
      <c r="E496" s="109"/>
      <c r="F496" s="53"/>
      <c r="G496" s="103"/>
      <c r="H496" s="103"/>
      <c r="I496" s="104"/>
      <c r="J496" s="104"/>
      <c r="K496" s="79"/>
      <c r="L496" s="106"/>
    </row>
    <row r="497" spans="1:11" s="64" customFormat="1">
      <c r="A497" s="53"/>
      <c r="B497" s="53"/>
      <c r="C497" s="79"/>
      <c r="D497" s="79"/>
      <c r="E497" s="79"/>
      <c r="F497" s="53"/>
      <c r="G497" s="53"/>
      <c r="H497" s="53"/>
    </row>
    <row r="498" spans="1:11" s="64" customFormat="1">
      <c r="A498" s="53"/>
      <c r="B498" s="53"/>
      <c r="C498" s="53"/>
      <c r="D498" s="79"/>
      <c r="E498" s="53"/>
      <c r="F498" s="53"/>
      <c r="G498" s="110"/>
      <c r="H498" s="53"/>
      <c r="I498" s="53"/>
      <c r="J498" s="79"/>
      <c r="K498" s="79"/>
    </row>
    <row r="499" spans="1:11" s="64" customFormat="1">
      <c r="A499" s="53"/>
      <c r="B499" s="93"/>
      <c r="C499" s="79"/>
      <c r="D499" s="79"/>
      <c r="E499" s="53"/>
      <c r="F499" s="53"/>
      <c r="G499" s="102"/>
      <c r="H499" s="93"/>
      <c r="I499" s="79"/>
      <c r="J499" s="79"/>
      <c r="K499" s="79"/>
    </row>
    <row r="500" spans="1:11" s="64" customFormat="1">
      <c r="A500" s="53"/>
      <c r="B500" s="93"/>
      <c r="C500" s="79"/>
      <c r="D500" s="79"/>
      <c r="E500" s="53"/>
      <c r="F500" s="53"/>
      <c r="G500" s="53"/>
      <c r="H500" s="93"/>
      <c r="I500" s="79"/>
      <c r="J500" s="79"/>
      <c r="K500" s="79"/>
    </row>
    <row r="501" spans="1:11" s="64" customFormat="1">
      <c r="A501" s="53"/>
      <c r="B501" s="93"/>
      <c r="C501" s="79"/>
      <c r="D501" s="79"/>
      <c r="E501" s="53"/>
      <c r="F501" s="53"/>
      <c r="G501" s="53"/>
      <c r="H501" s="93"/>
      <c r="I501" s="79"/>
      <c r="J501" s="79"/>
      <c r="K501" s="79"/>
    </row>
    <row r="502" spans="1:11" s="64" customFormat="1">
      <c r="A502" s="53"/>
      <c r="B502" s="93"/>
      <c r="C502" s="79"/>
      <c r="D502" s="79"/>
      <c r="E502" s="111"/>
      <c r="F502" s="53"/>
      <c r="G502" s="53"/>
      <c r="H502" s="93"/>
      <c r="I502" s="79"/>
      <c r="J502" s="79"/>
      <c r="K502" s="79"/>
    </row>
    <row r="503" spans="1:11" s="64" customFormat="1">
      <c r="A503" s="53"/>
      <c r="B503" s="93"/>
      <c r="C503" s="79"/>
      <c r="D503" s="79"/>
      <c r="E503" s="53"/>
      <c r="F503" s="53"/>
      <c r="G503" s="53"/>
      <c r="H503" s="93"/>
      <c r="I503" s="79"/>
      <c r="J503" s="79"/>
      <c r="K503" s="79"/>
    </row>
    <row r="504" spans="1:11" s="64" customFormat="1">
      <c r="A504" s="53"/>
      <c r="B504" s="93"/>
      <c r="C504" s="79"/>
      <c r="D504" s="79"/>
      <c r="E504" s="53"/>
      <c r="F504" s="53"/>
      <c r="G504" s="53"/>
      <c r="H504" s="93"/>
      <c r="I504" s="79"/>
      <c r="J504" s="79"/>
      <c r="K504" s="79"/>
    </row>
    <row r="505" spans="1:11" s="64" customFormat="1">
      <c r="A505" s="53"/>
      <c r="B505" s="93"/>
      <c r="C505" s="79"/>
      <c r="D505" s="79"/>
      <c r="E505" s="53"/>
      <c r="F505" s="53"/>
      <c r="G505" s="53"/>
      <c r="H505" s="93"/>
      <c r="I505" s="79"/>
      <c r="J505" s="79"/>
      <c r="K505" s="79"/>
    </row>
    <row r="506" spans="1:11" s="64" customFormat="1">
      <c r="A506" s="103"/>
      <c r="B506" s="103"/>
      <c r="C506" s="104"/>
      <c r="D506" s="104"/>
      <c r="E506" s="53"/>
      <c r="F506" s="53"/>
      <c r="G506" s="103"/>
      <c r="H506" s="103"/>
      <c r="I506" s="104"/>
      <c r="J506" s="104"/>
      <c r="K506" s="104"/>
    </row>
    <row r="507" spans="1:11" s="64" customFormat="1">
      <c r="A507" s="53"/>
      <c r="B507" s="53"/>
      <c r="C507" s="79"/>
      <c r="D507" s="79"/>
      <c r="E507" s="53"/>
      <c r="F507" s="53"/>
    </row>
    <row r="508" spans="1:11" s="64" customFormat="1">
      <c r="A508" s="53"/>
      <c r="B508" s="53"/>
      <c r="C508" s="79"/>
      <c r="D508" s="104"/>
      <c r="E508" s="53"/>
      <c r="F508" s="53"/>
    </row>
    <row r="509" spans="1:11" s="64" customFormat="1">
      <c r="A509" s="53"/>
      <c r="B509" s="53"/>
      <c r="C509" s="79"/>
      <c r="D509" s="79"/>
      <c r="E509" s="53"/>
      <c r="F509" s="53"/>
    </row>
    <row r="510" spans="1:11" s="64" customFormat="1">
      <c r="A510" s="53"/>
      <c r="B510" s="53"/>
      <c r="C510" s="79"/>
      <c r="D510" s="79"/>
      <c r="E510" s="53"/>
      <c r="F510" s="53"/>
    </row>
    <row r="511" spans="1:11" s="64" customFormat="1">
      <c r="A511" s="53"/>
      <c r="B511" s="112"/>
      <c r="C511" s="79"/>
      <c r="D511" s="79"/>
      <c r="E511" s="53"/>
      <c r="F511" s="53"/>
    </row>
    <row r="512" spans="1:11" s="64" customFormat="1">
      <c r="A512" s="53"/>
      <c r="B512" s="112"/>
      <c r="C512" s="79"/>
      <c r="D512" s="79"/>
      <c r="E512" s="53"/>
      <c r="F512" s="53"/>
    </row>
    <row r="513" spans="1:16" s="64" customFormat="1">
      <c r="A513" s="53"/>
      <c r="B513" s="113"/>
      <c r="C513" s="79"/>
      <c r="D513" s="79"/>
      <c r="E513" s="53"/>
      <c r="F513" s="53"/>
    </row>
    <row r="514" spans="1:16" s="64" customFormat="1">
      <c r="A514" s="53"/>
      <c r="B514" s="113"/>
      <c r="C514" s="79"/>
      <c r="D514" s="79"/>
      <c r="E514" s="53"/>
      <c r="F514" s="53"/>
    </row>
    <row r="515" spans="1:16" s="64" customFormat="1">
      <c r="A515" s="53"/>
      <c r="B515" s="113"/>
      <c r="C515" s="79"/>
      <c r="D515" s="79"/>
      <c r="E515" s="53"/>
      <c r="F515" s="53"/>
    </row>
    <row r="516" spans="1:16" s="64" customFormat="1">
      <c r="A516" s="53"/>
      <c r="B516" s="113"/>
      <c r="C516" s="79"/>
      <c r="D516" s="79"/>
      <c r="E516" s="53"/>
      <c r="F516" s="53"/>
    </row>
    <row r="517" spans="1:16" s="64" customFormat="1">
      <c r="A517" s="53"/>
      <c r="B517" s="112"/>
      <c r="C517" s="79"/>
      <c r="D517" s="79"/>
      <c r="E517" s="53"/>
      <c r="F517" s="53"/>
    </row>
    <row r="518" spans="1:16" s="64" customFormat="1">
      <c r="A518" s="53"/>
      <c r="B518" s="112"/>
      <c r="C518" s="79"/>
      <c r="D518" s="79"/>
      <c r="E518" s="53"/>
      <c r="F518" s="53"/>
    </row>
    <row r="519" spans="1:16" s="64" customFormat="1">
      <c r="A519" s="53"/>
      <c r="B519" s="112"/>
      <c r="C519" s="79"/>
      <c r="D519" s="66"/>
      <c r="E519" s="53"/>
      <c r="F519" s="53"/>
      <c r="N519" s="53"/>
    </row>
    <row r="520" spans="1:16" s="64" customFormat="1">
      <c r="A520" s="53"/>
      <c r="B520" s="113"/>
      <c r="C520" s="79"/>
      <c r="D520" s="79"/>
      <c r="E520" s="53"/>
      <c r="F520" s="53"/>
      <c r="G520" s="53"/>
      <c r="I520" s="114"/>
      <c r="N520" s="53"/>
    </row>
    <row r="521" spans="1:16" s="64" customFormat="1">
      <c r="A521" s="53"/>
      <c r="B521" s="53"/>
      <c r="C521" s="79"/>
      <c r="D521" s="79"/>
      <c r="E521" s="79"/>
      <c r="F521" s="79"/>
      <c r="N521" s="53"/>
    </row>
    <row r="522" spans="1:16" s="64" customFormat="1">
      <c r="A522" s="53"/>
      <c r="B522" s="53"/>
      <c r="C522" s="79"/>
      <c r="D522" s="79"/>
      <c r="F522" s="108"/>
      <c r="N522" s="53"/>
    </row>
    <row r="523" spans="1:16" s="64" customFormat="1">
      <c r="D523" s="79"/>
    </row>
    <row r="524" spans="1:16" s="64" customFormat="1"/>
    <row r="525" spans="1:16" s="64" customFormat="1"/>
    <row r="526" spans="1:16" s="64" customFormat="1">
      <c r="A526" s="53"/>
      <c r="B526" s="53"/>
      <c r="C526" s="53"/>
      <c r="D526" s="53"/>
      <c r="L526" s="53"/>
      <c r="M526" s="53"/>
      <c r="N526" s="53"/>
      <c r="O526" s="53"/>
      <c r="P526" s="53"/>
    </row>
    <row r="527" spans="1:16" s="64" customFormat="1">
      <c r="A527" s="53"/>
      <c r="B527" s="53"/>
      <c r="C527" s="53"/>
      <c r="D527" s="53"/>
      <c r="E527" s="53"/>
      <c r="F527" s="53"/>
      <c r="L527" s="53"/>
      <c r="M527" s="53"/>
      <c r="N527" s="53"/>
      <c r="O527" s="53"/>
      <c r="P527" s="79"/>
    </row>
    <row r="528" spans="1:16" s="64" customFormat="1">
      <c r="A528" s="53"/>
      <c r="B528" s="101"/>
      <c r="C528" s="79"/>
      <c r="D528" s="79"/>
      <c r="E528" s="102"/>
      <c r="F528" s="53"/>
      <c r="L528" s="53"/>
      <c r="M528" s="53"/>
      <c r="N528" s="79"/>
      <c r="O528" s="79"/>
      <c r="P528" s="79"/>
    </row>
    <row r="529" spans="1:19" s="64" customFormat="1">
      <c r="A529" s="53"/>
      <c r="B529" s="53"/>
      <c r="C529" s="79"/>
      <c r="D529" s="79"/>
      <c r="E529" s="53"/>
      <c r="F529" s="53"/>
      <c r="L529" s="53"/>
      <c r="M529" s="53"/>
      <c r="N529" s="79"/>
      <c r="O529" s="102"/>
      <c r="P529" s="79"/>
    </row>
    <row r="530" spans="1:19" s="64" customFormat="1">
      <c r="A530" s="53"/>
      <c r="B530" s="53"/>
      <c r="C530" s="79"/>
      <c r="D530" s="79"/>
      <c r="E530" s="53"/>
      <c r="F530" s="53"/>
      <c r="L530" s="53"/>
      <c r="M530" s="53"/>
      <c r="N530" s="79"/>
      <c r="O530" s="102"/>
      <c r="P530" s="79"/>
    </row>
    <row r="531" spans="1:19" s="64" customFormat="1">
      <c r="A531" s="53"/>
      <c r="B531" s="53"/>
      <c r="C531" s="79"/>
      <c r="D531" s="79"/>
      <c r="E531" s="53"/>
      <c r="F531" s="53"/>
      <c r="L531" s="53"/>
      <c r="M531" s="79"/>
      <c r="N531" s="66"/>
      <c r="O531" s="53"/>
      <c r="P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L532" s="53"/>
      <c r="M532" s="53"/>
      <c r="N532" s="66"/>
      <c r="O532" s="53"/>
      <c r="P532" s="53"/>
      <c r="Q532" s="79"/>
      <c r="R532" s="79"/>
      <c r="S532" s="53"/>
    </row>
    <row r="533" spans="1:19" s="64" customFormat="1">
      <c r="A533" s="53"/>
      <c r="B533" s="53"/>
      <c r="C533" s="79"/>
      <c r="D533" s="79"/>
      <c r="E533" s="53"/>
      <c r="F533" s="53"/>
      <c r="L533" s="53"/>
      <c r="M533" s="53"/>
      <c r="N533" s="66"/>
      <c r="O533" s="53"/>
      <c r="P533" s="53"/>
      <c r="Q533" s="79"/>
      <c r="R533" s="79"/>
      <c r="S533" s="53"/>
    </row>
    <row r="534" spans="1:19" s="64" customFormat="1">
      <c r="A534" s="53"/>
      <c r="B534" s="53"/>
      <c r="C534" s="79"/>
      <c r="D534" s="79"/>
      <c r="E534" s="53"/>
      <c r="F534" s="53"/>
      <c r="L534" s="53"/>
      <c r="M534" s="53"/>
      <c r="N534" s="66"/>
      <c r="O534" s="53"/>
      <c r="P534" s="53"/>
      <c r="Q534" s="79"/>
      <c r="R534" s="79"/>
      <c r="S534" s="53"/>
    </row>
    <row r="535" spans="1:19" s="64" customFormat="1">
      <c r="A535" s="53"/>
      <c r="B535" s="53"/>
      <c r="C535" s="79"/>
      <c r="D535" s="79"/>
      <c r="E535" s="53"/>
      <c r="F535" s="53"/>
      <c r="L535" s="53"/>
      <c r="M535" s="53"/>
      <c r="N535" s="66"/>
      <c r="O535" s="53"/>
      <c r="P535" s="53"/>
      <c r="Q535" s="79"/>
      <c r="R535" s="79"/>
      <c r="S535" s="53"/>
    </row>
    <row r="536" spans="1:19" s="64" customFormat="1">
      <c r="A536" s="53"/>
      <c r="B536" s="53"/>
      <c r="C536" s="79"/>
      <c r="D536" s="79"/>
      <c r="E536" s="53"/>
      <c r="F536" s="53"/>
      <c r="L536" s="53"/>
      <c r="M536" s="53"/>
      <c r="N536" s="66"/>
      <c r="O536" s="53"/>
      <c r="P536" s="53"/>
      <c r="Q536" s="53"/>
      <c r="R536" s="53"/>
      <c r="S536" s="53"/>
    </row>
    <row r="537" spans="1:19" s="64" customFormat="1">
      <c r="A537" s="53"/>
      <c r="B537" s="53"/>
      <c r="C537" s="79"/>
      <c r="D537" s="79"/>
      <c r="E537" s="53"/>
      <c r="F537" s="53"/>
      <c r="L537" s="53"/>
      <c r="M537" s="53"/>
      <c r="N537" s="66"/>
      <c r="O537" s="53"/>
      <c r="P537" s="53"/>
      <c r="Q537" s="53"/>
      <c r="R537" s="53"/>
      <c r="S537" s="53"/>
    </row>
    <row r="538" spans="1:19" s="64" customFormat="1">
      <c r="A538" s="53"/>
      <c r="B538" s="53"/>
      <c r="C538" s="79"/>
      <c r="D538" s="79"/>
      <c r="E538" s="53"/>
      <c r="F538" s="53"/>
      <c r="Q538" s="53"/>
      <c r="R538" s="53"/>
      <c r="S538" s="53"/>
    </row>
    <row r="539" spans="1:19" s="64" customFormat="1">
      <c r="A539" s="53"/>
      <c r="B539" s="53"/>
      <c r="C539" s="79"/>
      <c r="D539" s="79"/>
      <c r="E539" s="53"/>
      <c r="F539" s="53"/>
      <c r="Q539" s="53"/>
      <c r="R539" s="53"/>
      <c r="S539" s="53"/>
    </row>
    <row r="540" spans="1:19" s="64" customFormat="1">
      <c r="A540" s="53"/>
      <c r="B540" s="53"/>
      <c r="C540" s="79"/>
      <c r="D540" s="79"/>
      <c r="E540" s="102"/>
      <c r="F540" s="53"/>
      <c r="Q540" s="53"/>
      <c r="R540" s="53"/>
      <c r="S540" s="53"/>
    </row>
    <row r="541" spans="1:19" s="64" customFormat="1">
      <c r="A541" s="53"/>
      <c r="B541" s="53"/>
      <c r="C541" s="79"/>
      <c r="D541" s="79"/>
      <c r="E541" s="53"/>
      <c r="F541" s="53"/>
      <c r="Q541" s="53"/>
      <c r="R541" s="53"/>
      <c r="S541" s="53"/>
    </row>
    <row r="542" spans="1:19" s="64" customFormat="1">
      <c r="A542" s="53"/>
      <c r="B542" s="53"/>
      <c r="C542" s="79"/>
      <c r="D542" s="79"/>
      <c r="E542" s="53"/>
      <c r="F542" s="53"/>
      <c r="Q542" s="53"/>
      <c r="R542" s="53"/>
      <c r="S542" s="53"/>
    </row>
    <row r="543" spans="1:19" s="64" customFormat="1">
      <c r="A543" s="53"/>
      <c r="B543" s="53"/>
      <c r="C543" s="79"/>
      <c r="D543" s="79"/>
      <c r="E543" s="53"/>
      <c r="F543" s="53"/>
    </row>
    <row r="544" spans="1:19" s="64" customFormat="1">
      <c r="A544" s="53"/>
      <c r="B544" s="53"/>
      <c r="C544" s="79"/>
      <c r="D544" s="79"/>
      <c r="E544" s="53"/>
      <c r="F544" s="53"/>
    </row>
    <row r="545" spans="1:12" s="64" customFormat="1">
      <c r="A545" s="103"/>
      <c r="B545" s="103"/>
      <c r="C545" s="104"/>
      <c r="D545" s="104"/>
      <c r="E545" s="53"/>
      <c r="F545" s="53"/>
    </row>
    <row r="546" spans="1:12" s="64" customFormat="1">
      <c r="A546" s="103"/>
      <c r="B546" s="105"/>
      <c r="C546" s="104"/>
      <c r="D546" s="104"/>
      <c r="E546" s="53"/>
      <c r="F546" s="53"/>
    </row>
    <row r="547" spans="1:12" s="64" customFormat="1">
      <c r="A547" s="103"/>
      <c r="B547" s="103"/>
      <c r="C547" s="104"/>
      <c r="D547" s="104"/>
      <c r="E547" s="53"/>
      <c r="F547" s="53"/>
    </row>
    <row r="548" spans="1:12" s="64" customFormat="1">
      <c r="A548" s="103"/>
      <c r="B548" s="105"/>
      <c r="C548" s="104"/>
      <c r="D548" s="104"/>
      <c r="E548" s="53"/>
      <c r="G548" s="53"/>
      <c r="H548" s="53"/>
      <c r="I548" s="53"/>
      <c r="J548" s="53"/>
      <c r="K548" s="53"/>
      <c r="L548" s="53"/>
    </row>
    <row r="549" spans="1:12" s="64" customFormat="1">
      <c r="A549" s="53"/>
      <c r="B549" s="53"/>
      <c r="C549" s="79"/>
      <c r="D549" s="79"/>
      <c r="E549" s="53"/>
      <c r="G549" s="53"/>
      <c r="H549" s="53"/>
      <c r="I549" s="53"/>
      <c r="J549" s="106"/>
      <c r="K549" s="106"/>
      <c r="L549" s="106"/>
    </row>
    <row r="550" spans="1:12" s="64" customFormat="1">
      <c r="A550" s="3"/>
      <c r="B550" s="102"/>
      <c r="C550" s="3"/>
      <c r="D550" s="102"/>
      <c r="E550" s="107"/>
      <c r="G550" s="53"/>
      <c r="H550" s="108"/>
      <c r="I550" s="53"/>
      <c r="J550" s="106"/>
      <c r="K550" s="106"/>
      <c r="L550" s="106"/>
    </row>
    <row r="551" spans="1:12" s="64" customFormat="1">
      <c r="A551" s="53"/>
      <c r="B551" s="53"/>
      <c r="C551" s="53"/>
      <c r="D551" s="53"/>
      <c r="E551" s="107"/>
      <c r="G551" s="53"/>
      <c r="H551" s="53"/>
      <c r="I551" s="53"/>
      <c r="J551" s="79"/>
      <c r="K551" s="79"/>
      <c r="L551" s="53"/>
    </row>
    <row r="552" spans="1:12" s="64" customFormat="1">
      <c r="A552" s="53"/>
      <c r="B552" s="53"/>
      <c r="C552" s="53"/>
      <c r="D552" s="106"/>
      <c r="E552" s="106"/>
      <c r="G552" s="53"/>
      <c r="H552" s="93"/>
      <c r="I552" s="79"/>
      <c r="J552" s="79"/>
      <c r="K552" s="79"/>
      <c r="L552" s="106"/>
    </row>
    <row r="553" spans="1:12" s="64" customFormat="1">
      <c r="A553" s="53"/>
      <c r="B553" s="53"/>
      <c r="C553" s="53"/>
      <c r="D553" s="53"/>
      <c r="E553" s="53"/>
      <c r="G553" s="53"/>
      <c r="H553" s="93"/>
      <c r="I553" s="79"/>
      <c r="J553" s="79"/>
      <c r="K553" s="79"/>
      <c r="L553" s="53"/>
    </row>
    <row r="554" spans="1:12" s="64" customFormat="1">
      <c r="A554" s="53"/>
      <c r="B554" s="53"/>
      <c r="C554" s="53"/>
      <c r="D554" s="106"/>
      <c r="E554" s="106"/>
      <c r="G554" s="53"/>
      <c r="H554" s="93"/>
      <c r="I554" s="79"/>
      <c r="J554" s="79"/>
      <c r="K554" s="79"/>
      <c r="L554" s="106"/>
    </row>
    <row r="555" spans="1:12" s="64" customFormat="1">
      <c r="A555" s="53"/>
      <c r="B555" s="53"/>
      <c r="C555" s="53"/>
      <c r="D555" s="109"/>
      <c r="E555" s="109"/>
      <c r="F555" s="53"/>
      <c r="G555" s="103"/>
      <c r="H555" s="103"/>
      <c r="I555" s="104"/>
      <c r="J555" s="104"/>
      <c r="K555" s="79"/>
      <c r="L555" s="106"/>
    </row>
    <row r="556" spans="1:12" s="64" customFormat="1">
      <c r="A556" s="53"/>
      <c r="B556" s="53"/>
      <c r="C556" s="79"/>
      <c r="D556" s="79"/>
      <c r="E556" s="79"/>
      <c r="F556" s="53"/>
      <c r="G556" s="53"/>
      <c r="H556" s="53"/>
    </row>
    <row r="557" spans="1:12" s="64" customFormat="1">
      <c r="A557" s="53"/>
      <c r="B557" s="53"/>
      <c r="C557" s="53"/>
      <c r="D557" s="79"/>
      <c r="E557" s="53"/>
      <c r="F557" s="53"/>
      <c r="G557" s="110"/>
      <c r="H557" s="53"/>
      <c r="I557" s="53"/>
      <c r="J557" s="79"/>
      <c r="K557" s="79"/>
    </row>
    <row r="558" spans="1:12" s="64" customFormat="1">
      <c r="A558" s="53"/>
      <c r="B558" s="93"/>
      <c r="C558" s="79"/>
      <c r="D558" s="79"/>
      <c r="E558" s="53"/>
      <c r="F558" s="53"/>
      <c r="G558" s="102"/>
      <c r="H558" s="93"/>
      <c r="I558" s="79"/>
      <c r="J558" s="79"/>
      <c r="K558" s="79"/>
    </row>
    <row r="559" spans="1:12" s="64" customFormat="1">
      <c r="A559" s="53"/>
      <c r="B559" s="93"/>
      <c r="C559" s="79"/>
      <c r="D559" s="79"/>
      <c r="E559" s="53"/>
      <c r="F559" s="53"/>
      <c r="G559" s="53"/>
      <c r="H559" s="93"/>
      <c r="I559" s="79"/>
      <c r="J559" s="79"/>
      <c r="K559" s="79"/>
    </row>
    <row r="560" spans="1:12" s="64" customFormat="1">
      <c r="A560" s="53"/>
      <c r="B560" s="93"/>
      <c r="C560" s="79"/>
      <c r="D560" s="79"/>
      <c r="E560" s="53"/>
      <c r="F560" s="53"/>
      <c r="G560" s="53"/>
      <c r="H560" s="93"/>
      <c r="I560" s="79"/>
      <c r="J560" s="79"/>
      <c r="K560" s="79"/>
    </row>
    <row r="561" spans="1:11" s="64" customFormat="1">
      <c r="A561" s="53"/>
      <c r="B561" s="93"/>
      <c r="C561" s="79"/>
      <c r="D561" s="79"/>
      <c r="E561" s="111"/>
      <c r="F561" s="53"/>
      <c r="G561" s="53"/>
      <c r="H561" s="93"/>
      <c r="I561" s="79"/>
      <c r="J561" s="79"/>
      <c r="K561" s="79"/>
    </row>
    <row r="562" spans="1:11" s="64" customFormat="1">
      <c r="A562" s="53"/>
      <c r="B562" s="93"/>
      <c r="C562" s="79"/>
      <c r="D562" s="79"/>
      <c r="E562" s="111"/>
      <c r="F562" s="53"/>
      <c r="G562" s="53"/>
      <c r="H562" s="93"/>
      <c r="I562" s="79"/>
      <c r="J562" s="79"/>
      <c r="K562" s="79"/>
    </row>
    <row r="563" spans="1:11" s="64" customFormat="1">
      <c r="A563" s="53"/>
      <c r="B563" s="93"/>
      <c r="C563" s="79"/>
      <c r="D563" s="79"/>
      <c r="E563" s="53"/>
      <c r="F563" s="53"/>
      <c r="G563" s="53"/>
      <c r="H563" s="93"/>
      <c r="I563" s="79"/>
      <c r="J563" s="79"/>
      <c r="K563" s="79"/>
    </row>
    <row r="564" spans="1:11" s="64" customFormat="1">
      <c r="A564" s="53"/>
      <c r="B564" s="93"/>
      <c r="C564" s="79"/>
      <c r="D564" s="79"/>
      <c r="E564" s="53"/>
      <c r="F564" s="53"/>
      <c r="G564" s="53"/>
      <c r="H564" s="93"/>
      <c r="I564" s="79"/>
      <c r="J564" s="79"/>
      <c r="K564" s="79"/>
    </row>
    <row r="565" spans="1:11" s="64" customFormat="1">
      <c r="A565" s="103"/>
      <c r="B565" s="103"/>
      <c r="C565" s="104"/>
      <c r="D565" s="104"/>
      <c r="E565" s="53"/>
      <c r="F565" s="53"/>
      <c r="G565" s="103"/>
      <c r="H565" s="103"/>
      <c r="I565" s="104"/>
      <c r="J565" s="104"/>
      <c r="K565" s="104"/>
    </row>
    <row r="566" spans="1:11" s="64" customFormat="1">
      <c r="A566" s="53"/>
      <c r="B566" s="53"/>
      <c r="C566" s="79"/>
      <c r="D566" s="79"/>
      <c r="E566" s="53"/>
      <c r="F566" s="53"/>
    </row>
    <row r="567" spans="1:11" s="64" customFormat="1">
      <c r="A567" s="53"/>
      <c r="B567" s="53"/>
      <c r="C567" s="79"/>
      <c r="D567" s="104"/>
      <c r="E567" s="53"/>
      <c r="F567" s="53"/>
    </row>
    <row r="568" spans="1:11" s="64" customFormat="1">
      <c r="A568" s="53"/>
      <c r="B568" s="53"/>
      <c r="C568" s="79"/>
      <c r="D568" s="79"/>
      <c r="E568" s="53"/>
      <c r="F568" s="53"/>
    </row>
    <row r="569" spans="1:11" s="64" customFormat="1">
      <c r="A569" s="53"/>
      <c r="B569" s="53"/>
      <c r="C569" s="79"/>
      <c r="D569" s="79"/>
      <c r="E569" s="53"/>
      <c r="F569" s="53"/>
    </row>
    <row r="570" spans="1:11" s="64" customFormat="1">
      <c r="A570" s="53"/>
      <c r="B570" s="112"/>
      <c r="C570" s="79"/>
      <c r="D570" s="79"/>
      <c r="E570" s="53"/>
      <c r="F570" s="53"/>
    </row>
    <row r="571" spans="1:11" s="64" customFormat="1">
      <c r="A571" s="53"/>
      <c r="B571" s="112"/>
      <c r="C571" s="79"/>
      <c r="D571" s="79"/>
      <c r="E571" s="53"/>
      <c r="F571" s="53"/>
    </row>
    <row r="572" spans="1:11" s="64" customFormat="1">
      <c r="A572" s="53"/>
      <c r="B572" s="113"/>
      <c r="C572" s="79"/>
      <c r="D572" s="79"/>
      <c r="E572" s="53"/>
      <c r="F572" s="53"/>
    </row>
    <row r="573" spans="1:11" s="64" customFormat="1">
      <c r="A573" s="53"/>
      <c r="B573" s="113"/>
      <c r="C573" s="79"/>
      <c r="D573" s="79"/>
      <c r="E573" s="53"/>
      <c r="F573" s="53"/>
    </row>
    <row r="574" spans="1:11" s="64" customFormat="1">
      <c r="A574" s="53"/>
      <c r="B574" s="113"/>
      <c r="C574" s="79"/>
      <c r="D574" s="79"/>
      <c r="E574" s="53"/>
      <c r="F574" s="53"/>
    </row>
    <row r="575" spans="1:11" s="64" customFormat="1">
      <c r="A575" s="53"/>
      <c r="B575" s="113"/>
      <c r="C575" s="79"/>
      <c r="D575" s="79"/>
      <c r="E575" s="53"/>
      <c r="F575" s="53"/>
    </row>
    <row r="576" spans="1:11" s="64" customFormat="1">
      <c r="A576" s="53"/>
      <c r="B576" s="112"/>
      <c r="C576" s="79"/>
      <c r="D576" s="79"/>
      <c r="E576" s="53"/>
      <c r="F576" s="53"/>
    </row>
    <row r="577" spans="1:19" s="64" customFormat="1">
      <c r="A577" s="53"/>
      <c r="B577" s="112"/>
      <c r="C577" s="79"/>
      <c r="D577" s="79"/>
      <c r="E577" s="53"/>
      <c r="F577" s="53"/>
    </row>
    <row r="578" spans="1:19" s="64" customFormat="1">
      <c r="A578" s="53"/>
      <c r="B578" s="112"/>
      <c r="C578" s="79"/>
      <c r="D578" s="66"/>
      <c r="E578" s="53"/>
      <c r="F578" s="53"/>
      <c r="N578" s="53"/>
    </row>
    <row r="579" spans="1:19" s="64" customFormat="1">
      <c r="A579" s="53"/>
      <c r="B579" s="113"/>
      <c r="C579" s="79"/>
      <c r="D579" s="79"/>
      <c r="E579" s="53"/>
      <c r="F579" s="53"/>
      <c r="G579" s="53"/>
      <c r="I579" s="114"/>
      <c r="N579" s="53"/>
    </row>
    <row r="580" spans="1:19" s="64" customFormat="1">
      <c r="A580" s="53"/>
      <c r="B580" s="53"/>
      <c r="C580" s="79"/>
      <c r="D580" s="79"/>
      <c r="E580" s="79"/>
      <c r="F580" s="79"/>
      <c r="N580" s="53"/>
    </row>
    <row r="581" spans="1:19" s="64" customFormat="1">
      <c r="A581" s="53"/>
      <c r="B581" s="53"/>
      <c r="C581" s="79"/>
      <c r="D581" s="79"/>
      <c r="F581" s="108"/>
      <c r="N581" s="53"/>
    </row>
    <row r="582" spans="1:19" s="64" customFormat="1">
      <c r="D582" s="79"/>
    </row>
    <row r="583" spans="1:19" s="64" customFormat="1"/>
    <row r="584" spans="1:19" s="64" customFormat="1"/>
    <row r="585" spans="1:19" s="64" customFormat="1">
      <c r="A585" s="53"/>
      <c r="B585" s="53"/>
      <c r="C585" s="53"/>
      <c r="D585" s="53"/>
      <c r="L585" s="53"/>
      <c r="M585" s="53"/>
      <c r="N585" s="53"/>
      <c r="O585" s="53"/>
      <c r="P585" s="53"/>
    </row>
    <row r="586" spans="1:19" s="64" customFormat="1">
      <c r="A586" s="53"/>
      <c r="B586" s="53"/>
      <c r="C586" s="53"/>
      <c r="D586" s="53"/>
      <c r="E586" s="53"/>
      <c r="F586" s="53"/>
      <c r="L586" s="53"/>
      <c r="M586" s="53"/>
      <c r="N586" s="53"/>
      <c r="O586" s="53"/>
      <c r="P586" s="79"/>
    </row>
    <row r="587" spans="1:19" s="64" customFormat="1">
      <c r="A587" s="53"/>
      <c r="B587" s="101"/>
      <c r="C587" s="79"/>
      <c r="D587" s="79"/>
      <c r="E587" s="102"/>
      <c r="F587" s="53"/>
      <c r="L587" s="53"/>
      <c r="M587" s="53"/>
      <c r="N587" s="79"/>
      <c r="O587" s="79"/>
      <c r="P587" s="79"/>
    </row>
    <row r="588" spans="1:19" s="64" customFormat="1">
      <c r="A588" s="53"/>
      <c r="B588" s="53"/>
      <c r="C588" s="79"/>
      <c r="D588" s="79"/>
      <c r="E588" s="53"/>
      <c r="F588" s="53"/>
      <c r="L588" s="53"/>
      <c r="M588" s="53"/>
      <c r="N588" s="79"/>
      <c r="O588" s="102"/>
      <c r="P588" s="79"/>
    </row>
    <row r="589" spans="1:19" s="64" customFormat="1">
      <c r="A589" s="53"/>
      <c r="B589" s="53"/>
      <c r="C589" s="79"/>
      <c r="D589" s="79"/>
      <c r="E589" s="53"/>
      <c r="F589" s="53"/>
      <c r="L589" s="53"/>
      <c r="M589" s="53"/>
      <c r="N589" s="79"/>
      <c r="O589" s="102"/>
      <c r="P589" s="79"/>
    </row>
    <row r="590" spans="1:19" s="64" customFormat="1">
      <c r="A590" s="53"/>
      <c r="B590" s="53"/>
      <c r="C590" s="79"/>
      <c r="D590" s="79"/>
      <c r="E590" s="53"/>
      <c r="F590" s="53"/>
      <c r="L590" s="53"/>
      <c r="M590" s="79"/>
      <c r="N590" s="66"/>
      <c r="O590" s="53"/>
      <c r="P590" s="53"/>
      <c r="Q590" s="53"/>
      <c r="R590" s="53"/>
      <c r="S590" s="53"/>
    </row>
    <row r="591" spans="1:19" s="64" customFormat="1">
      <c r="A591" s="53"/>
      <c r="B591" s="53"/>
      <c r="C591" s="79"/>
      <c r="D591" s="79"/>
      <c r="E591" s="53"/>
      <c r="F591" s="53"/>
      <c r="L591" s="53"/>
      <c r="M591" s="53"/>
      <c r="N591" s="66"/>
      <c r="O591" s="53"/>
      <c r="P591" s="53"/>
      <c r="Q591" s="79"/>
      <c r="R591" s="79"/>
      <c r="S591" s="53"/>
    </row>
    <row r="592" spans="1:19" s="64" customFormat="1">
      <c r="A592" s="53"/>
      <c r="B592" s="53"/>
      <c r="C592" s="79"/>
      <c r="D592" s="79"/>
      <c r="E592" s="53"/>
      <c r="F592" s="53"/>
      <c r="L592" s="53"/>
      <c r="M592" s="53"/>
      <c r="N592" s="66"/>
      <c r="O592" s="53"/>
      <c r="P592" s="53"/>
      <c r="Q592" s="79"/>
      <c r="R592" s="79"/>
      <c r="S592" s="53"/>
    </row>
    <row r="593" spans="1:19" s="64" customFormat="1">
      <c r="A593" s="53"/>
      <c r="B593" s="53"/>
      <c r="C593" s="79"/>
      <c r="D593" s="79"/>
      <c r="E593" s="53"/>
      <c r="F593" s="53"/>
      <c r="L593" s="53"/>
      <c r="M593" s="53"/>
      <c r="N593" s="66"/>
      <c r="O593" s="53"/>
      <c r="P593" s="53"/>
      <c r="Q593" s="79"/>
      <c r="R593" s="79"/>
      <c r="S593" s="53"/>
    </row>
    <row r="594" spans="1:19" s="64" customFormat="1">
      <c r="A594" s="53"/>
      <c r="B594" s="53"/>
      <c r="C594" s="79"/>
      <c r="D594" s="79"/>
      <c r="E594" s="53"/>
      <c r="F594" s="53"/>
      <c r="L594" s="53"/>
      <c r="M594" s="53"/>
      <c r="N594" s="66"/>
      <c r="O594" s="53"/>
      <c r="P594" s="53"/>
      <c r="Q594" s="79"/>
      <c r="R594" s="79"/>
      <c r="S594" s="53"/>
    </row>
    <row r="595" spans="1:19" s="64" customFormat="1">
      <c r="A595" s="53"/>
      <c r="B595" s="53"/>
      <c r="C595" s="79"/>
      <c r="D595" s="79"/>
      <c r="E595" s="53"/>
      <c r="F595" s="53"/>
      <c r="L595" s="53"/>
      <c r="M595" s="53"/>
      <c r="N595" s="66"/>
      <c r="O595" s="53"/>
      <c r="P595" s="53"/>
      <c r="Q595" s="53"/>
      <c r="R595" s="53"/>
      <c r="S595" s="53"/>
    </row>
    <row r="596" spans="1:19" s="64" customFormat="1">
      <c r="A596" s="53"/>
      <c r="B596" s="53"/>
      <c r="C596" s="79"/>
      <c r="D596" s="79"/>
      <c r="E596" s="53"/>
      <c r="F596" s="53"/>
      <c r="L596" s="53"/>
      <c r="M596" s="53"/>
      <c r="N596" s="66"/>
      <c r="O596" s="53"/>
      <c r="P596" s="53"/>
      <c r="Q596" s="53"/>
      <c r="R596" s="53"/>
      <c r="S596" s="53"/>
    </row>
    <row r="597" spans="1:19" s="64" customFormat="1">
      <c r="A597" s="53"/>
      <c r="B597" s="53"/>
      <c r="C597" s="79"/>
      <c r="D597" s="79"/>
      <c r="E597" s="53"/>
      <c r="F597" s="53"/>
      <c r="Q597" s="53"/>
      <c r="R597" s="53"/>
      <c r="S597" s="53"/>
    </row>
    <row r="598" spans="1:19" s="64" customFormat="1">
      <c r="A598" s="53"/>
      <c r="B598" s="53"/>
      <c r="C598" s="79"/>
      <c r="D598" s="79"/>
      <c r="E598" s="53"/>
      <c r="F598" s="53"/>
      <c r="Q598" s="53"/>
      <c r="R598" s="53"/>
      <c r="S598" s="53"/>
    </row>
    <row r="599" spans="1:19" s="64" customFormat="1">
      <c r="A599" s="53"/>
      <c r="B599" s="53"/>
      <c r="C599" s="79"/>
      <c r="D599" s="79"/>
      <c r="E599" s="102"/>
      <c r="F599" s="53"/>
      <c r="Q599" s="53"/>
      <c r="R599" s="53"/>
      <c r="S599" s="53"/>
    </row>
    <row r="600" spans="1:19" s="64" customFormat="1">
      <c r="A600" s="53"/>
      <c r="B600" s="53"/>
      <c r="C600" s="79"/>
      <c r="D600" s="79"/>
      <c r="E600" s="53"/>
      <c r="F600" s="53"/>
      <c r="Q600" s="53"/>
      <c r="R600" s="53"/>
      <c r="S600" s="53"/>
    </row>
    <row r="601" spans="1:19" s="64" customFormat="1">
      <c r="A601" s="53"/>
      <c r="B601" s="53"/>
      <c r="C601" s="79"/>
      <c r="D601" s="79"/>
      <c r="E601" s="53"/>
      <c r="F601" s="53"/>
      <c r="Q601" s="53"/>
      <c r="R601" s="53"/>
      <c r="S601" s="53"/>
    </row>
    <row r="602" spans="1:19" s="64" customFormat="1">
      <c r="A602" s="53"/>
      <c r="B602" s="53"/>
      <c r="C602" s="79"/>
      <c r="D602" s="79"/>
      <c r="E602" s="53"/>
      <c r="F602" s="53"/>
    </row>
    <row r="603" spans="1:19" s="64" customFormat="1">
      <c r="A603" s="53"/>
      <c r="B603" s="53"/>
      <c r="C603" s="79"/>
      <c r="D603" s="79"/>
      <c r="E603" s="53"/>
      <c r="F603" s="53"/>
    </row>
    <row r="604" spans="1:19" s="64" customFormat="1">
      <c r="A604" s="103"/>
      <c r="B604" s="103"/>
      <c r="C604" s="104"/>
      <c r="D604" s="104"/>
      <c r="E604" s="53"/>
      <c r="F604" s="53"/>
    </row>
    <row r="605" spans="1:19" s="64" customFormat="1">
      <c r="A605" s="103"/>
      <c r="B605" s="105"/>
      <c r="C605" s="104"/>
      <c r="D605" s="104"/>
      <c r="E605" s="53"/>
      <c r="F605" s="53"/>
    </row>
    <row r="606" spans="1:19" s="64" customFormat="1">
      <c r="A606" s="103"/>
      <c r="B606" s="103"/>
      <c r="C606" s="104"/>
      <c r="D606" s="104"/>
      <c r="E606" s="53"/>
      <c r="F606" s="53"/>
    </row>
    <row r="607" spans="1:19" s="64" customFormat="1">
      <c r="A607" s="103"/>
      <c r="B607" s="105"/>
      <c r="C607" s="104"/>
      <c r="D607" s="104"/>
      <c r="E607" s="53"/>
      <c r="G607" s="53"/>
      <c r="H607" s="53"/>
      <c r="I607" s="53"/>
      <c r="J607" s="53"/>
      <c r="K607" s="53"/>
      <c r="L607" s="53"/>
    </row>
    <row r="608" spans="1:19" s="64" customFormat="1">
      <c r="A608" s="53"/>
      <c r="B608" s="53"/>
      <c r="C608" s="79"/>
      <c r="D608" s="79"/>
      <c r="E608" s="53"/>
      <c r="G608" s="53"/>
      <c r="H608" s="53"/>
      <c r="I608" s="53"/>
      <c r="J608" s="106"/>
      <c r="K608" s="106"/>
      <c r="L608" s="106"/>
    </row>
    <row r="609" spans="1:12" s="64" customFormat="1">
      <c r="A609" s="3"/>
      <c r="B609" s="102"/>
      <c r="C609" s="3"/>
      <c r="D609" s="102"/>
      <c r="E609" s="107"/>
      <c r="G609" s="53"/>
      <c r="H609" s="108"/>
      <c r="I609" s="53"/>
      <c r="J609" s="106"/>
      <c r="K609" s="106"/>
      <c r="L609" s="106"/>
    </row>
    <row r="610" spans="1:12" s="64" customFormat="1">
      <c r="A610" s="53"/>
      <c r="B610" s="53"/>
      <c r="C610" s="53"/>
      <c r="D610" s="53"/>
      <c r="E610" s="107"/>
      <c r="G610" s="53"/>
      <c r="H610" s="53"/>
      <c r="I610" s="53"/>
      <c r="J610" s="79"/>
      <c r="K610" s="79"/>
      <c r="L610" s="53"/>
    </row>
    <row r="611" spans="1:12" s="64" customFormat="1">
      <c r="A611" s="53"/>
      <c r="B611" s="53"/>
      <c r="C611" s="53"/>
      <c r="D611" s="106"/>
      <c r="E611" s="106"/>
      <c r="G611" s="53"/>
      <c r="H611" s="93"/>
      <c r="I611" s="79"/>
      <c r="J611" s="79"/>
      <c r="K611" s="79"/>
      <c r="L611" s="106"/>
    </row>
    <row r="612" spans="1:12" s="64" customFormat="1">
      <c r="A612" s="53"/>
      <c r="B612" s="53"/>
      <c r="C612" s="53"/>
      <c r="D612" s="53"/>
      <c r="E612" s="53"/>
      <c r="G612" s="53"/>
      <c r="H612" s="93"/>
      <c r="I612" s="79"/>
      <c r="J612" s="79"/>
      <c r="K612" s="79"/>
      <c r="L612" s="53"/>
    </row>
    <row r="613" spans="1:12" s="64" customFormat="1">
      <c r="A613" s="53"/>
      <c r="B613" s="53"/>
      <c r="C613" s="53"/>
      <c r="D613" s="106"/>
      <c r="E613" s="106"/>
      <c r="G613" s="53"/>
      <c r="H613" s="93"/>
      <c r="I613" s="79"/>
      <c r="J613" s="79"/>
      <c r="K613" s="79"/>
      <c r="L613" s="106"/>
    </row>
    <row r="614" spans="1:12" s="64" customFormat="1">
      <c r="A614" s="53"/>
      <c r="B614" s="53"/>
      <c r="C614" s="53"/>
      <c r="D614" s="109"/>
      <c r="E614" s="109"/>
      <c r="F614" s="53"/>
      <c r="G614" s="103"/>
      <c r="H614" s="103"/>
      <c r="I614" s="104"/>
      <c r="J614" s="104"/>
      <c r="K614" s="79"/>
      <c r="L614" s="106"/>
    </row>
    <row r="615" spans="1:12" s="64" customFormat="1">
      <c r="A615" s="53"/>
      <c r="B615" s="53"/>
      <c r="C615" s="79"/>
      <c r="D615" s="79"/>
      <c r="E615" s="79"/>
      <c r="F615" s="53"/>
      <c r="G615" s="53"/>
      <c r="H615" s="53"/>
    </row>
    <row r="616" spans="1:12" s="64" customFormat="1">
      <c r="A616" s="53"/>
      <c r="B616" s="53"/>
      <c r="C616" s="53"/>
      <c r="D616" s="79"/>
      <c r="E616" s="53"/>
      <c r="F616" s="53"/>
      <c r="G616" s="110"/>
      <c r="H616" s="53"/>
      <c r="I616" s="53"/>
      <c r="J616" s="79"/>
      <c r="K616" s="79"/>
    </row>
    <row r="617" spans="1:12" s="64" customFormat="1">
      <c r="A617" s="53"/>
      <c r="B617" s="93"/>
      <c r="C617" s="79"/>
      <c r="D617" s="79"/>
      <c r="E617" s="53"/>
      <c r="F617" s="53"/>
      <c r="G617" s="102"/>
      <c r="H617" s="93"/>
      <c r="I617" s="79"/>
      <c r="J617" s="79"/>
      <c r="K617" s="79"/>
    </row>
    <row r="618" spans="1:12" s="64" customFormat="1">
      <c r="A618" s="53"/>
      <c r="B618" s="93"/>
      <c r="C618" s="79"/>
      <c r="D618" s="79"/>
      <c r="E618" s="53"/>
      <c r="F618" s="53"/>
      <c r="G618" s="53"/>
      <c r="H618" s="93"/>
      <c r="I618" s="79"/>
      <c r="J618" s="79"/>
      <c r="K618" s="79"/>
    </row>
    <row r="619" spans="1:12" s="64" customFormat="1">
      <c r="A619" s="53"/>
      <c r="B619" s="93"/>
      <c r="C619" s="79"/>
      <c r="D619" s="79"/>
      <c r="E619" s="53"/>
      <c r="F619" s="53"/>
      <c r="G619" s="53"/>
      <c r="H619" s="93"/>
      <c r="I619" s="79"/>
      <c r="J619" s="79"/>
      <c r="K619" s="79"/>
    </row>
    <row r="620" spans="1:12" s="64" customFormat="1">
      <c r="A620" s="53"/>
      <c r="B620" s="93"/>
      <c r="C620" s="79"/>
      <c r="D620" s="79"/>
      <c r="E620" s="111"/>
      <c r="F620" s="53"/>
      <c r="G620" s="53"/>
      <c r="H620" s="93"/>
      <c r="I620" s="79"/>
      <c r="J620" s="79"/>
      <c r="K620" s="79"/>
    </row>
    <row r="621" spans="1:12" s="64" customFormat="1">
      <c r="A621" s="53"/>
      <c r="B621" s="93"/>
      <c r="C621" s="79"/>
      <c r="D621" s="79"/>
      <c r="E621" s="111"/>
      <c r="F621" s="53"/>
      <c r="G621" s="53"/>
      <c r="H621" s="93"/>
      <c r="I621" s="79"/>
      <c r="J621" s="79"/>
      <c r="K621" s="79"/>
    </row>
    <row r="622" spans="1:12" s="64" customFormat="1">
      <c r="A622" s="53"/>
      <c r="B622" s="93"/>
      <c r="C622" s="79"/>
      <c r="D622" s="79"/>
      <c r="E622" s="53"/>
      <c r="F622" s="53"/>
      <c r="G622" s="53"/>
      <c r="H622" s="93"/>
      <c r="I622" s="79"/>
      <c r="J622" s="79"/>
      <c r="K622" s="79"/>
    </row>
    <row r="623" spans="1:12" s="64" customFormat="1">
      <c r="A623" s="53"/>
      <c r="B623" s="93"/>
      <c r="C623" s="79"/>
      <c r="D623" s="79"/>
      <c r="E623" s="53"/>
      <c r="F623" s="53"/>
      <c r="G623" s="53"/>
      <c r="H623" s="93"/>
      <c r="I623" s="79"/>
      <c r="J623" s="79"/>
      <c r="K623" s="79"/>
    </row>
    <row r="624" spans="1:12" s="64" customFormat="1">
      <c r="A624" s="103"/>
      <c r="B624" s="103"/>
      <c r="C624" s="104"/>
      <c r="D624" s="104"/>
      <c r="E624" s="53"/>
      <c r="F624" s="53"/>
      <c r="G624" s="103"/>
      <c r="H624" s="103"/>
      <c r="I624" s="104"/>
      <c r="J624" s="104"/>
      <c r="K624" s="104"/>
    </row>
    <row r="625" spans="1:14" s="64" customFormat="1">
      <c r="A625" s="53"/>
      <c r="B625" s="53"/>
      <c r="C625" s="79"/>
      <c r="D625" s="79"/>
      <c r="E625" s="53"/>
      <c r="F625" s="53"/>
    </row>
    <row r="626" spans="1:14" s="64" customFormat="1">
      <c r="A626" s="53"/>
      <c r="B626" s="53"/>
      <c r="C626" s="79"/>
      <c r="D626" s="104"/>
      <c r="E626" s="53"/>
      <c r="F626" s="53"/>
    </row>
    <row r="627" spans="1:14" s="64" customFormat="1">
      <c r="A627" s="53"/>
      <c r="B627" s="53"/>
      <c r="C627" s="79"/>
      <c r="D627" s="79"/>
      <c r="E627" s="53"/>
      <c r="F627" s="53"/>
    </row>
    <row r="628" spans="1:14" s="64" customFormat="1">
      <c r="A628" s="53"/>
      <c r="B628" s="53"/>
      <c r="C628" s="79"/>
      <c r="D628" s="79"/>
      <c r="E628" s="53"/>
      <c r="F628" s="53"/>
    </row>
    <row r="629" spans="1:14" s="64" customFormat="1">
      <c r="A629" s="53"/>
      <c r="B629" s="112"/>
      <c r="C629" s="79"/>
      <c r="D629" s="79"/>
      <c r="E629" s="53"/>
      <c r="F629" s="53"/>
    </row>
    <row r="630" spans="1:14" s="64" customFormat="1">
      <c r="A630" s="53"/>
      <c r="B630" s="112"/>
      <c r="C630" s="79"/>
      <c r="D630" s="79"/>
      <c r="E630" s="53"/>
      <c r="F630" s="53"/>
    </row>
    <row r="631" spans="1:14" s="64" customFormat="1">
      <c r="A631" s="53"/>
      <c r="B631" s="113"/>
      <c r="C631" s="79"/>
      <c r="D631" s="79"/>
      <c r="E631" s="53"/>
      <c r="F631" s="53"/>
    </row>
    <row r="632" spans="1:14" s="64" customFormat="1">
      <c r="A632" s="53"/>
      <c r="B632" s="113"/>
      <c r="C632" s="79"/>
      <c r="D632" s="79"/>
      <c r="E632" s="53"/>
      <c r="F632" s="53"/>
    </row>
    <row r="633" spans="1:14" s="64" customFormat="1">
      <c r="A633" s="53"/>
      <c r="B633" s="113"/>
      <c r="C633" s="79"/>
      <c r="D633" s="79"/>
      <c r="E633" s="53"/>
      <c r="F633" s="53"/>
    </row>
    <row r="634" spans="1:14" s="64" customFormat="1">
      <c r="A634" s="53"/>
      <c r="B634" s="113"/>
      <c r="C634" s="79"/>
      <c r="D634" s="79"/>
      <c r="E634" s="53"/>
      <c r="F634" s="53"/>
    </row>
    <row r="635" spans="1:14" s="64" customFormat="1">
      <c r="A635" s="53"/>
      <c r="B635" s="112"/>
      <c r="C635" s="79"/>
      <c r="D635" s="79"/>
      <c r="E635" s="53"/>
      <c r="F635" s="53"/>
    </row>
    <row r="636" spans="1:14" s="64" customFormat="1">
      <c r="A636" s="53"/>
      <c r="B636" s="112"/>
      <c r="C636" s="79"/>
      <c r="D636" s="79"/>
      <c r="E636" s="53"/>
      <c r="F636" s="53"/>
    </row>
    <row r="637" spans="1:14" s="64" customFormat="1">
      <c r="A637" s="53"/>
      <c r="B637" s="112"/>
      <c r="C637" s="79"/>
      <c r="D637" s="66"/>
      <c r="E637" s="53"/>
      <c r="F637" s="53"/>
      <c r="N637" s="53"/>
    </row>
    <row r="638" spans="1:14" s="64" customFormat="1">
      <c r="A638" s="53"/>
      <c r="B638" s="113"/>
      <c r="C638" s="79"/>
      <c r="D638" s="79"/>
      <c r="E638" s="53"/>
      <c r="F638" s="53"/>
      <c r="G638" s="53"/>
      <c r="I638" s="114"/>
      <c r="N638" s="53"/>
    </row>
    <row r="639" spans="1:14" s="64" customFormat="1">
      <c r="A639" s="53"/>
      <c r="B639" s="53"/>
      <c r="C639" s="79"/>
      <c r="D639" s="79"/>
      <c r="E639" s="79"/>
      <c r="F639" s="79"/>
      <c r="N639" s="53"/>
    </row>
    <row r="640" spans="1:14" s="64" customFormat="1">
      <c r="A640" s="53"/>
      <c r="B640" s="53"/>
      <c r="C640" s="79"/>
      <c r="D640" s="79"/>
      <c r="F640" s="108"/>
      <c r="N640" s="53"/>
    </row>
    <row r="641" spans="1:20" s="64" customFormat="1">
      <c r="D641" s="79"/>
    </row>
    <row r="642" spans="1:20" s="64" customFormat="1"/>
    <row r="643" spans="1:20" s="64" customFormat="1"/>
    <row r="644" spans="1:20" s="64" customFormat="1"/>
    <row r="645" spans="1:20" s="64" customFormat="1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</row>
    <row r="646" spans="1:20" s="64" customFormat="1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</row>
    <row r="647" spans="1:20" s="64" customFormat="1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</row>
    <row r="648" spans="1:20" s="64" customFormat="1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</row>
    <row r="649" spans="1:20">
      <c r="Q649" s="64"/>
      <c r="R649" s="64"/>
      <c r="S649" s="64"/>
      <c r="T649" s="64"/>
    </row>
  </sheetData>
  <sheetProtection sheet="1" formatCells="0" formatColumns="0" formatRows="0" insertColumns="0" insertRows="0" insertHyperlinks="0" deleteColumns="0" deleteRows="0" sort="0" autoFilter="0" pivotTables="0"/>
  <mergeCells count="142">
    <mergeCell ref="K266:P266"/>
    <mergeCell ref="K230:P230"/>
    <mergeCell ref="K231:P231"/>
    <mergeCell ref="K257:P257"/>
    <mergeCell ref="K258:P258"/>
    <mergeCell ref="K159:P159"/>
    <mergeCell ref="Q33:R33"/>
    <mergeCell ref="Q34:R34"/>
    <mergeCell ref="Q35:R35"/>
    <mergeCell ref="Q36:R36"/>
    <mergeCell ref="A123:G123"/>
    <mergeCell ref="A139:G139"/>
    <mergeCell ref="A122:G122"/>
    <mergeCell ref="K122:Q122"/>
    <mergeCell ref="K123:Q123"/>
    <mergeCell ref="K139:Q139"/>
    <mergeCell ref="A94:N94"/>
    <mergeCell ref="A159:G159"/>
    <mergeCell ref="A160:G160"/>
    <mergeCell ref="A128:G128"/>
    <mergeCell ref="K128:Q128"/>
    <mergeCell ref="A133:G133"/>
    <mergeCell ref="K133:Q133"/>
    <mergeCell ref="A145:G145"/>
    <mergeCell ref="A150:G150"/>
    <mergeCell ref="K145:Q145"/>
    <mergeCell ref="K150:Q150"/>
    <mergeCell ref="A291:G291"/>
    <mergeCell ref="K291:P291"/>
    <mergeCell ref="A282:G282"/>
    <mergeCell ref="A283:G283"/>
    <mergeCell ref="A191:G191"/>
    <mergeCell ref="A192:G192"/>
    <mergeCell ref="A171:G171"/>
    <mergeCell ref="A177:G177"/>
    <mergeCell ref="A184:G184"/>
    <mergeCell ref="K274:P274"/>
    <mergeCell ref="K171:P171"/>
    <mergeCell ref="K191:P191"/>
    <mergeCell ref="K192:P192"/>
    <mergeCell ref="K275:P275"/>
    <mergeCell ref="K282:P282"/>
    <mergeCell ref="K283:P283"/>
    <mergeCell ref="K177:P177"/>
    <mergeCell ref="K184:P184"/>
    <mergeCell ref="K199:P199"/>
    <mergeCell ref="K207:P207"/>
    <mergeCell ref="K215:P215"/>
    <mergeCell ref="K223:P223"/>
    <mergeCell ref="K239:P239"/>
    <mergeCell ref="K247:P247"/>
    <mergeCell ref="A247:G247"/>
    <mergeCell ref="A257:G257"/>
    <mergeCell ref="A258:G258"/>
    <mergeCell ref="A266:G266"/>
    <mergeCell ref="A274:G274"/>
    <mergeCell ref="A275:G275"/>
    <mergeCell ref="A170:G170"/>
    <mergeCell ref="A199:G199"/>
    <mergeCell ref="A207:G207"/>
    <mergeCell ref="A215:G215"/>
    <mergeCell ref="AA159:AG159"/>
    <mergeCell ref="AA160:AG160"/>
    <mergeCell ref="AA162:AA165"/>
    <mergeCell ref="AA170:AG170"/>
    <mergeCell ref="AK170:AP170"/>
    <mergeCell ref="A223:G223"/>
    <mergeCell ref="A230:G230"/>
    <mergeCell ref="A231:G231"/>
    <mergeCell ref="A239:G239"/>
    <mergeCell ref="A162:A165"/>
    <mergeCell ref="K170:P170"/>
    <mergeCell ref="AA191:AG191"/>
    <mergeCell ref="AK191:AP191"/>
    <mergeCell ref="AA192:AG192"/>
    <mergeCell ref="AK192:AP192"/>
    <mergeCell ref="AA199:AG199"/>
    <mergeCell ref="AK199:AP199"/>
    <mergeCell ref="AA171:AG171"/>
    <mergeCell ref="AK171:AP171"/>
    <mergeCell ref="AA177:AG177"/>
    <mergeCell ref="AK177:AP177"/>
    <mergeCell ref="AA184:AG184"/>
    <mergeCell ref="AK184:AP184"/>
    <mergeCell ref="AA231:AG231"/>
    <mergeCell ref="AK231:AP231"/>
    <mergeCell ref="AA239:AG239"/>
    <mergeCell ref="AK239:AP239"/>
    <mergeCell ref="AA207:AG207"/>
    <mergeCell ref="AK207:AP207"/>
    <mergeCell ref="AA215:AG215"/>
    <mergeCell ref="AK215:AP215"/>
    <mergeCell ref="AA223:AG223"/>
    <mergeCell ref="AK223:AP223"/>
    <mergeCell ref="AA150:AG150"/>
    <mergeCell ref="AK150:AQ150"/>
    <mergeCell ref="AA266:AG266"/>
    <mergeCell ref="AK266:AP266"/>
    <mergeCell ref="AA274:AG274"/>
    <mergeCell ref="AK274:AP274"/>
    <mergeCell ref="AA326:AG326"/>
    <mergeCell ref="AK326:AP326"/>
    <mergeCell ref="AA292:AG292"/>
    <mergeCell ref="AK292:AP292"/>
    <mergeCell ref="AA302:AG302"/>
    <mergeCell ref="AK302:AP302"/>
    <mergeCell ref="AA310:AG310"/>
    <mergeCell ref="AK310:AP310"/>
    <mergeCell ref="AA282:AG282"/>
    <mergeCell ref="AK282:AP282"/>
    <mergeCell ref="AA283:AG283"/>
    <mergeCell ref="AK283:AP283"/>
    <mergeCell ref="AA291:AG291"/>
    <mergeCell ref="AK291:AP291"/>
    <mergeCell ref="AA258:AG258"/>
    <mergeCell ref="AK258:AP258"/>
    <mergeCell ref="AA230:AG230"/>
    <mergeCell ref="AK230:AP230"/>
    <mergeCell ref="AA333:AG333"/>
    <mergeCell ref="AK333:AP333"/>
    <mergeCell ref="AA122:AG122"/>
    <mergeCell ref="AK122:AQ122"/>
    <mergeCell ref="AA123:AG123"/>
    <mergeCell ref="AK123:AQ123"/>
    <mergeCell ref="AA128:AG128"/>
    <mergeCell ref="AK128:AQ128"/>
    <mergeCell ref="AA133:AG133"/>
    <mergeCell ref="AK133:AQ133"/>
    <mergeCell ref="AA139:AG139"/>
    <mergeCell ref="AK139:AQ139"/>
    <mergeCell ref="AA319:AG319"/>
    <mergeCell ref="AK319:AP319"/>
    <mergeCell ref="AA320:AG320"/>
    <mergeCell ref="AK320:AP320"/>
    <mergeCell ref="AA275:AG275"/>
    <mergeCell ref="AK275:AP275"/>
    <mergeCell ref="AA247:AG247"/>
    <mergeCell ref="AK247:AP247"/>
    <mergeCell ref="AA257:AG257"/>
    <mergeCell ref="AK257:AP257"/>
    <mergeCell ref="AA145:AG145"/>
    <mergeCell ref="AK145:AQ145"/>
  </mergeCells>
  <conditionalFormatting sqref="A81:B81 D81">
    <cfRule type="expression" dxfId="246" priority="3">
      <formula>$D$6="yes"</formula>
    </cfRule>
  </conditionalFormatting>
  <conditionalFormatting sqref="D5">
    <cfRule type="cellIs" dxfId="245" priority="5" operator="equal">
      <formula>"Yes"</formula>
    </cfRule>
  </conditionalFormatting>
  <conditionalFormatting sqref="D6">
    <cfRule type="containsText" dxfId="244" priority="11" operator="containsText" text="Yes">
      <formula>NOT(ISERROR(SEARCH("Yes",D6)))</formula>
    </cfRule>
  </conditionalFormatting>
  <conditionalFormatting sqref="D41">
    <cfRule type="containsText" dxfId="243" priority="2" operator="containsText" text="BULK Discount ON">
      <formula>NOT(ISERROR(SEARCH("BULK Discount ON",D41)))</formula>
    </cfRule>
  </conditionalFormatting>
  <conditionalFormatting sqref="E45">
    <cfRule type="containsText" dxfId="242" priority="7" operator="containsText" text="10 hour days">
      <formula>NOT(ISERROR(SEARCH("10 hour days",E45)))</formula>
    </cfRule>
    <cfRule type="containsText" dxfId="241" priority="8" operator="containsText" text="8 hour days">
      <formula>NOT(ISERROR(SEARCH("8 hour days",E45)))</formula>
    </cfRule>
  </conditionalFormatting>
  <conditionalFormatting sqref="E46">
    <cfRule type="cellIs" dxfId="240" priority="4" stopIfTrue="1" operator="equal">
      <formula>"PW"</formula>
    </cfRule>
  </conditionalFormatting>
  <conditionalFormatting sqref="F45">
    <cfRule type="cellIs" dxfId="239" priority="12" operator="greaterThan">
      <formula>0.25</formula>
    </cfRule>
    <cfRule type="cellIs" dxfId="238" priority="13" operator="lessThan">
      <formula>0.15</formula>
    </cfRule>
  </conditionalFormatting>
  <conditionalFormatting sqref="F89">
    <cfRule type="containsText" dxfId="237" priority="14" operator="containsText" text="owner">
      <formula>NOT(ISERROR(SEARCH("owner",F89)))</formula>
    </cfRule>
  </conditionalFormatting>
  <conditionalFormatting sqref="G41:H41">
    <cfRule type="cellIs" dxfId="236" priority="10" operator="notEqual">
      <formula>FALSE</formula>
    </cfRule>
  </conditionalFormatting>
  <conditionalFormatting sqref="V136">
    <cfRule type="containsText" dxfId="235" priority="1" operator="containsText" text="BULK Discount ON">
      <formula>NOT(ISERROR(SEARCH("BULK Discount ON",V136)))</formula>
    </cfRule>
  </conditionalFormatting>
  <dataValidations disablePrompts="1" count="7">
    <dataValidation type="list" allowBlank="1" showInputMessage="1" showErrorMessage="1" sqref="A21" xr:uid="{4055FC0B-393C-CD44-8328-182EE2BB98C4}">
      <formula1>$B$161:$B$165</formula1>
    </dataValidation>
    <dataValidation type="list" allowBlank="1" showInputMessage="1" showErrorMessage="1" sqref="A22" xr:uid="{03B762AC-D09E-CF4F-A89D-1BF61F882D95}">
      <formula1>$R$180:$R$195</formula1>
    </dataValidation>
    <dataValidation type="list" allowBlank="1" showInputMessage="1" showErrorMessage="1" sqref="A25" xr:uid="{48E9B1B3-45D5-B24E-9B51-BF23BEA07ED1}">
      <formula1>$AB$161:$AB$167</formula1>
    </dataValidation>
    <dataValidation type="list" allowBlank="1" showInputMessage="1" showErrorMessage="1" sqref="A26" xr:uid="{913A9DD2-9B16-3540-90DD-1946A191CEF1}">
      <formula1>$AR$180:$AR$205</formula1>
    </dataValidation>
    <dataValidation type="list" allowBlank="1" showInputMessage="1" showErrorMessage="1" sqref="A35" xr:uid="{B78EE517-35CB-6147-A2FB-5AE51C7FF1DC}">
      <formula1>$S$124:$S$136</formula1>
    </dataValidation>
    <dataValidation type="list" allowBlank="1" showInputMessage="1" showErrorMessage="1" sqref="A37" xr:uid="{E9B7982A-C84C-164C-855E-756639441A66}">
      <formula1>$AS$124:$AS$136</formula1>
    </dataValidation>
    <dataValidation type="list" showInputMessage="1" showErrorMessage="1" sqref="D41" xr:uid="{BDBA7F0F-EC85-8446-898C-C00ACCD05CB3}">
      <formula1>$V$136:$V$137</formula1>
    </dataValidation>
  </dataValidations>
  <hyperlinks>
    <hyperlink ref="A81" r:id="rId1" display="Kansas Remodel Tax" xr:uid="{91F6ECC0-ED4F-9143-9A00-2BFFDDE9A1B2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ignoredErrors>
    <ignoredError sqref="T145" unlocked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CD41A4-5060-7841-9D20-6DAE575FCDD7}">
          <x14:formula1>
            <xm:f>validation!$N$7:$N$8</xm:f>
          </x14:formula1>
          <xm:sqref>E45</xm:sqref>
        </x14:dataValidation>
        <x14:dataValidation type="list" allowBlank="1" showInputMessage="1" showErrorMessage="1" xr:uid="{5CC9BDEA-6512-524B-A900-346F32FEB9DE}">
          <x14:formula1>
            <xm:f>validation!$B$3:$B$14</xm:f>
          </x14:formula1>
          <xm:sqref>G47:G50</xm:sqref>
        </x14:dataValidation>
        <x14:dataValidation type="list" allowBlank="1" showInputMessage="1" showErrorMessage="1" xr:uid="{8657C0B7-CEBF-2641-BC96-92F7FE9A3FDB}">
          <x14:formula1>
            <xm:f>validation!$N$3:$N$4</xm:f>
          </x14:formula1>
          <xm:sqref>B4:B6 D5:D6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98"/>
  <sheetViews>
    <sheetView zoomScaleNormal="100" workbookViewId="0">
      <selection activeCell="B11" sqref="B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.5" customWidth="1"/>
    <col min="8" max="9" width="19.5" customWidth="1"/>
    <col min="10" max="10" width="14.19921875" customWidth="1"/>
    <col min="11" max="11" width="14" customWidth="1"/>
    <col min="12" max="12" width="12.19921875" customWidth="1"/>
    <col min="13" max="14" width="13.69921875" customWidth="1"/>
    <col min="15" max="15" width="11.796875" customWidth="1"/>
    <col min="16" max="16" width="11.296875" customWidth="1"/>
    <col min="17" max="17" width="16.19921875" bestFit="1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 s="585" customFormat="1">
      <c r="A1" s="584" t="s">
        <v>221</v>
      </c>
      <c r="B1" s="585">
        <f>Epoxy!B1</f>
        <v>0</v>
      </c>
      <c r="G1" s="586" t="s">
        <v>471</v>
      </c>
    </row>
    <row r="2" spans="1:24" s="585" customFormat="1">
      <c r="A2" s="584" t="s">
        <v>220</v>
      </c>
      <c r="B2" s="587">
        <f>Epoxy!B2</f>
        <v>0</v>
      </c>
      <c r="C2" s="587"/>
      <c r="D2" s="587"/>
      <c r="G2" s="588">
        <f>Epoxy!G2</f>
        <v>0</v>
      </c>
      <c r="H2" s="585">
        <f>Epoxy!H2</f>
        <v>0</v>
      </c>
      <c r="I2" s="585">
        <f>Epoxy!I2</f>
        <v>0</v>
      </c>
      <c r="J2" s="585">
        <f>Epoxy!J2</f>
        <v>0</v>
      </c>
      <c r="K2" s="585">
        <f>Epoxy!K2</f>
        <v>0</v>
      </c>
    </row>
    <row r="3" spans="1:24" s="585" customFormat="1">
      <c r="A3" s="584" t="s">
        <v>207</v>
      </c>
      <c r="B3" s="585">
        <f>Epoxy!B3</f>
        <v>0</v>
      </c>
      <c r="G3" s="588">
        <f>Epoxy!G3</f>
        <v>0</v>
      </c>
      <c r="H3" s="585">
        <f>Epoxy!H3</f>
        <v>0</v>
      </c>
      <c r="I3" s="585">
        <f>Epoxy!I3</f>
        <v>0</v>
      </c>
      <c r="J3" s="585">
        <f>Epoxy!J3</f>
        <v>0</v>
      </c>
      <c r="K3" s="585">
        <f>Epoxy!K3</f>
        <v>0</v>
      </c>
    </row>
    <row r="4" spans="1:24" s="585" customFormat="1" ht="16.2" thickBot="1">
      <c r="A4" s="1637" t="s">
        <v>76</v>
      </c>
      <c r="B4" s="585" t="s">
        <v>78</v>
      </c>
      <c r="C4" s="590" t="s">
        <v>202</v>
      </c>
      <c r="D4" s="591"/>
      <c r="E4" s="609"/>
      <c r="F4" s="592"/>
      <c r="G4" s="588">
        <f>Epoxy!G4</f>
        <v>0</v>
      </c>
      <c r="H4" s="585">
        <f>Epoxy!H4</f>
        <v>0</v>
      </c>
      <c r="I4" s="585">
        <f>Epoxy!I4</f>
        <v>0</v>
      </c>
      <c r="J4" s="585">
        <f>Epoxy!J4</f>
        <v>0</v>
      </c>
      <c r="K4" s="585">
        <f>Epoxy!K4</f>
        <v>0</v>
      </c>
      <c r="M4" s="594"/>
      <c r="P4" s="1876" t="s">
        <v>113</v>
      </c>
      <c r="Q4" s="1876"/>
      <c r="R4" s="1876"/>
      <c r="S4" s="1876"/>
      <c r="T4" s="1876"/>
      <c r="U4" s="1876"/>
      <c r="V4" s="1876"/>
    </row>
    <row r="5" spans="1:24" s="585" customFormat="1">
      <c r="A5" s="589" t="s">
        <v>149</v>
      </c>
      <c r="B5" s="585" t="s">
        <v>71</v>
      </c>
      <c r="C5" s="1010" t="s">
        <v>1029</v>
      </c>
      <c r="D5" s="591" t="str">
        <f>Epoxy!D5</f>
        <v>No</v>
      </c>
      <c r="E5" s="1728">
        <f>Epoxy!E5</f>
        <v>0</v>
      </c>
      <c r="F5" s="592"/>
      <c r="G5" s="588">
        <f>Epoxy!G5</f>
        <v>0</v>
      </c>
      <c r="H5" s="585">
        <f>Epoxy!H5</f>
        <v>0</v>
      </c>
      <c r="I5" s="585">
        <f>Epoxy!I5</f>
        <v>0</v>
      </c>
      <c r="J5" s="585">
        <f>Epoxy!J5</f>
        <v>0</v>
      </c>
      <c r="K5" s="585">
        <f>Epoxy!K5</f>
        <v>0</v>
      </c>
      <c r="M5" s="594"/>
      <c r="P5" s="860">
        <f>IF((B35/2500)&lt;1,1,(B35/2500))</f>
        <v>1</v>
      </c>
      <c r="Q5" s="861" t="s">
        <v>153</v>
      </c>
      <c r="R5" s="862"/>
      <c r="S5" s="862"/>
      <c r="T5" s="862"/>
      <c r="U5" s="862"/>
      <c r="V5" s="862"/>
      <c r="W5" s="863"/>
    </row>
    <row r="6" spans="1:24" s="585" customFormat="1">
      <c r="A6" s="589" t="s">
        <v>79</v>
      </c>
      <c r="B6" s="585" t="str">
        <f>Epoxy!B6</f>
        <v>Yes</v>
      </c>
      <c r="C6" s="1539" t="s">
        <v>119</v>
      </c>
      <c r="D6" s="591" t="str">
        <f>Epoxy!D6</f>
        <v>No</v>
      </c>
      <c r="E6" s="1728">
        <f>Epoxy!E6</f>
        <v>0</v>
      </c>
      <c r="F6" s="592"/>
      <c r="G6" s="588">
        <f>Epoxy!G6</f>
        <v>0</v>
      </c>
      <c r="H6" s="585">
        <f>Epoxy!H6</f>
        <v>0</v>
      </c>
      <c r="I6" s="585">
        <f>Epoxy!I6</f>
        <v>0</v>
      </c>
      <c r="J6" s="585">
        <f>Epoxy!J6</f>
        <v>0</v>
      </c>
      <c r="K6" s="585">
        <f>Epoxy!K6</f>
        <v>0</v>
      </c>
      <c r="M6" s="594"/>
      <c r="P6" s="864"/>
      <c r="Q6" s="593" t="s">
        <v>155</v>
      </c>
      <c r="R6" s="593" t="s">
        <v>101</v>
      </c>
      <c r="S6" s="593" t="s">
        <v>40</v>
      </c>
      <c r="T6" s="593" t="s">
        <v>103</v>
      </c>
      <c r="U6" s="600" t="s">
        <v>106</v>
      </c>
      <c r="V6" s="1877" t="s">
        <v>114</v>
      </c>
      <c r="W6" s="1878"/>
    </row>
    <row r="7" spans="1:24" s="585" customFormat="1">
      <c r="A7" s="589" t="s">
        <v>222</v>
      </c>
      <c r="B7" s="587"/>
      <c r="D7" s="591"/>
      <c r="E7" s="609"/>
      <c r="F7" s="592"/>
      <c r="G7" s="588">
        <f>Epoxy!G7</f>
        <v>0</v>
      </c>
      <c r="H7" s="585">
        <f>Epoxy!H7</f>
        <v>0</v>
      </c>
      <c r="I7" s="585">
        <f>Epoxy!I7</f>
        <v>0</v>
      </c>
      <c r="J7" s="585">
        <f>Epoxy!J7</f>
        <v>0</v>
      </c>
      <c r="K7" s="585">
        <f>Epoxy!K7</f>
        <v>0</v>
      </c>
      <c r="M7" s="594"/>
      <c r="P7" s="864"/>
      <c r="Q7" s="593"/>
      <c r="R7" s="593"/>
      <c r="S7" s="593"/>
      <c r="T7" s="593"/>
      <c r="U7" s="600"/>
      <c r="V7" s="775"/>
      <c r="W7" s="865"/>
    </row>
    <row r="8" spans="1:24" s="585" customFormat="1">
      <c r="A8" s="602" t="s">
        <v>223</v>
      </c>
      <c r="B8" s="585">
        <f>Epoxy!B8</f>
        <v>0</v>
      </c>
      <c r="D8" s="591"/>
      <c r="E8" s="1472"/>
      <c r="F8" s="592"/>
      <c r="G8" s="588">
        <f>Epoxy!G8</f>
        <v>0</v>
      </c>
      <c r="H8" s="585">
        <f>Epoxy!H8</f>
        <v>0</v>
      </c>
      <c r="I8" s="585">
        <f>Epoxy!I8</f>
        <v>0</v>
      </c>
      <c r="J8" s="585">
        <f>Epoxy!J8</f>
        <v>0</v>
      </c>
      <c r="K8" s="585">
        <f>Epoxy!K8</f>
        <v>0</v>
      </c>
      <c r="M8" s="594"/>
      <c r="P8" s="864"/>
      <c r="Q8" s="593"/>
      <c r="R8" s="593"/>
      <c r="S8" s="593"/>
      <c r="T8" s="593"/>
      <c r="U8" s="600"/>
      <c r="V8" s="775"/>
      <c r="W8" s="865"/>
    </row>
    <row r="9" spans="1:24" s="585" customFormat="1">
      <c r="A9" s="602" t="s">
        <v>224</v>
      </c>
      <c r="B9" s="587">
        <f>Epoxy!B9</f>
        <v>0</v>
      </c>
      <c r="D9" s="591"/>
      <c r="E9" s="609"/>
      <c r="F9" s="592"/>
      <c r="G9" s="588">
        <f>Epoxy!G9</f>
        <v>0</v>
      </c>
      <c r="H9" s="585">
        <f>Epoxy!H9</f>
        <v>0</v>
      </c>
      <c r="I9" s="585">
        <f>Epoxy!I9</f>
        <v>0</v>
      </c>
      <c r="J9" s="585">
        <f>Epoxy!J9</f>
        <v>0</v>
      </c>
      <c r="K9" s="585">
        <f>Epoxy!K9</f>
        <v>0</v>
      </c>
      <c r="M9" s="594"/>
      <c r="P9" s="864"/>
      <c r="Q9" s="593"/>
      <c r="R9" s="593"/>
      <c r="S9" s="593"/>
      <c r="T9" s="593"/>
      <c r="U9" s="600"/>
      <c r="V9" s="775"/>
      <c r="W9" s="865"/>
    </row>
    <row r="10" spans="1:24" s="585" customFormat="1">
      <c r="A10" s="584" t="s">
        <v>203</v>
      </c>
      <c r="D10" s="591"/>
      <c r="E10" s="609"/>
      <c r="F10" s="592"/>
      <c r="G10" s="588">
        <f>Epoxy!G10</f>
        <v>0</v>
      </c>
      <c r="H10" s="585">
        <f>Epoxy!H10</f>
        <v>0</v>
      </c>
      <c r="I10" s="585">
        <f>Epoxy!I10</f>
        <v>0</v>
      </c>
      <c r="J10" s="585">
        <f>Epoxy!J10</f>
        <v>0</v>
      </c>
      <c r="K10" s="585">
        <f>Epoxy!K10</f>
        <v>0</v>
      </c>
      <c r="M10" s="594"/>
      <c r="P10" s="864"/>
      <c r="Q10" s="866">
        <f>IF(F36="cream",Q14,IF(F36="S&amp;P",Q15,IF(F36="full",Q16,0)))</f>
        <v>4.5</v>
      </c>
      <c r="R10" s="866">
        <f>IF(G36="traditional",IF(F36="S&amp;P",R19,IF(F36="full",R20)),IF(G36="hybrid",IF(F36="cream",R14,0)))</f>
        <v>0</v>
      </c>
      <c r="S10" s="866">
        <f>IF(H36="yes dye",S14,0)</f>
        <v>0</v>
      </c>
      <c r="T10" s="866">
        <f>IF(I36="yes grout",T14,0)</f>
        <v>0</v>
      </c>
      <c r="U10" s="866">
        <f>IF(J36="yes demo glue",U14,0)</f>
        <v>0</v>
      </c>
      <c r="V10" s="866">
        <f>IF(F36="cream",V13,IF(F36="S&amp;P",V14,IF(F36="full",V15,0.25)))</f>
        <v>0.85</v>
      </c>
      <c r="W10" s="867">
        <f>IF(G36="traditional",V16,0)</f>
        <v>0</v>
      </c>
    </row>
    <row r="11" spans="1:24" s="585" customFormat="1">
      <c r="A11" s="1423"/>
      <c r="B11" s="603"/>
      <c r="C11" s="591"/>
      <c r="D11" s="591"/>
      <c r="E11" s="609"/>
      <c r="F11" s="593"/>
      <c r="G11" s="607"/>
      <c r="H11" s="593"/>
      <c r="I11" s="604"/>
      <c r="J11" s="604"/>
      <c r="K11" s="604"/>
      <c r="L11" s="604"/>
      <c r="M11" s="594"/>
      <c r="P11" s="864"/>
      <c r="Q11" s="866"/>
      <c r="R11" s="866"/>
      <c r="S11" s="866"/>
      <c r="T11" s="866"/>
      <c r="U11" s="866"/>
      <c r="V11" s="866"/>
      <c r="W11" s="867"/>
    </row>
    <row r="12" spans="1:24" s="585" customFormat="1">
      <c r="A12" s="608" t="s">
        <v>503</v>
      </c>
      <c r="B12" s="600"/>
      <c r="C12" s="591"/>
      <c r="D12" s="591"/>
      <c r="E12" s="609"/>
      <c r="F12" s="593"/>
      <c r="G12" s="607"/>
      <c r="H12" s="593"/>
      <c r="I12" s="604"/>
      <c r="J12" s="604"/>
      <c r="K12" s="604"/>
      <c r="L12" s="604"/>
      <c r="M12" s="594"/>
      <c r="P12" s="864"/>
      <c r="Q12" s="866"/>
      <c r="R12" s="866"/>
      <c r="S12" s="866"/>
      <c r="T12" s="866"/>
      <c r="U12" s="866"/>
      <c r="V12" s="866"/>
      <c r="W12" s="867"/>
    </row>
    <row r="13" spans="1:24" s="585" customFormat="1">
      <c r="A13" s="608"/>
      <c r="B13" s="600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594"/>
      <c r="P13" s="864"/>
      <c r="Q13" s="584"/>
      <c r="R13" s="584" t="s">
        <v>100</v>
      </c>
      <c r="S13" s="584"/>
      <c r="T13" s="584"/>
      <c r="U13" s="584"/>
      <c r="V13" s="786">
        <f>IF($E$18&lt;=4000,validation!$E$32,IF($E$18&lt;7000,validation!$E$33,validation!$E$34))</f>
        <v>0.6</v>
      </c>
      <c r="W13" s="868" t="s">
        <v>421</v>
      </c>
      <c r="X13" s="858" t="s">
        <v>422</v>
      </c>
    </row>
    <row r="14" spans="1:24" s="585" customFormat="1" ht="16.2" thickBot="1">
      <c r="A14" s="608"/>
      <c r="B14" s="600"/>
      <c r="C14" s="591"/>
      <c r="D14" s="591"/>
      <c r="E14" s="609"/>
      <c r="F14" s="593"/>
      <c r="G14" s="607"/>
      <c r="H14" s="593"/>
      <c r="I14" s="605"/>
      <c r="J14" s="604"/>
      <c r="K14" s="611"/>
      <c r="L14" s="611"/>
      <c r="M14" s="869"/>
      <c r="P14" s="864" t="s">
        <v>104</v>
      </c>
      <c r="Q14" s="585">
        <v>3.5</v>
      </c>
      <c r="R14" s="600">
        <v>0</v>
      </c>
      <c r="S14" s="600">
        <v>0.5</v>
      </c>
      <c r="T14" s="600">
        <v>0.75</v>
      </c>
      <c r="U14" s="600">
        <v>1</v>
      </c>
      <c r="V14" s="786">
        <f>IF($E$18&lt;=4000,validation!$I$32,IF($E$18&lt;7000,validation!$I$33,validation!$I$34))</f>
        <v>0.85</v>
      </c>
      <c r="W14" s="868" t="s">
        <v>94</v>
      </c>
      <c r="X14" s="858" t="s">
        <v>422</v>
      </c>
    </row>
    <row r="15" spans="1:24" s="585" customFormat="1" ht="16.2" thickBot="1">
      <c r="A15" s="612" t="s">
        <v>60</v>
      </c>
      <c r="B15" s="613">
        <f>D82</f>
        <v>13265</v>
      </c>
      <c r="C15" s="614" t="s">
        <v>61</v>
      </c>
      <c r="D15" s="615" t="e">
        <f>C82</f>
        <v>#DIV/0!</v>
      </c>
      <c r="E15" s="609"/>
      <c r="F15" s="1729"/>
      <c r="G15" s="593"/>
      <c r="H15" s="593"/>
      <c r="I15" s="605"/>
      <c r="J15" s="604"/>
      <c r="K15" s="611"/>
      <c r="L15" s="604"/>
      <c r="M15" s="604"/>
      <c r="P15" s="864" t="s">
        <v>94</v>
      </c>
      <c r="Q15" s="585">
        <v>4.5</v>
      </c>
      <c r="R15" s="585">
        <v>0</v>
      </c>
      <c r="V15" s="786">
        <f>IF($E$18&lt;=4000,validation!$M$32,IF($E$18&lt;7000,validation!$M$33,validation!$M$34))</f>
        <v>1.5</v>
      </c>
      <c r="W15" s="868" t="s">
        <v>99</v>
      </c>
      <c r="X15" s="858" t="s">
        <v>422</v>
      </c>
    </row>
    <row r="16" spans="1:24" s="585" customFormat="1" ht="16.95" customHeight="1">
      <c r="A16" s="621" t="s">
        <v>14</v>
      </c>
      <c r="B16" s="622" t="s">
        <v>11</v>
      </c>
      <c r="C16" s="622" t="s">
        <v>1</v>
      </c>
      <c r="D16" s="870" t="s">
        <v>2</v>
      </c>
      <c r="E16" s="619"/>
      <c r="F16" s="1729"/>
      <c r="G16" s="593"/>
      <c r="H16" s="621" t="s">
        <v>25</v>
      </c>
      <c r="I16" s="622" t="s">
        <v>906</v>
      </c>
      <c r="J16" s="622" t="s">
        <v>905</v>
      </c>
      <c r="K16" s="623" t="s">
        <v>26</v>
      </c>
      <c r="L16" s="827"/>
      <c r="P16" s="864" t="s">
        <v>105</v>
      </c>
      <c r="Q16" s="585">
        <v>9</v>
      </c>
      <c r="R16" s="585">
        <v>0</v>
      </c>
      <c r="V16" s="585">
        <v>0.2</v>
      </c>
      <c r="W16" s="868" t="s">
        <v>154</v>
      </c>
    </row>
    <row r="17" spans="1:23" s="585" customFormat="1">
      <c r="A17" s="624"/>
      <c r="B17" s="634">
        <f>E18</f>
        <v>0</v>
      </c>
      <c r="C17" s="626">
        <f>IF(B10="New",0.05,0.15)</f>
        <v>0.15</v>
      </c>
      <c r="D17" s="627">
        <f t="shared" ref="D17:D18" si="0">B17*C17</f>
        <v>0</v>
      </c>
      <c r="E17" s="600"/>
      <c r="F17" s="1729"/>
      <c r="G17" s="593"/>
      <c r="H17" s="628" t="s">
        <v>22</v>
      </c>
      <c r="I17" s="629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630">
        <f>B35</f>
        <v>0</v>
      </c>
      <c r="K17" s="631">
        <f>ROUNDUP((I17*J17),0)</f>
        <v>0</v>
      </c>
      <c r="L17" s="632" t="s">
        <v>48</v>
      </c>
      <c r="M17" s="633" t="s">
        <v>209</v>
      </c>
      <c r="P17" s="864"/>
      <c r="R17" s="584" t="s">
        <v>98</v>
      </c>
      <c r="W17" s="868"/>
    </row>
    <row r="18" spans="1:23" s="585" customFormat="1">
      <c r="A18" s="624"/>
      <c r="B18" s="634"/>
      <c r="C18" s="626"/>
      <c r="D18" s="627">
        <f t="shared" si="0"/>
        <v>0</v>
      </c>
      <c r="E18" s="645">
        <v>0</v>
      </c>
      <c r="F18" s="646" t="s">
        <v>27</v>
      </c>
      <c r="H18" s="635" t="s">
        <v>39</v>
      </c>
      <c r="I18" s="636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637">
        <f>B35</f>
        <v>0</v>
      </c>
      <c r="K18" s="638">
        <f>ROUNDUP((I18*J18),0)</f>
        <v>0</v>
      </c>
      <c r="L18" s="639">
        <f>0.2*J18</f>
        <v>0</v>
      </c>
      <c r="M18" s="640" t="e">
        <f>K18/L18</f>
        <v>#DIV/0!</v>
      </c>
      <c r="N18" s="590"/>
      <c r="P18" s="864" t="s">
        <v>104</v>
      </c>
      <c r="R18" s="585">
        <v>0</v>
      </c>
      <c r="W18" s="868"/>
    </row>
    <row r="19" spans="1:23" s="585" customFormat="1">
      <c r="A19" s="641" t="s">
        <v>12</v>
      </c>
      <c r="B19" s="642"/>
      <c r="C19" s="643"/>
      <c r="D19" s="644"/>
      <c r="E19" s="871">
        <v>0</v>
      </c>
      <c r="F19" s="872" t="s">
        <v>48</v>
      </c>
      <c r="H19" s="628" t="s">
        <v>908</v>
      </c>
      <c r="I19" s="629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630">
        <f>E19</f>
        <v>0</v>
      </c>
      <c r="K19" s="631">
        <f>ROUNDUP((I19*J19),0)</f>
        <v>0</v>
      </c>
      <c r="L19" s="629"/>
      <c r="M19" s="590" t="s">
        <v>208</v>
      </c>
      <c r="P19" s="864" t="s">
        <v>94</v>
      </c>
      <c r="R19" s="585">
        <v>2</v>
      </c>
      <c r="W19" s="868"/>
    </row>
    <row r="20" spans="1:23" s="585" customFormat="1" ht="16.2" thickBot="1">
      <c r="A20" s="647" t="s">
        <v>23</v>
      </c>
      <c r="B20" s="625">
        <f>E18</f>
        <v>0</v>
      </c>
      <c r="C20" s="629">
        <v>7.0000000000000007E-2</v>
      </c>
      <c r="D20" s="648">
        <f>B20*C20</f>
        <v>0</v>
      </c>
      <c r="E20" s="600"/>
      <c r="F20" s="1729"/>
      <c r="G20" s="593"/>
      <c r="H20" s="635" t="s">
        <v>909</v>
      </c>
      <c r="I20" s="636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637">
        <f>E19</f>
        <v>0</v>
      </c>
      <c r="K20" s="638">
        <f>ROUNDUP((I20*J20),0)</f>
        <v>0</v>
      </c>
      <c r="L20" s="629"/>
      <c r="P20" s="873" t="s">
        <v>105</v>
      </c>
      <c r="Q20" s="874"/>
      <c r="R20" s="874">
        <v>2</v>
      </c>
      <c r="S20" s="874"/>
      <c r="T20" s="874"/>
      <c r="U20" s="874"/>
      <c r="V20" s="874"/>
      <c r="W20" s="875"/>
    </row>
    <row r="21" spans="1:23" s="585" customFormat="1">
      <c r="A21" s="647" t="s">
        <v>24</v>
      </c>
      <c r="B21" s="625">
        <f>E18</f>
        <v>0</v>
      </c>
      <c r="C21" s="629">
        <v>0.1</v>
      </c>
      <c r="D21" s="648">
        <f t="shared" ref="D21:D30" si="1">B21*C21</f>
        <v>0</v>
      </c>
      <c r="E21" s="600"/>
      <c r="F21" s="1729"/>
      <c r="G21" s="593"/>
      <c r="H21" s="653" t="s">
        <v>910</v>
      </c>
      <c r="I21" s="654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655">
        <v>0</v>
      </c>
      <c r="K21" s="656">
        <f t="shared" ref="K21:K22" si="2">ROUNDUP((I21*J21),0)</f>
        <v>0</v>
      </c>
      <c r="L21" s="629"/>
      <c r="M21" s="876" t="s">
        <v>596</v>
      </c>
      <c r="N21" s="651">
        <f>'Stnd Alts'!E292</f>
        <v>1139</v>
      </c>
      <c r="O21" s="652" t="s">
        <v>593</v>
      </c>
      <c r="P21" s="600"/>
    </row>
    <row r="22" spans="1:23" s="585" customFormat="1">
      <c r="A22" s="647" t="s">
        <v>151</v>
      </c>
      <c r="B22" s="625" t="b">
        <f>IF(I36="Yes Grout",E18)</f>
        <v>0</v>
      </c>
      <c r="C22" s="629">
        <v>0.11</v>
      </c>
      <c r="D22" s="648">
        <f t="shared" si="1"/>
        <v>0</v>
      </c>
      <c r="E22" s="600"/>
      <c r="F22" s="1729"/>
      <c r="G22" s="593"/>
      <c r="H22" s="635" t="s">
        <v>911</v>
      </c>
      <c r="I22" s="636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637">
        <v>0</v>
      </c>
      <c r="K22" s="638">
        <f t="shared" si="2"/>
        <v>0</v>
      </c>
      <c r="L22" s="600"/>
      <c r="M22" s="657" t="s">
        <v>601</v>
      </c>
      <c r="N22" s="651">
        <f>'Stnd Alts'!E194</f>
        <v>2302</v>
      </c>
      <c r="O22" s="652" t="s">
        <v>592</v>
      </c>
      <c r="P22" s="590" t="s">
        <v>594</v>
      </c>
      <c r="Q22" s="626"/>
    </row>
    <row r="23" spans="1:23" s="585" customFormat="1">
      <c r="A23" s="647"/>
      <c r="B23" s="625"/>
      <c r="C23" s="629"/>
      <c r="D23" s="648">
        <f t="shared" si="1"/>
        <v>0</v>
      </c>
      <c r="E23" s="600"/>
      <c r="F23" s="948"/>
      <c r="H23" s="600"/>
      <c r="L23" s="662"/>
      <c r="M23" s="600"/>
      <c r="N23" s="629"/>
      <c r="O23" s="630"/>
    </row>
    <row r="24" spans="1:23" s="585" customFormat="1">
      <c r="A24" s="641" t="s">
        <v>72</v>
      </c>
      <c r="B24" s="678"/>
      <c r="C24" s="679"/>
      <c r="D24" s="680"/>
      <c r="E24" s="877" t="s">
        <v>73</v>
      </c>
      <c r="F24" s="600"/>
      <c r="H24" s="600"/>
      <c r="L24" s="662"/>
      <c r="M24" s="600"/>
      <c r="N24" s="600"/>
      <c r="O24" s="630"/>
    </row>
    <row r="25" spans="1:23" s="585" customFormat="1" ht="16.2" thickBot="1">
      <c r="A25" s="647" t="s">
        <v>40</v>
      </c>
      <c r="B25" s="625" t="b">
        <f>IF(E25="Yes",E18)</f>
        <v>0</v>
      </c>
      <c r="C25" s="629">
        <v>0.14000000000000001</v>
      </c>
      <c r="D25" s="648">
        <f t="shared" si="1"/>
        <v>0</v>
      </c>
      <c r="E25" s="878" t="s">
        <v>71</v>
      </c>
      <c r="F25" s="600"/>
      <c r="G25" s="600"/>
      <c r="H25" s="600"/>
      <c r="I25" s="590"/>
      <c r="O25" s="663" t="s">
        <v>944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</row>
    <row r="26" spans="1:23" s="585" customFormat="1">
      <c r="A26" s="647" t="s">
        <v>40</v>
      </c>
      <c r="B26" s="625" t="b">
        <f>IF(E25="Yes",E18)</f>
        <v>0</v>
      </c>
      <c r="C26" s="629">
        <v>0.14000000000000001</v>
      </c>
      <c r="D26" s="648">
        <f t="shared" si="1"/>
        <v>0</v>
      </c>
      <c r="E26" s="600"/>
      <c r="F26" s="600"/>
      <c r="G26" s="600"/>
      <c r="H26" s="879" t="s">
        <v>175</v>
      </c>
      <c r="I26" s="862"/>
      <c r="J26" s="863"/>
      <c r="K26" s="880" t="s">
        <v>176</v>
      </c>
      <c r="L26" s="881" t="s">
        <v>177</v>
      </c>
      <c r="M26" s="863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</row>
    <row r="27" spans="1:23" s="585" customFormat="1">
      <c r="A27" s="647"/>
      <c r="B27" s="634"/>
      <c r="C27" s="629"/>
      <c r="D27" s="648">
        <f t="shared" ref="D27:D29" si="3">B27*C27</f>
        <v>0</v>
      </c>
      <c r="E27" s="600"/>
      <c r="F27" s="600"/>
      <c r="G27" s="600"/>
      <c r="H27" s="882">
        <f>E18</f>
        <v>0</v>
      </c>
      <c r="I27" s="883" t="s">
        <v>178</v>
      </c>
      <c r="J27" s="884" t="s">
        <v>179</v>
      </c>
      <c r="K27" s="885" t="s">
        <v>180</v>
      </c>
      <c r="L27" s="617" t="s">
        <v>181</v>
      </c>
      <c r="M27" s="886" t="s">
        <v>182</v>
      </c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</row>
    <row r="28" spans="1:23" s="585" customFormat="1">
      <c r="A28" s="641" t="s">
        <v>216</v>
      </c>
      <c r="B28" s="678"/>
      <c r="C28" s="679"/>
      <c r="D28" s="680"/>
      <c r="E28" s="877" t="s">
        <v>225</v>
      </c>
      <c r="F28" s="887" t="s">
        <v>218</v>
      </c>
      <c r="G28" s="600"/>
      <c r="H28" s="888" t="s">
        <v>183</v>
      </c>
      <c r="I28" s="889">
        <v>1.2</v>
      </c>
      <c r="J28" s="890">
        <f>ROUNDUP((I28*$H$27),0)</f>
        <v>0</v>
      </c>
      <c r="K28" s="891" t="s">
        <v>187</v>
      </c>
      <c r="L28" s="629">
        <f>J28+$D$82</f>
        <v>13265</v>
      </c>
      <c r="M28" s="892" t="e">
        <f>L28/$H$27</f>
        <v>#DIV/0!</v>
      </c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</row>
    <row r="29" spans="1:23" s="585" customFormat="1">
      <c r="A29" s="647" t="s">
        <v>705</v>
      </c>
      <c r="B29" s="634">
        <f>ROUNDUP(IF(E29="yes",(E18/3500),0),0)</f>
        <v>0</v>
      </c>
      <c r="C29" s="629">
        <v>500</v>
      </c>
      <c r="D29" s="648">
        <f t="shared" si="3"/>
        <v>0</v>
      </c>
      <c r="E29" s="878" t="s">
        <v>78</v>
      </c>
      <c r="F29" s="878" t="s">
        <v>71</v>
      </c>
      <c r="G29" s="600"/>
      <c r="H29" s="888" t="s">
        <v>184</v>
      </c>
      <c r="I29" s="889">
        <v>0.9</v>
      </c>
      <c r="J29" s="890">
        <f>ROUNDUP((I29*$H$27),0)</f>
        <v>0</v>
      </c>
      <c r="K29" s="891" t="s">
        <v>185</v>
      </c>
      <c r="L29" s="629">
        <f>J29+$D$82</f>
        <v>13265</v>
      </c>
      <c r="M29" s="892" t="e">
        <f>L29/$H$27</f>
        <v>#DIV/0!</v>
      </c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</row>
    <row r="30" spans="1:23" s="585" customFormat="1" ht="16.2" thickBot="1">
      <c r="A30" s="688"/>
      <c r="B30" s="689"/>
      <c r="C30" s="690"/>
      <c r="D30" s="691">
        <f t="shared" si="1"/>
        <v>0</v>
      </c>
      <c r="E30" s="600"/>
      <c r="F30" s="600"/>
      <c r="G30" s="600"/>
      <c r="H30" s="893" t="s">
        <v>40</v>
      </c>
      <c r="I30" s="894">
        <v>1.02</v>
      </c>
      <c r="J30" s="895">
        <f>ROUNDUP((I30*$H$27),0)</f>
        <v>0</v>
      </c>
      <c r="K30" s="896" t="s">
        <v>186</v>
      </c>
      <c r="L30" s="897">
        <f>J30+$D$82</f>
        <v>13265</v>
      </c>
      <c r="M30" s="898" t="e">
        <f>L30/$H$27</f>
        <v>#DIV/0!</v>
      </c>
      <c r="P30" s="600"/>
      <c r="Q30" s="600"/>
    </row>
    <row r="31" spans="1:23" s="585" customFormat="1">
      <c r="A31" s="1783" t="s">
        <v>10</v>
      </c>
      <c r="B31" s="1533"/>
      <c r="C31" s="1782"/>
      <c r="D31" s="692">
        <f>ROUNDUP(SUM(D17:D30),0)</f>
        <v>0</v>
      </c>
      <c r="E31" s="600"/>
      <c r="F31" s="600"/>
      <c r="G31" s="600"/>
      <c r="H31" s="600"/>
    </row>
    <row r="32" spans="1:23" s="585" customFormat="1">
      <c r="A32" s="899" t="s">
        <v>16</v>
      </c>
      <c r="B32" s="900">
        <v>0.02</v>
      </c>
      <c r="C32" s="1784"/>
      <c r="D32" s="704">
        <f>ROUNDUP(D31*B32,0)</f>
        <v>0</v>
      </c>
      <c r="E32" s="600"/>
      <c r="G32" s="705"/>
      <c r="H32" s="706" t="s">
        <v>201</v>
      </c>
      <c r="I32" s="600"/>
      <c r="J32" s="763"/>
      <c r="K32" s="1091" t="s">
        <v>672</v>
      </c>
      <c r="L32" s="1452">
        <f>B35/M32</f>
        <v>0</v>
      </c>
      <c r="M32" s="1093">
        <v>4</v>
      </c>
      <c r="N32" s="1094" t="s">
        <v>673</v>
      </c>
    </row>
    <row r="33" spans="1:18" s="585" customFormat="1">
      <c r="A33" s="901" t="s">
        <v>3</v>
      </c>
      <c r="B33" s="709"/>
      <c r="C33" s="710"/>
      <c r="D33" s="902">
        <f>SUM(D31:D32)</f>
        <v>0</v>
      </c>
      <c r="E33" s="711" t="e">
        <f>D33/B35</f>
        <v>#DIV/0!</v>
      </c>
      <c r="F33" s="712" t="s">
        <v>80</v>
      </c>
      <c r="G33" s="629"/>
      <c r="H33" s="903">
        <f>D33</f>
        <v>0</v>
      </c>
      <c r="I33" s="600"/>
      <c r="J33" s="763"/>
      <c r="K33" s="1091" t="s">
        <v>672</v>
      </c>
      <c r="L33" s="1452">
        <f>B35/M33</f>
        <v>0</v>
      </c>
      <c r="M33" s="1093">
        <v>3</v>
      </c>
      <c r="N33" s="1094" t="s">
        <v>673</v>
      </c>
    </row>
    <row r="34" spans="1:18" s="585" customFormat="1">
      <c r="A34" s="834"/>
      <c r="B34" s="775"/>
      <c r="C34" s="629"/>
      <c r="D34" s="629"/>
      <c r="E34" s="600"/>
      <c r="G34" s="904"/>
      <c r="H34" s="600"/>
      <c r="I34" s="600"/>
      <c r="J34" s="600"/>
      <c r="K34" s="1091" t="s">
        <v>672</v>
      </c>
      <c r="L34" s="1452">
        <f>B35/M34</f>
        <v>0</v>
      </c>
      <c r="M34" s="1093">
        <v>2</v>
      </c>
      <c r="N34" s="1094" t="s">
        <v>673</v>
      </c>
    </row>
    <row r="35" spans="1:18" s="585" customFormat="1">
      <c r="A35" s="905" t="s">
        <v>45</v>
      </c>
      <c r="B35" s="906">
        <f>E18</f>
        <v>0</v>
      </c>
      <c r="C35" s="905" t="s">
        <v>46</v>
      </c>
      <c r="D35" s="907">
        <f>E19</f>
        <v>0</v>
      </c>
      <c r="E35" s="722" t="s">
        <v>429</v>
      </c>
      <c r="F35" s="908" t="e">
        <f>D35/B35</f>
        <v>#DIV/0!</v>
      </c>
      <c r="G35" s="909" t="s">
        <v>81</v>
      </c>
      <c r="H35" s="910" t="s">
        <v>91</v>
      </c>
      <c r="I35" s="911" t="s">
        <v>159</v>
      </c>
      <c r="J35" s="763"/>
      <c r="K35" s="1453" t="s">
        <v>938</v>
      </c>
      <c r="L35" s="1454">
        <f>B35</f>
        <v>0</v>
      </c>
      <c r="M35" s="763"/>
      <c r="N35" s="763"/>
    </row>
    <row r="36" spans="1:18" s="585" customFormat="1">
      <c r="A36" s="730" t="s">
        <v>52</v>
      </c>
      <c r="B36" s="731" t="s">
        <v>42</v>
      </c>
      <c r="C36" s="731" t="s">
        <v>47</v>
      </c>
      <c r="D36" s="732" t="s">
        <v>51</v>
      </c>
      <c r="E36" s="1540" t="str">
        <f>(IF(D5="Yes","PW","TOTAL DAYS"))</f>
        <v>TOTAL DAYS</v>
      </c>
      <c r="F36" s="912" t="s">
        <v>94</v>
      </c>
      <c r="G36" s="912" t="s">
        <v>100</v>
      </c>
      <c r="H36" s="912" t="s">
        <v>41</v>
      </c>
      <c r="I36" s="912" t="s">
        <v>157</v>
      </c>
      <c r="J36" s="913" t="s">
        <v>158</v>
      </c>
      <c r="K36" s="914" t="s">
        <v>86</v>
      </c>
      <c r="L36" s="915" t="s">
        <v>85</v>
      </c>
      <c r="M36" s="763"/>
      <c r="N36" s="763"/>
    </row>
    <row r="37" spans="1:18" s="585" customFormat="1">
      <c r="A37" s="739">
        <v>3</v>
      </c>
      <c r="B37" s="600">
        <f>E37</f>
        <v>5</v>
      </c>
      <c r="C37" s="916">
        <v>32.200000000000003</v>
      </c>
      <c r="D37" s="741">
        <f>(A37*B37*C37)*IF($E$35="8 hour days",8,10)</f>
        <v>3864.0000000000005</v>
      </c>
      <c r="E37" s="917">
        <f>ROUNDUP(SUM(F37:J37),0)</f>
        <v>5</v>
      </c>
      <c r="F37" s="918">
        <f t="shared" ref="F37:J38" si="4">ROUNDUP(Q10*$P$5,1)</f>
        <v>4.5</v>
      </c>
      <c r="G37" s="918">
        <f t="shared" si="4"/>
        <v>0</v>
      </c>
      <c r="H37" s="918">
        <f t="shared" si="4"/>
        <v>0</v>
      </c>
      <c r="I37" s="918">
        <f t="shared" si="4"/>
        <v>0</v>
      </c>
      <c r="J37" s="918">
        <f t="shared" si="4"/>
        <v>0</v>
      </c>
      <c r="K37" s="919">
        <f>B35/(D37/C37)</f>
        <v>0</v>
      </c>
      <c r="L37" s="920" t="s">
        <v>585</v>
      </c>
      <c r="M37" s="763"/>
      <c r="N37" s="763"/>
    </row>
    <row r="38" spans="1:18" s="585" customFormat="1">
      <c r="A38" s="739">
        <v>3</v>
      </c>
      <c r="B38" s="600">
        <f>E38</f>
        <v>0</v>
      </c>
      <c r="C38" s="921">
        <f>C37</f>
        <v>32.200000000000003</v>
      </c>
      <c r="D38" s="741">
        <f>(A38*B38*C38)*IF($E$35="8 hour days",8,10)</f>
        <v>0</v>
      </c>
      <c r="E38" s="917">
        <f>ROUNDUP(SUM(F38:J38),0)</f>
        <v>0</v>
      </c>
      <c r="F38" s="918">
        <f t="shared" si="4"/>
        <v>0</v>
      </c>
      <c r="G38" s="918">
        <f t="shared" si="4"/>
        <v>0</v>
      </c>
      <c r="H38" s="918">
        <f t="shared" si="4"/>
        <v>0</v>
      </c>
      <c r="I38" s="918">
        <f t="shared" si="4"/>
        <v>0</v>
      </c>
      <c r="J38" s="918">
        <f t="shared" si="4"/>
        <v>0</v>
      </c>
      <c r="K38" s="919" t="e">
        <f>B34/(D38/C38)</f>
        <v>#DIV/0!</v>
      </c>
      <c r="L38" s="920" t="s">
        <v>586</v>
      </c>
      <c r="M38" s="763"/>
      <c r="N38" s="763"/>
    </row>
    <row r="39" spans="1:18" s="585" customFormat="1">
      <c r="A39" s="750" t="s">
        <v>54</v>
      </c>
      <c r="B39" s="751" t="s">
        <v>42</v>
      </c>
      <c r="C39" s="751" t="s">
        <v>43</v>
      </c>
      <c r="D39" s="752"/>
      <c r="E39" s="733"/>
      <c r="F39" s="922" t="s">
        <v>385</v>
      </c>
      <c r="G39" s="923" t="s">
        <v>391</v>
      </c>
      <c r="H39" s="924" t="s">
        <v>426</v>
      </c>
      <c r="I39" s="925" t="s">
        <v>392</v>
      </c>
      <c r="J39" s="926" t="s">
        <v>386</v>
      </c>
      <c r="K39" s="600"/>
      <c r="L39" s="600"/>
      <c r="M39" s="600"/>
      <c r="N39" s="763"/>
    </row>
    <row r="40" spans="1:18" s="585" customFormat="1">
      <c r="A40" s="739">
        <v>3</v>
      </c>
      <c r="B40" s="600">
        <v>0.5</v>
      </c>
      <c r="C40" s="921">
        <f>C37</f>
        <v>32.200000000000003</v>
      </c>
      <c r="D40" s="741">
        <f>(A40*B40*C40)*IF($E$35="8 hour days",8,10)</f>
        <v>386.40000000000003</v>
      </c>
      <c r="E40" s="758" t="s">
        <v>937</v>
      </c>
      <c r="F40" s="927">
        <f>B35/10000</f>
        <v>0</v>
      </c>
      <c r="G40" s="928" t="s">
        <v>388</v>
      </c>
      <c r="H40" s="929">
        <f>F40*6</f>
        <v>0</v>
      </c>
      <c r="I40" s="930" t="s">
        <v>388</v>
      </c>
      <c r="J40" s="931">
        <f>F40*4</f>
        <v>0</v>
      </c>
      <c r="K40" s="932" t="s">
        <v>605</v>
      </c>
      <c r="L40" s="933"/>
      <c r="M40" s="934"/>
      <c r="N40" s="935"/>
    </row>
    <row r="41" spans="1:18" s="585" customFormat="1">
      <c r="A41" s="750" t="s">
        <v>217</v>
      </c>
      <c r="B41" s="751" t="s">
        <v>42</v>
      </c>
      <c r="C41" s="751" t="s">
        <v>43</v>
      </c>
      <c r="D41" s="752"/>
      <c r="E41" s="733"/>
      <c r="F41" s="1879" t="s">
        <v>425</v>
      </c>
      <c r="G41" s="1880"/>
      <c r="H41" s="936" t="s">
        <v>387</v>
      </c>
      <c r="I41" s="937">
        <f>F40*1</f>
        <v>0</v>
      </c>
      <c r="J41" s="938" t="s">
        <v>393</v>
      </c>
      <c r="K41" s="600"/>
      <c r="L41" s="600"/>
      <c r="M41" s="600"/>
      <c r="N41" s="763"/>
    </row>
    <row r="42" spans="1:18" s="585" customFormat="1">
      <c r="A42" s="739">
        <f>IF(F29="NO",3,4)</f>
        <v>3</v>
      </c>
      <c r="B42" s="600">
        <f>(MROUND(IF(E29="no",0,IF(E18&lt;1000,0.75,IF(E18&lt;2500,1,IF(E18&lt;10000,2,IF(E18&lt;15000,3,E18/4500))))),0.5))/2</f>
        <v>0.5</v>
      </c>
      <c r="C42" s="921">
        <f>C37</f>
        <v>32.200000000000003</v>
      </c>
      <c r="D42" s="741">
        <f>(A42*B42*C42)*IF($E$35="8 hour days",8,10)</f>
        <v>386.40000000000003</v>
      </c>
      <c r="E42" s="733"/>
      <c r="H42" s="774"/>
      <c r="I42" s="939"/>
      <c r="J42" s="629"/>
      <c r="K42" s="600"/>
      <c r="L42" s="600"/>
      <c r="M42" s="600"/>
      <c r="N42" s="842" t="s">
        <v>390</v>
      </c>
      <c r="O42" s="842"/>
      <c r="P42" s="842"/>
      <c r="Q42" s="842"/>
    </row>
    <row r="43" spans="1:18" s="585" customFormat="1">
      <c r="A43" s="940" t="s">
        <v>55</v>
      </c>
      <c r="B43" s="751" t="s">
        <v>44</v>
      </c>
      <c r="C43" s="751"/>
      <c r="D43" s="752"/>
      <c r="E43" s="733"/>
      <c r="H43" s="774"/>
      <c r="I43" s="941"/>
      <c r="J43" s="629"/>
      <c r="K43" s="600"/>
      <c r="L43" s="600"/>
      <c r="M43" s="600"/>
      <c r="N43" s="943" t="s">
        <v>389</v>
      </c>
      <c r="O43" s="943"/>
      <c r="P43" s="943"/>
      <c r="Q43" s="943"/>
      <c r="R43" s="943"/>
    </row>
    <row r="44" spans="1:18" s="585" customFormat="1">
      <c r="A44" s="755">
        <f>(A37*B37)+(A38*B38)+(A40*B40)+(A42*B42)</f>
        <v>18</v>
      </c>
      <c r="B44" s="934">
        <f>Epoxy!B52</f>
        <v>0</v>
      </c>
      <c r="C44" s="756">
        <v>32.200000000000003</v>
      </c>
      <c r="D44" s="741">
        <f>(A44*B44*C44)</f>
        <v>0</v>
      </c>
      <c r="E44" s="758" t="str">
        <f>Epoxy!E52</f>
        <v>Drive Time: ?</v>
      </c>
      <c r="G44" s="705"/>
      <c r="H44" s="1143"/>
      <c r="I44" s="942">
        <f>(((D45-D44)/C37)/A37)/40</f>
        <v>1.2000517598343685</v>
      </c>
      <c r="J44" s="761" t="s">
        <v>117</v>
      </c>
      <c r="K44" s="801"/>
      <c r="N44" s="855" t="s">
        <v>448</v>
      </c>
      <c r="O44" s="855"/>
      <c r="P44" s="855"/>
      <c r="Q44" s="855"/>
      <c r="R44" s="855"/>
    </row>
    <row r="45" spans="1:18" s="585" customFormat="1">
      <c r="A45" s="771" t="s">
        <v>4</v>
      </c>
      <c r="B45" s="766"/>
      <c r="C45" s="766"/>
      <c r="D45" s="773">
        <f>ROUNDUP(SUM(D37:D44),0)</f>
        <v>4637</v>
      </c>
      <c r="E45" s="711" t="e">
        <f>D45/B35</f>
        <v>#DIV/0!</v>
      </c>
      <c r="F45" s="766" t="s">
        <v>87</v>
      </c>
      <c r="G45" s="1144"/>
      <c r="H45" s="1145"/>
      <c r="I45" s="768">
        <f>ROUNDUP(I44,0)</f>
        <v>2</v>
      </c>
      <c r="J45" s="769" t="s">
        <v>118</v>
      </c>
      <c r="K45" s="699"/>
      <c r="O45" s="855" t="s">
        <v>449</v>
      </c>
      <c r="P45" s="855"/>
      <c r="Q45" s="855"/>
      <c r="R45" s="855"/>
    </row>
    <row r="46" spans="1:18" s="585" customFormat="1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827"/>
      <c r="H46" s="1525"/>
      <c r="I46" s="1526"/>
      <c r="J46" s="1043"/>
    </row>
    <row r="47" spans="1:18" s="585" customFormat="1">
      <c r="A47" s="771" t="s">
        <v>145</v>
      </c>
      <c r="B47" s="766"/>
      <c r="C47" s="772">
        <v>0.12</v>
      </c>
      <c r="D47" s="773">
        <f>ROUNDUP((D45+D46)*C47,0)</f>
        <v>557</v>
      </c>
      <c r="E47" s="600"/>
      <c r="F47" s="600"/>
      <c r="G47" s="1146"/>
      <c r="H47" s="1146"/>
      <c r="I47" s="1585" t="s">
        <v>1052</v>
      </c>
      <c r="J47" s="1586"/>
      <c r="K47" s="1587" t="s">
        <v>1063</v>
      </c>
      <c r="L47" s="1588"/>
      <c r="N47" s="1455" t="s">
        <v>604</v>
      </c>
    </row>
    <row r="48" spans="1:18" s="585" customFormat="1">
      <c r="A48" s="600"/>
      <c r="B48" s="775"/>
      <c r="C48" s="629"/>
      <c r="D48" s="629"/>
      <c r="E48" s="629"/>
      <c r="F48" s="600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3" t="s">
        <v>62</v>
      </c>
    </row>
    <row r="49" spans="1:19" s="585" customFormat="1">
      <c r="A49" s="621" t="s">
        <v>130</v>
      </c>
      <c r="B49" s="622" t="s">
        <v>11</v>
      </c>
      <c r="C49" s="778" t="s">
        <v>1</v>
      </c>
      <c r="D49" s="12" t="s">
        <v>51</v>
      </c>
      <c r="E49" s="600"/>
      <c r="F49" s="600"/>
      <c r="G49" s="780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3" t="s">
        <v>63</v>
      </c>
    </row>
    <row r="50" spans="1:19" s="585" customFormat="1">
      <c r="A50" s="628"/>
      <c r="B50" s="774"/>
      <c r="C50" s="629"/>
      <c r="D50" s="648"/>
      <c r="E50" s="600"/>
      <c r="F50" s="600"/>
      <c r="G50" s="781"/>
      <c r="H50" s="782"/>
      <c r="I50" s="1580" t="s">
        <v>1051</v>
      </c>
      <c r="J50" s="1581">
        <v>0</v>
      </c>
      <c r="K50" s="1580" t="s">
        <v>1051</v>
      </c>
      <c r="L50" s="1581">
        <v>0</v>
      </c>
      <c r="N50" s="763" t="s">
        <v>64</v>
      </c>
    </row>
    <row r="51" spans="1:19" s="585" customFormat="1">
      <c r="A51" s="628" t="s">
        <v>75</v>
      </c>
      <c r="B51" s="774">
        <f>B35</f>
        <v>0</v>
      </c>
      <c r="C51" s="944">
        <f>(SUM(V10:W10))*1.08</f>
        <v>0.91800000000000004</v>
      </c>
      <c r="D51" s="648">
        <f>ROUNDUP(IF((B51*C51)&gt;150,(B51*C51),150),0)</f>
        <v>150</v>
      </c>
      <c r="E51" s="945" t="s">
        <v>1247</v>
      </c>
      <c r="F51" s="946"/>
      <c r="G51" s="600"/>
      <c r="H51" s="947"/>
      <c r="I51" s="864" t="s">
        <v>1070</v>
      </c>
      <c r="J51" s="1582"/>
      <c r="K51" s="864" t="s">
        <v>1072</v>
      </c>
      <c r="L51" s="1582"/>
      <c r="N51" s="763" t="s">
        <v>65</v>
      </c>
    </row>
    <row r="52" spans="1:19" s="585" customFormat="1" ht="16.2" thickBot="1">
      <c r="A52" s="628" t="s">
        <v>174</v>
      </c>
      <c r="B52" s="774"/>
      <c r="C52" s="629">
        <v>0.33</v>
      </c>
      <c r="D52" s="648">
        <f t="shared" ref="D52:D54" si="5">ROUNDUP(B52*C52,0)</f>
        <v>0</v>
      </c>
      <c r="E52" s="787" t="s">
        <v>1246</v>
      </c>
      <c r="F52" s="600"/>
      <c r="G52" s="600"/>
      <c r="H52" s="947"/>
      <c r="I52" s="1583" t="s">
        <v>1082</v>
      </c>
      <c r="J52" s="1584"/>
      <c r="K52" s="1583" t="s">
        <v>1084</v>
      </c>
      <c r="L52" s="1584"/>
      <c r="N52" s="763" t="s">
        <v>66</v>
      </c>
    </row>
    <row r="53" spans="1:19" s="585" customFormat="1" ht="16.2" thickBot="1">
      <c r="A53" s="628" t="s">
        <v>57</v>
      </c>
      <c r="B53" s="774">
        <f>ROUNDUP(B35/5000,0)</f>
        <v>0</v>
      </c>
      <c r="C53" s="629">
        <v>210</v>
      </c>
      <c r="D53" s="648">
        <f t="shared" si="5"/>
        <v>0</v>
      </c>
      <c r="E53" s="600" t="s">
        <v>58</v>
      </c>
      <c r="F53" s="600"/>
      <c r="G53" s="600"/>
      <c r="H53" s="774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3" t="s">
        <v>67</v>
      </c>
    </row>
    <row r="54" spans="1:19" s="585" customFormat="1" ht="16.2" thickBot="1">
      <c r="A54" s="628" t="s">
        <v>56</v>
      </c>
      <c r="B54" s="774" t="b">
        <f>IF(E25="yes",D35,IF(B35&gt;4999,IF(B10="reno",D35)))</f>
        <v>0</v>
      </c>
      <c r="C54" s="629">
        <v>0.25</v>
      </c>
      <c r="D54" s="648">
        <f t="shared" si="5"/>
        <v>0</v>
      </c>
      <c r="E54" s="600" t="s">
        <v>150</v>
      </c>
      <c r="F54" s="600"/>
      <c r="G54" s="600"/>
      <c r="H54" s="774"/>
      <c r="I54" s="1600"/>
      <c r="J54" s="1600" t="s">
        <v>1081</v>
      </c>
      <c r="K54" s="1594"/>
      <c r="L54" s="1072" t="s">
        <v>1080</v>
      </c>
    </row>
    <row r="55" spans="1:19" s="585" customFormat="1">
      <c r="A55" s="1565" t="s">
        <v>132</v>
      </c>
      <c r="B55" s="1566"/>
      <c r="C55" s="1567"/>
      <c r="D55" s="1568">
        <f>SUM(D50:D54)</f>
        <v>150</v>
      </c>
      <c r="E55" s="600"/>
      <c r="F55" s="600"/>
      <c r="G55" s="662"/>
      <c r="H55" s="1046" t="str">
        <f>E35</f>
        <v>8 hour days</v>
      </c>
      <c r="I55" s="714"/>
      <c r="J55" s="1561"/>
      <c r="L55" s="600"/>
    </row>
    <row r="56" spans="1:19" s="585" customFormat="1">
      <c r="A56" s="600"/>
      <c r="B56" s="775"/>
      <c r="C56" s="629"/>
      <c r="D56" s="629"/>
      <c r="E56" s="600"/>
      <c r="F56" s="600"/>
      <c r="G56" s="1409" t="s">
        <v>567</v>
      </c>
      <c r="H56" s="1410">
        <f>(((A37*B37)+(A38*B38)+(A40*B40)+(A42*B42))*IF($E$35="8 hour days",8,10))+(A44*B44)</f>
        <v>144</v>
      </c>
      <c r="I56" s="600"/>
      <c r="J56" s="605"/>
      <c r="K56" s="605"/>
    </row>
    <row r="57" spans="1:19" s="585" customFormat="1">
      <c r="A57" s="621" t="s">
        <v>131</v>
      </c>
      <c r="B57" s="622" t="s">
        <v>11</v>
      </c>
      <c r="C57" s="778" t="s">
        <v>1</v>
      </c>
      <c r="D57" s="12" t="s">
        <v>51</v>
      </c>
      <c r="E57" s="600"/>
      <c r="F57" s="600"/>
      <c r="G57" s="1048" t="s">
        <v>568</v>
      </c>
      <c r="H57" s="1389">
        <f>H56/IF($E$35="8 hour days",8,10)/H58</f>
        <v>6</v>
      </c>
      <c r="I57" s="629"/>
      <c r="J57" s="1562"/>
    </row>
    <row r="58" spans="1:19" s="585" customFormat="1">
      <c r="A58" s="628" t="s">
        <v>68</v>
      </c>
      <c r="B58" s="774" t="b">
        <f>IF(B4="No",((D45-D44)/C37)/8)</f>
        <v>0</v>
      </c>
      <c r="C58" s="629">
        <v>70</v>
      </c>
      <c r="D58" s="648">
        <f t="shared" ref="D58:D60" si="6">ROUNDUP(B58*C58,0)</f>
        <v>0</v>
      </c>
      <c r="E58" s="600"/>
      <c r="F58" s="600"/>
      <c r="G58" s="1444" t="s">
        <v>931</v>
      </c>
      <c r="H58" s="1445">
        <f>A37</f>
        <v>3</v>
      </c>
      <c r="I58" s="662"/>
      <c r="J58" s="1562"/>
      <c r="R58" s="633" t="s">
        <v>934</v>
      </c>
      <c r="S58" s="948" t="s">
        <v>933</v>
      </c>
    </row>
    <row r="59" spans="1:19" s="585" customFormat="1">
      <c r="A59" s="628" t="s">
        <v>69</v>
      </c>
      <c r="B59" s="774" t="b">
        <f>B58</f>
        <v>0</v>
      </c>
      <c r="C59" s="629">
        <v>45</v>
      </c>
      <c r="D59" s="648">
        <f t="shared" si="6"/>
        <v>0</v>
      </c>
      <c r="E59" s="795"/>
      <c r="F59" s="600"/>
      <c r="G59" s="600"/>
      <c r="H59" s="782"/>
      <c r="I59" s="629"/>
      <c r="J59" s="1562"/>
      <c r="S59" s="590" t="s">
        <v>935</v>
      </c>
    </row>
    <row r="60" spans="1:19" s="585" customFormat="1">
      <c r="A60" s="628"/>
      <c r="B60" s="774"/>
      <c r="C60" s="629"/>
      <c r="D60" s="648">
        <f t="shared" si="6"/>
        <v>0</v>
      </c>
      <c r="E60" s="600"/>
      <c r="F60" s="600"/>
      <c r="G60" s="600"/>
      <c r="H60" s="774"/>
      <c r="I60" s="714"/>
      <c r="J60" s="1561"/>
    </row>
    <row r="61" spans="1:19" s="585" customFormat="1">
      <c r="A61" s="1565" t="s">
        <v>133</v>
      </c>
      <c r="B61" s="1566"/>
      <c r="C61" s="1567"/>
      <c r="D61" s="1568">
        <f>SUM(D58:D60)</f>
        <v>0</v>
      </c>
      <c r="E61" s="600"/>
      <c r="F61" s="600"/>
      <c r="G61" s="662"/>
      <c r="H61" s="793"/>
      <c r="I61" s="714"/>
      <c r="J61" s="1561"/>
    </row>
    <row r="62" spans="1:19" s="585" customFormat="1">
      <c r="A62" s="600"/>
      <c r="B62" s="775"/>
      <c r="C62" s="629"/>
      <c r="D62" s="629"/>
      <c r="E62" s="600"/>
      <c r="F62" s="600"/>
      <c r="G62" s="600"/>
    </row>
    <row r="63" spans="1:19" s="585" customFormat="1">
      <c r="A63" s="600"/>
      <c r="B63" s="775"/>
      <c r="C63" s="629"/>
      <c r="D63" s="629"/>
      <c r="E63" s="600"/>
      <c r="F63" s="600"/>
      <c r="G63" s="600"/>
    </row>
    <row r="64" spans="1:19" s="585" customFormat="1">
      <c r="A64" s="796" t="s">
        <v>9</v>
      </c>
      <c r="B64" s="797"/>
      <c r="C64" s="798"/>
      <c r="D64" s="799">
        <f>ROUNDUP(SUM(D33,D45:D47,D55,D61),0)</f>
        <v>5344</v>
      </c>
      <c r="E64" s="800" t="e">
        <f>D64/B35</f>
        <v>#DIV/0!</v>
      </c>
      <c r="F64" s="801" t="s">
        <v>377</v>
      </c>
      <c r="G64" s="600"/>
    </row>
    <row r="65" spans="1:15" s="585" customFormat="1">
      <c r="A65" s="600"/>
      <c r="B65" s="775"/>
      <c r="C65" s="629"/>
      <c r="D65" s="629"/>
      <c r="E65" s="600"/>
      <c r="F65" s="600"/>
      <c r="G65" s="600"/>
    </row>
    <row r="66" spans="1:15" s="585" customFormat="1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5344</v>
      </c>
      <c r="G66" s="811" t="s">
        <v>428</v>
      </c>
      <c r="H66" s="812"/>
      <c r="I66" s="813" t="e">
        <f>F66/C81</f>
        <v>#DIV/0!</v>
      </c>
    </row>
    <row r="67" spans="1:15" s="585" customFormat="1">
      <c r="A67" s="817" t="s">
        <v>215</v>
      </c>
      <c r="B67" s="122">
        <f>IF(D64&lt;6500,0.52,IF(D64&lt;15000,0.45,IF(D64&lt;22500,0.35,IF(D64&lt;32500,0.32,0.3))))</f>
        <v>0.52</v>
      </c>
      <c r="C67" s="629"/>
      <c r="D67" s="9">
        <f>ROUNDUP(SUM(D64,D74,D77)/(1-B67),0)-ROUNDUP(SUM(D64,D74,D77),0)</f>
        <v>5790</v>
      </c>
      <c r="E67" s="600"/>
      <c r="F67" s="814">
        <f>(((A37*B37)+(A38*B38)+(A40*B40)+(A42*B42))*IF($E$35="8 hour days",8,10))+(A44*B44)</f>
        <v>144</v>
      </c>
      <c r="G67" s="815" t="s">
        <v>505</v>
      </c>
      <c r="H67" s="815"/>
    </row>
    <row r="68" spans="1:15" s="585" customFormat="1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965</v>
      </c>
      <c r="G68" s="1447" t="s">
        <v>1036</v>
      </c>
      <c r="H68" s="809" t="str">
        <f>E35</f>
        <v>8 hour days</v>
      </c>
    </row>
    <row r="69" spans="1:15" s="585" customFormat="1">
      <c r="A69" s="628" t="s">
        <v>724</v>
      </c>
      <c r="B69" s="819">
        <v>2.7E-2</v>
      </c>
      <c r="C69" s="803"/>
      <c r="D69" s="648">
        <f>ROUNDUP(SUM(D64:D68,D71,D74,D77)*B69,0)</f>
        <v>301</v>
      </c>
      <c r="E69" s="600"/>
    </row>
    <row r="70" spans="1:15" s="585" customFormat="1">
      <c r="A70" s="628" t="s">
        <v>135</v>
      </c>
      <c r="B70" s="819">
        <v>0.16</v>
      </c>
      <c r="C70" s="803"/>
      <c r="D70" s="648">
        <f>(ROUNDUP(SUM(D64:D69,D71,D74,D77)*B70,0))+0</f>
        <v>1830</v>
      </c>
      <c r="E70" s="600"/>
      <c r="F70" s="600"/>
      <c r="G70" s="775"/>
    </row>
    <row r="71" spans="1:15" s="585" customFormat="1">
      <c r="A71" s="820" t="s">
        <v>210</v>
      </c>
      <c r="B71" s="1575" t="s">
        <v>1060</v>
      </c>
      <c r="C71" s="1563"/>
      <c r="D71" s="1574">
        <v>0</v>
      </c>
      <c r="E71" s="600"/>
      <c r="I71" s="808"/>
      <c r="J71" s="809"/>
    </row>
    <row r="72" spans="1:15" s="585" customFormat="1">
      <c r="A72" s="600"/>
      <c r="B72" s="775"/>
      <c r="C72" s="629"/>
      <c r="D72" s="629"/>
      <c r="E72" s="600"/>
      <c r="I72" s="808"/>
    </row>
    <row r="73" spans="1:15" s="585" customFormat="1">
      <c r="A73" s="621" t="s">
        <v>152</v>
      </c>
      <c r="B73" s="622" t="s">
        <v>7</v>
      </c>
      <c r="C73" s="778"/>
      <c r="D73" s="12" t="s">
        <v>51</v>
      </c>
      <c r="E73" s="600"/>
      <c r="J73" s="1646">
        <f>(J76-J74-J75)</f>
        <v>13265</v>
      </c>
      <c r="K73" s="590"/>
    </row>
    <row r="74" spans="1:15" s="585" customFormat="1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J74" s="1646"/>
      <c r="K74" s="585" t="s">
        <v>1118</v>
      </c>
    </row>
    <row r="75" spans="1:15" s="585" customFormat="1">
      <c r="A75" s="804" t="s">
        <v>0</v>
      </c>
      <c r="B75" s="805">
        <f>IF(D6="yes",0.1,0)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J75" s="1647"/>
      <c r="K75" s="784" t="s">
        <v>1119</v>
      </c>
    </row>
    <row r="76" spans="1:15" s="585" customFormat="1">
      <c r="A76" s="1565" t="s">
        <v>1054</v>
      </c>
      <c r="B76" s="1566"/>
      <c r="C76" s="1567"/>
      <c r="D76" s="1568">
        <f>SUM(D74:D75)</f>
        <v>0</v>
      </c>
      <c r="E76" s="758"/>
      <c r="J76" s="1646">
        <f>D82</f>
        <v>13265</v>
      </c>
      <c r="K76" s="590" t="s">
        <v>1117</v>
      </c>
    </row>
    <row r="77" spans="1:15" s="585" customFormat="1">
      <c r="A77" s="628" t="s">
        <v>1055</v>
      </c>
      <c r="B77" s="802"/>
      <c r="C77" s="629"/>
      <c r="D77" s="648">
        <f>ROUNDUP(B77*C77,0)</f>
        <v>0</v>
      </c>
      <c r="E77" s="600"/>
      <c r="F77" s="600"/>
      <c r="G77" s="600"/>
    </row>
    <row r="78" spans="1:15" s="585" customFormat="1">
      <c r="A78" s="635" t="s">
        <v>20</v>
      </c>
      <c r="B78" s="806">
        <v>0</v>
      </c>
      <c r="C78" s="636"/>
      <c r="D78" s="807">
        <f>ROUNDUP(SUM(D64,D67,D68,D69:D71,D74,D75:D77)*B78,0)</f>
        <v>0</v>
      </c>
      <c r="E78" s="600"/>
      <c r="F78" s="600"/>
      <c r="G78" s="600"/>
      <c r="I78" s="600"/>
      <c r="J78" s="949">
        <f>C81*N78</f>
        <v>0</v>
      </c>
      <c r="K78" s="950" t="s">
        <v>613</v>
      </c>
      <c r="L78" s="951"/>
      <c r="M78" s="952"/>
      <c r="N78" s="953">
        <v>-2</v>
      </c>
      <c r="O78" s="954" t="s">
        <v>612</v>
      </c>
    </row>
    <row r="79" spans="1:15" s="585" customFormat="1">
      <c r="A79" s="789" t="s">
        <v>1061</v>
      </c>
      <c r="B79" s="790"/>
      <c r="C79" s="791"/>
      <c r="D79" s="792">
        <f>ROUNDUP(SUM(D77:D78),0)</f>
        <v>0</v>
      </c>
      <c r="E79" s="600"/>
      <c r="F79" s="600"/>
      <c r="I79" s="823"/>
      <c r="J79" s="955"/>
      <c r="K79" s="956" t="s">
        <v>1138</v>
      </c>
      <c r="L79" s="703">
        <f>D82+J78</f>
        <v>13265</v>
      </c>
      <c r="M79" s="704" t="e">
        <f>L79/C81</f>
        <v>#DIV/0!</v>
      </c>
    </row>
    <row r="80" spans="1:15" s="585" customFormat="1">
      <c r="A80" s="600"/>
      <c r="B80" s="821"/>
      <c r="C80" s="629"/>
      <c r="D80" s="629"/>
      <c r="E80" s="600"/>
      <c r="F80" s="759" t="s">
        <v>70</v>
      </c>
      <c r="G80" s="822" t="s">
        <v>378</v>
      </c>
      <c r="H80" s="1618" t="s">
        <v>1098</v>
      </c>
      <c r="I80" s="823"/>
      <c r="J80" s="1465"/>
      <c r="K80" s="1433" t="s">
        <v>211</v>
      </c>
      <c r="L80" s="1167"/>
    </row>
    <row r="81" spans="1:28" s="585" customFormat="1" ht="16.2" thickBot="1">
      <c r="A81" s="600"/>
      <c r="B81" s="825" t="s">
        <v>45</v>
      </c>
      <c r="C81" s="826">
        <f>B35</f>
        <v>0</v>
      </c>
      <c r="D81" s="629"/>
      <c r="E81" s="705" t="s">
        <v>18</v>
      </c>
      <c r="F81" s="1623">
        <f>SUM(D67:D68,D71)</f>
        <v>5790</v>
      </c>
      <c r="G81" s="1622">
        <f>F81/F67</f>
        <v>40.208333333333336</v>
      </c>
      <c r="H81" s="1619">
        <f>SUM(D67:D71)</f>
        <v>7921</v>
      </c>
      <c r="J81" s="824" t="s">
        <v>212</v>
      </c>
      <c r="K81" s="822" t="s">
        <v>213</v>
      </c>
      <c r="L81" s="822" t="s">
        <v>214</v>
      </c>
      <c r="M81" s="600"/>
      <c r="N81" s="600"/>
    </row>
    <row r="82" spans="1:28" s="585" customFormat="1" ht="16.2" thickBot="1">
      <c r="A82" s="829" t="s">
        <v>6</v>
      </c>
      <c r="B82" s="830"/>
      <c r="C82" s="831" t="e">
        <f>D82/C81</f>
        <v>#DIV/0!</v>
      </c>
      <c r="D82" s="832">
        <f>SUM(D64,D67:D71,D76,D79)</f>
        <v>13265</v>
      </c>
      <c r="E82" s="629">
        <f>D82-(D74+D75)</f>
        <v>13265</v>
      </c>
      <c r="F82" s="1624">
        <f>F81/(D82)</f>
        <v>0.43648699585375045</v>
      </c>
      <c r="G82" s="1622">
        <f>C37</f>
        <v>32.200000000000003</v>
      </c>
      <c r="H82" s="1620">
        <f>H81/D82</f>
        <v>0.59713531850735013</v>
      </c>
      <c r="I82" s="1625" t="s">
        <v>1101</v>
      </c>
      <c r="J82" s="828">
        <f>(H33+D55)/D82</f>
        <v>1.1307953260459858E-2</v>
      </c>
      <c r="K82" s="828">
        <f>(SUM(D45:D47)/D82)</f>
        <v>0.39155672823218995</v>
      </c>
      <c r="L82" s="828">
        <f>D61/D82</f>
        <v>0</v>
      </c>
      <c r="M82" s="600"/>
      <c r="N82" s="600"/>
      <c r="O82" s="600"/>
    </row>
    <row r="83" spans="1:28" s="585" customFormat="1">
      <c r="A83" s="834"/>
      <c r="B83" s="600"/>
      <c r="C83" s="629" t="e">
        <f>D83/C81</f>
        <v>#DIV/0!</v>
      </c>
      <c r="D83" s="629">
        <f>D82-D75</f>
        <v>13265</v>
      </c>
      <c r="E83" s="753" t="s">
        <v>147</v>
      </c>
      <c r="G83" s="1621" t="s">
        <v>1100</v>
      </c>
      <c r="H83" s="590"/>
      <c r="I83" s="1632" t="s">
        <v>1105</v>
      </c>
      <c r="J83" s="590"/>
      <c r="L83" s="600"/>
      <c r="M83" s="600"/>
      <c r="N83" s="600"/>
      <c r="O83" s="600"/>
    </row>
    <row r="84" spans="1:28" s="585" customFormat="1">
      <c r="A84" s="834"/>
      <c r="B84" s="600"/>
      <c r="C84" s="836"/>
      <c r="D84" s="957"/>
      <c r="E84" s="753"/>
      <c r="J84" s="1098">
        <f>SUM(D33,D55)</f>
        <v>150</v>
      </c>
      <c r="K84" s="1099">
        <f>J84/J87</f>
        <v>1.1307953260459858E-2</v>
      </c>
      <c r="L84" s="1100" t="s">
        <v>674</v>
      </c>
      <c r="M84" s="759" t="s">
        <v>675</v>
      </c>
      <c r="N84" s="600"/>
      <c r="O84" s="600"/>
    </row>
    <row r="85" spans="1:28" s="585" customFormat="1">
      <c r="A85" s="834"/>
      <c r="B85" s="600"/>
      <c r="C85" s="836"/>
      <c r="D85" s="957"/>
      <c r="E85" s="753"/>
      <c r="J85" s="1101">
        <f>SUM(D45:D47,D61)</f>
        <v>5194</v>
      </c>
      <c r="K85" s="1102">
        <f>J85/J87</f>
        <v>0.39155672823218995</v>
      </c>
      <c r="L85" s="1103" t="s">
        <v>676</v>
      </c>
      <c r="M85" s="600"/>
      <c r="N85" s="600"/>
      <c r="O85" s="600"/>
      <c r="P85" s="600"/>
      <c r="Q85" s="600"/>
    </row>
    <row r="86" spans="1:28" s="585" customFormat="1">
      <c r="A86" s="600"/>
      <c r="B86" s="600"/>
      <c r="C86" s="958"/>
      <c r="D86" s="958"/>
      <c r="E86" s="753"/>
      <c r="J86" s="1104">
        <f>SUM(D67:D71,D76,D79)</f>
        <v>7921</v>
      </c>
      <c r="K86" s="1105">
        <f>J86/J87</f>
        <v>0.59713531850735013</v>
      </c>
      <c r="L86" s="1106" t="s">
        <v>678</v>
      </c>
      <c r="M86" s="600"/>
      <c r="N86" s="600"/>
      <c r="O86" s="600"/>
      <c r="P86" s="600"/>
      <c r="Q86" s="600"/>
    </row>
    <row r="87" spans="1:28" s="585" customFormat="1">
      <c r="A87" s="600"/>
      <c r="B87" s="600"/>
      <c r="C87" s="958"/>
      <c r="D87" s="958"/>
      <c r="E87" s="753"/>
      <c r="I87" s="593"/>
      <c r="J87" s="1104">
        <f>SUM(J84:J86)</f>
        <v>13265</v>
      </c>
      <c r="K87" s="1107">
        <f>SUM(K84:K86)</f>
        <v>1</v>
      </c>
      <c r="L87" s="1106" t="s">
        <v>2</v>
      </c>
      <c r="N87" s="594"/>
      <c r="O87" s="594"/>
      <c r="P87" s="600"/>
      <c r="Q87" s="600"/>
    </row>
    <row r="88" spans="1:28" s="585" customFormat="1">
      <c r="A88" s="959"/>
      <c r="B88" s="959"/>
      <c r="C88" s="960"/>
      <c r="D88" s="960"/>
      <c r="E88" s="593"/>
      <c r="F88" s="593"/>
      <c r="G88" s="593"/>
      <c r="H88" s="593"/>
      <c r="I88" s="593"/>
      <c r="J88" s="962"/>
      <c r="K88" s="962"/>
      <c r="L88" s="962"/>
      <c r="M88" s="594"/>
      <c r="N88" s="594"/>
      <c r="O88" s="594"/>
      <c r="P88" s="600"/>
      <c r="Q88" s="600"/>
    </row>
    <row r="89" spans="1:28" s="585" customFormat="1">
      <c r="A89" s="959"/>
      <c r="B89" s="961"/>
      <c r="C89" s="960"/>
      <c r="D89" s="960"/>
      <c r="E89" s="593"/>
      <c r="F89" s="593"/>
      <c r="G89" s="593"/>
      <c r="H89" s="593"/>
      <c r="I89" s="593"/>
      <c r="J89" s="593"/>
      <c r="K89" s="593"/>
      <c r="L89" s="593"/>
      <c r="M89" s="594"/>
      <c r="N89" s="594"/>
      <c r="O89" s="594"/>
      <c r="P89" s="600"/>
      <c r="Q89" s="600"/>
    </row>
    <row r="90" spans="1:28" s="585" customFormat="1">
      <c r="A90" s="593"/>
      <c r="B90" s="593"/>
      <c r="C90" s="605"/>
      <c r="D90" s="605"/>
      <c r="E90" s="593"/>
      <c r="F90" s="593"/>
      <c r="G90" s="963"/>
      <c r="H90" s="593"/>
      <c r="I90" s="593"/>
      <c r="J90" s="962"/>
      <c r="K90" s="962"/>
      <c r="L90" s="962"/>
      <c r="M90" s="594"/>
      <c r="N90" s="594"/>
      <c r="O90" s="594"/>
      <c r="P90" s="600"/>
      <c r="Q90" s="600"/>
      <c r="AA90" s="594"/>
      <c r="AB90" s="594"/>
    </row>
    <row r="91" spans="1:28" s="585" customFormat="1">
      <c r="A91" s="603"/>
      <c r="B91" s="859"/>
      <c r="C91" s="603"/>
      <c r="D91" s="859"/>
      <c r="E91" s="594"/>
      <c r="F91" s="594"/>
      <c r="G91" s="593"/>
      <c r="H91" s="964"/>
      <c r="I91" s="593"/>
      <c r="J91" s="605"/>
      <c r="K91" s="593"/>
      <c r="L91" s="593"/>
      <c r="M91" s="594"/>
      <c r="N91" s="594"/>
      <c r="O91" s="594"/>
      <c r="P91" s="600"/>
      <c r="Q91" s="600"/>
      <c r="AA91" s="594"/>
      <c r="AB91" s="594"/>
    </row>
    <row r="92" spans="1:28" s="585" customFormat="1">
      <c r="A92" s="593"/>
      <c r="B92" s="593"/>
      <c r="C92" s="593"/>
      <c r="D92" s="593"/>
      <c r="E92" s="962"/>
      <c r="F92" s="594"/>
      <c r="G92" s="593"/>
      <c r="H92" s="593"/>
      <c r="I92" s="605"/>
      <c r="J92" s="605"/>
      <c r="K92" s="593"/>
      <c r="L92" s="593"/>
      <c r="M92" s="594"/>
      <c r="N92" s="594"/>
      <c r="O92" s="594"/>
      <c r="P92" s="600"/>
      <c r="Q92" s="600"/>
      <c r="AA92" s="594"/>
      <c r="AB92" s="594"/>
    </row>
    <row r="93" spans="1:28" s="594" customFormat="1">
      <c r="A93" s="593"/>
      <c r="B93" s="593"/>
      <c r="C93" s="965"/>
      <c r="D93" s="962"/>
      <c r="E93" s="962"/>
      <c r="G93" s="593"/>
      <c r="H93" s="782"/>
      <c r="I93" s="605"/>
      <c r="J93" s="605"/>
      <c r="K93" s="593"/>
      <c r="L93" s="593"/>
      <c r="P93" s="593"/>
      <c r="Q93" s="593"/>
    </row>
    <row r="94" spans="1:28" s="594" customFormat="1">
      <c r="A94" s="593"/>
      <c r="B94" s="593"/>
      <c r="C94" s="593"/>
      <c r="D94" s="593"/>
      <c r="E94" s="593"/>
      <c r="G94" s="593"/>
      <c r="H94" s="782"/>
      <c r="I94" s="605"/>
      <c r="J94" s="605"/>
      <c r="K94" s="593"/>
      <c r="L94" s="593"/>
    </row>
    <row r="95" spans="1:28" s="594" customFormat="1">
      <c r="A95" s="593"/>
      <c r="B95" s="593"/>
      <c r="C95" s="965"/>
      <c r="D95" s="962"/>
      <c r="E95" s="962"/>
      <c r="G95" s="593"/>
      <c r="H95" s="782"/>
      <c r="I95" s="605"/>
      <c r="J95" s="605"/>
      <c r="K95" s="593"/>
      <c r="L95" s="593"/>
    </row>
    <row r="96" spans="1:28" s="594" customFormat="1">
      <c r="A96" s="856"/>
      <c r="B96" s="593"/>
      <c r="C96" s="593"/>
      <c r="D96" s="593"/>
      <c r="E96" s="593"/>
      <c r="G96" s="593"/>
      <c r="H96" s="782"/>
      <c r="I96" s="605"/>
      <c r="J96" s="605"/>
      <c r="K96" s="593"/>
      <c r="L96" s="593"/>
    </row>
    <row r="97" spans="1:12" s="594" customFormat="1">
      <c r="A97" s="593"/>
      <c r="B97" s="593"/>
      <c r="C97" s="965"/>
      <c r="D97" s="962"/>
      <c r="E97" s="962"/>
      <c r="G97" s="593"/>
      <c r="H97" s="782"/>
      <c r="I97" s="960"/>
      <c r="J97" s="960"/>
    </row>
    <row r="98" spans="1:12" s="594" customFormat="1">
      <c r="A98" s="839"/>
      <c r="B98" s="593"/>
      <c r="C98" s="593"/>
      <c r="D98" s="966"/>
      <c r="E98" s="966"/>
      <c r="F98" s="593"/>
      <c r="G98" s="959"/>
      <c r="H98" s="959"/>
    </row>
    <row r="99" spans="1:12" s="594" customFormat="1">
      <c r="A99" s="840"/>
      <c r="B99" s="593"/>
      <c r="C99" s="605"/>
      <c r="D99" s="605"/>
      <c r="E99" s="605"/>
      <c r="F99" s="593"/>
      <c r="G99" s="593"/>
      <c r="H99" s="593"/>
      <c r="K99" s="593"/>
      <c r="L99" s="593"/>
    </row>
    <row r="100" spans="1:12" s="594" customFormat="1">
      <c r="A100" s="842"/>
      <c r="B100" s="593"/>
      <c r="C100" s="593"/>
      <c r="D100" s="605"/>
      <c r="E100" s="593"/>
      <c r="F100" s="593"/>
      <c r="G100" s="593"/>
      <c r="H100" s="593"/>
      <c r="I100" s="593"/>
      <c r="J100" s="605"/>
      <c r="K100" s="593"/>
      <c r="L100" s="593"/>
    </row>
    <row r="101" spans="1:12" s="594" customFormat="1">
      <c r="A101" s="844"/>
      <c r="B101" s="782"/>
      <c r="C101" s="605"/>
      <c r="D101" s="605"/>
      <c r="E101" s="593"/>
      <c r="F101" s="593"/>
      <c r="G101" s="859"/>
      <c r="H101" s="782"/>
      <c r="I101" s="605"/>
      <c r="J101" s="605"/>
      <c r="K101" s="593"/>
      <c r="L101" s="593"/>
    </row>
    <row r="102" spans="1:12" s="594" customFormat="1">
      <c r="A102" s="845"/>
      <c r="B102" s="782"/>
      <c r="C102" s="605"/>
      <c r="D102" s="605"/>
      <c r="E102" s="593"/>
      <c r="F102" s="593"/>
      <c r="G102" s="593"/>
      <c r="H102" s="782"/>
      <c r="I102" s="605"/>
      <c r="J102" s="605"/>
      <c r="K102" s="593"/>
      <c r="L102" s="593"/>
    </row>
    <row r="103" spans="1:12" s="594" customFormat="1">
      <c r="A103" s="846"/>
      <c r="B103" s="782"/>
      <c r="C103" s="605"/>
      <c r="D103" s="605"/>
      <c r="E103" s="593"/>
      <c r="F103" s="593"/>
      <c r="G103" s="593"/>
      <c r="H103" s="782"/>
      <c r="I103" s="605"/>
      <c r="J103" s="605"/>
      <c r="K103" s="593"/>
      <c r="L103" s="593"/>
    </row>
    <row r="104" spans="1:12" s="594" customFormat="1">
      <c r="A104" s="967"/>
      <c r="B104" s="782"/>
      <c r="C104" s="605"/>
      <c r="D104" s="605"/>
      <c r="E104" s="856"/>
      <c r="F104" s="593"/>
      <c r="G104" s="593"/>
      <c r="H104" s="782"/>
      <c r="I104" s="605"/>
      <c r="J104" s="605"/>
      <c r="K104" s="593"/>
      <c r="L104" s="593"/>
    </row>
    <row r="105" spans="1:12" s="64" customFormat="1">
      <c r="A105" s="968"/>
      <c r="B105" s="782"/>
      <c r="C105" s="605"/>
      <c r="D105" s="605"/>
      <c r="E105" s="856"/>
      <c r="F105" s="593"/>
      <c r="G105" s="593"/>
      <c r="H105" s="782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104"/>
      <c r="J109" s="104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53"/>
      <c r="K110" s="106"/>
      <c r="L110" s="106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  <c r="I123" s="114"/>
    </row>
    <row r="124" spans="1:9" s="64" customFormat="1">
      <c r="A124" s="53"/>
      <c r="B124" s="113"/>
      <c r="C124" s="79"/>
      <c r="D124" s="79"/>
      <c r="E124" s="53"/>
      <c r="F124" s="53"/>
      <c r="G124" s="53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>
      <c r="I129" s="53"/>
      <c r="J129" s="66"/>
      <c r="K129" s="66"/>
      <c r="L129" s="66"/>
      <c r="M129" s="53"/>
      <c r="N129" s="53"/>
    </row>
    <row r="130" spans="1:17" s="64" customFormat="1">
      <c r="A130" s="53"/>
      <c r="B130" s="53"/>
      <c r="C130" s="53"/>
      <c r="D130" s="53"/>
      <c r="G130" s="53"/>
      <c r="H130" s="53"/>
      <c r="I130" s="66"/>
      <c r="J130" s="66"/>
      <c r="K130" s="66"/>
      <c r="L130" s="66"/>
      <c r="M130" s="53"/>
      <c r="N130" s="53"/>
      <c r="O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117"/>
      <c r="J131" s="66"/>
      <c r="K131" s="66"/>
      <c r="L131" s="66"/>
      <c r="M131" s="53"/>
      <c r="N131" s="79"/>
      <c r="O131" s="79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L132" s="66"/>
      <c r="M132" s="53"/>
      <c r="N132" s="102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L133" s="53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79"/>
      <c r="N134" s="53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53"/>
      <c r="N135" s="53"/>
      <c r="O135" s="53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  <c r="P137" s="53"/>
      <c r="Q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79"/>
      <c r="Q138" s="79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I142" s="53"/>
      <c r="J142" s="53"/>
      <c r="K142" s="53"/>
      <c r="L142" s="53"/>
      <c r="P142" s="53"/>
      <c r="Q142" s="53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106"/>
      <c r="K143" s="106"/>
      <c r="L143" s="106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53"/>
      <c r="K144" s="53"/>
      <c r="L144" s="53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106"/>
      <c r="K145" s="106"/>
      <c r="L145" s="106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79"/>
      <c r="K146" s="53"/>
      <c r="L146" s="53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79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104"/>
      <c r="J152" s="104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  <c r="K154" s="53"/>
      <c r="L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I155" s="53"/>
      <c r="J155" s="79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79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104"/>
      <c r="J164" s="104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53"/>
      <c r="K165" s="106"/>
      <c r="L165" s="106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  <c r="I179" s="114"/>
    </row>
    <row r="180" spans="1:15" s="64" customFormat="1">
      <c r="A180" s="53"/>
      <c r="B180" s="113"/>
      <c r="C180" s="79"/>
      <c r="D180" s="79"/>
      <c r="E180" s="53"/>
      <c r="F180" s="53"/>
      <c r="G180" s="53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>
      <c r="I185" s="53"/>
      <c r="J185" s="66"/>
      <c r="K185" s="66"/>
      <c r="L185" s="66"/>
      <c r="M185" s="53"/>
      <c r="N185" s="53"/>
    </row>
    <row r="186" spans="1:15" s="64" customFormat="1">
      <c r="A186" s="53"/>
      <c r="B186" s="53"/>
      <c r="C186" s="53"/>
      <c r="D186" s="53"/>
      <c r="G186" s="53"/>
      <c r="H186" s="53"/>
      <c r="I186" s="66"/>
      <c r="J186" s="66"/>
      <c r="K186" s="66"/>
      <c r="L186" s="66"/>
      <c r="M186" s="53"/>
      <c r="N186" s="53"/>
      <c r="O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117"/>
      <c r="J187" s="66"/>
      <c r="K187" s="66"/>
      <c r="L187" s="66"/>
      <c r="M187" s="53"/>
      <c r="N187" s="79"/>
      <c r="O187" s="79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L188" s="66"/>
      <c r="M188" s="53"/>
      <c r="N188" s="102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L189" s="53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79"/>
      <c r="N190" s="53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53"/>
      <c r="N191" s="53"/>
      <c r="O191" s="53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  <c r="P193" s="53"/>
      <c r="Q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79"/>
      <c r="Q194" s="79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I198" s="53"/>
      <c r="J198" s="53"/>
      <c r="K198" s="53"/>
      <c r="L198" s="53"/>
      <c r="P198" s="53"/>
      <c r="Q198" s="53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106"/>
      <c r="K199" s="106"/>
      <c r="L199" s="106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53"/>
      <c r="K200" s="53"/>
      <c r="L200" s="53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106"/>
      <c r="K201" s="106"/>
      <c r="L201" s="106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79"/>
      <c r="K202" s="53"/>
      <c r="L202" s="53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79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104"/>
      <c r="J208" s="104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  <c r="K210" s="53"/>
      <c r="L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I211" s="53"/>
      <c r="J211" s="79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79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104"/>
      <c r="J220" s="104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53"/>
      <c r="K221" s="106"/>
      <c r="L221" s="106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  <c r="I235" s="114"/>
    </row>
    <row r="236" spans="1:9" s="64" customFormat="1">
      <c r="A236" s="53"/>
      <c r="B236" s="113"/>
      <c r="C236" s="79"/>
      <c r="D236" s="79"/>
      <c r="E236" s="53"/>
      <c r="F236" s="53"/>
      <c r="G236" s="53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  <c r="I241" s="53"/>
      <c r="J241" s="66"/>
      <c r="K241" s="66"/>
      <c r="L241" s="66"/>
      <c r="M241" s="53"/>
      <c r="N241" s="53"/>
    </row>
    <row r="242" spans="1:17" s="64" customFormat="1">
      <c r="A242" s="53"/>
      <c r="B242" s="53"/>
      <c r="C242" s="53"/>
      <c r="D242" s="53"/>
      <c r="G242" s="53"/>
      <c r="H242" s="53"/>
      <c r="I242" s="66"/>
      <c r="J242" s="66"/>
      <c r="K242" s="66"/>
      <c r="L242" s="66"/>
      <c r="M242" s="53"/>
      <c r="N242" s="53"/>
      <c r="O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117"/>
      <c r="J243" s="66"/>
      <c r="K243" s="66"/>
      <c r="L243" s="66"/>
      <c r="M243" s="53"/>
      <c r="N243" s="79"/>
      <c r="O243" s="79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L244" s="66"/>
      <c r="M244" s="53"/>
      <c r="N244" s="102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L245" s="53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79"/>
      <c r="N246" s="53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53"/>
      <c r="N247" s="53"/>
      <c r="O247" s="53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  <c r="P249" s="53"/>
      <c r="Q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79"/>
      <c r="Q250" s="79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I254" s="53"/>
      <c r="J254" s="53"/>
      <c r="K254" s="53"/>
      <c r="L254" s="53"/>
      <c r="P254" s="53"/>
      <c r="Q254" s="53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106"/>
      <c r="K255" s="106"/>
      <c r="L255" s="106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53"/>
      <c r="K256" s="53"/>
      <c r="L256" s="53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106"/>
      <c r="K257" s="106"/>
      <c r="L257" s="106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79"/>
      <c r="K258" s="53"/>
      <c r="L258" s="53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79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104"/>
      <c r="J264" s="104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  <c r="K266" s="53"/>
      <c r="L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I267" s="53"/>
      <c r="J267" s="79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79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104"/>
      <c r="J276" s="104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53"/>
      <c r="K277" s="106"/>
      <c r="L277" s="106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  <c r="I291" s="114"/>
    </row>
    <row r="292" spans="1:15" s="64" customFormat="1">
      <c r="A292" s="53"/>
      <c r="B292" s="113"/>
      <c r="C292" s="79"/>
      <c r="D292" s="79"/>
      <c r="E292" s="53"/>
      <c r="F292" s="53"/>
      <c r="G292" s="53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  <c r="I297" s="53"/>
      <c r="J297" s="66"/>
      <c r="K297" s="66"/>
      <c r="L297" s="66"/>
      <c r="M297" s="53"/>
      <c r="N297" s="53"/>
    </row>
    <row r="298" spans="1:15" s="64" customFormat="1">
      <c r="A298" s="53"/>
      <c r="B298" s="53"/>
      <c r="C298" s="53"/>
      <c r="D298" s="53"/>
      <c r="G298" s="53"/>
      <c r="H298" s="53"/>
      <c r="I298" s="66"/>
      <c r="J298" s="66"/>
      <c r="K298" s="66"/>
      <c r="L298" s="66"/>
      <c r="M298" s="53"/>
      <c r="N298" s="53"/>
      <c r="O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117"/>
      <c r="J299" s="66"/>
      <c r="K299" s="66"/>
      <c r="L299" s="66"/>
      <c r="M299" s="53"/>
      <c r="N299" s="79"/>
      <c r="O299" s="79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L300" s="66"/>
      <c r="M300" s="53"/>
      <c r="N300" s="102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L301" s="53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79"/>
      <c r="N302" s="53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53"/>
      <c r="N303" s="53"/>
      <c r="O303" s="53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  <c r="P305" s="53"/>
      <c r="Q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79"/>
      <c r="Q306" s="79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I310" s="53"/>
      <c r="J310" s="53"/>
      <c r="K310" s="53"/>
      <c r="L310" s="53"/>
      <c r="P310" s="53"/>
      <c r="Q310" s="53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106"/>
      <c r="K311" s="106"/>
      <c r="L311" s="106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53"/>
      <c r="K312" s="53"/>
      <c r="L312" s="53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106"/>
      <c r="K313" s="106"/>
      <c r="L313" s="106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79"/>
      <c r="K314" s="53"/>
      <c r="L314" s="53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79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104"/>
      <c r="J320" s="104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  <c r="K322" s="53"/>
      <c r="L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I323" s="53"/>
      <c r="J323" s="79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79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104"/>
      <c r="J332" s="104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53"/>
      <c r="K333" s="106"/>
      <c r="L333" s="106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  <c r="I347" s="114"/>
    </row>
    <row r="348" spans="1:9" s="64" customFormat="1">
      <c r="A348" s="53"/>
      <c r="B348" s="113"/>
      <c r="C348" s="79"/>
      <c r="D348" s="79"/>
      <c r="E348" s="53"/>
      <c r="F348" s="53"/>
      <c r="G348" s="53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  <c r="I353" s="53"/>
      <c r="J353" s="66"/>
      <c r="K353" s="66"/>
      <c r="L353" s="66"/>
      <c r="M353" s="53"/>
      <c r="N353" s="53"/>
    </row>
    <row r="354" spans="1:17" s="64" customFormat="1">
      <c r="A354" s="53"/>
      <c r="B354" s="53"/>
      <c r="C354" s="53"/>
      <c r="D354" s="53"/>
      <c r="G354" s="53"/>
      <c r="H354" s="53"/>
      <c r="I354" s="66"/>
      <c r="J354" s="66"/>
      <c r="K354" s="66"/>
      <c r="L354" s="66"/>
      <c r="M354" s="53"/>
      <c r="N354" s="53"/>
      <c r="O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117"/>
      <c r="J355" s="66"/>
      <c r="K355" s="66"/>
      <c r="L355" s="66"/>
      <c r="M355" s="53"/>
      <c r="N355" s="79"/>
      <c r="O355" s="79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L356" s="66"/>
      <c r="M356" s="53"/>
      <c r="N356" s="102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L357" s="53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79"/>
      <c r="N358" s="53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53"/>
      <c r="N359" s="53"/>
      <c r="O359" s="53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  <c r="P361" s="53"/>
      <c r="Q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79"/>
      <c r="Q362" s="79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I366" s="53"/>
      <c r="J366" s="53"/>
      <c r="K366" s="53"/>
      <c r="L366" s="53"/>
      <c r="P366" s="53"/>
      <c r="Q366" s="53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106"/>
      <c r="K367" s="106"/>
      <c r="L367" s="106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53"/>
      <c r="K368" s="53"/>
      <c r="L368" s="53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106"/>
      <c r="K369" s="106"/>
      <c r="L369" s="106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79"/>
      <c r="K370" s="53"/>
      <c r="L370" s="53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79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104"/>
      <c r="J376" s="104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  <c r="K378" s="53"/>
      <c r="L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I379" s="53"/>
      <c r="J379" s="79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79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104"/>
      <c r="J388" s="104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53"/>
      <c r="K389" s="106"/>
      <c r="L389" s="106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  <c r="I403" s="114"/>
    </row>
    <row r="404" spans="1:28" s="64" customFormat="1">
      <c r="A404" s="53"/>
      <c r="B404" s="113"/>
      <c r="C404" s="79"/>
      <c r="D404" s="79"/>
      <c r="E404" s="53"/>
      <c r="F404" s="53"/>
      <c r="G404" s="53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>
      <c r="I409"/>
      <c r="J409"/>
      <c r="K409"/>
      <c r="L409"/>
      <c r="M409"/>
      <c r="N409"/>
    </row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>
      <c r="P415" s="64"/>
      <c r="Q415" s="64"/>
      <c r="R415" s="64"/>
      <c r="S415" s="64"/>
      <c r="T415" s="64"/>
      <c r="U415" s="64"/>
      <c r="V415" s="64"/>
      <c r="AA415" s="64"/>
      <c r="AB415" s="64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27:28">
      <c r="AA417" s="64"/>
      <c r="AB417" s="64"/>
    </row>
    <row r="418" spans="27:28">
      <c r="AA418" s="64"/>
      <c r="AB418" s="64"/>
    </row>
    <row r="419" spans="27:28">
      <c r="AA419" s="64"/>
      <c r="AB419" s="64"/>
    </row>
    <row r="420" spans="27:28">
      <c r="AA420" s="64"/>
      <c r="AB420" s="64"/>
    </row>
    <row r="421" spans="27:28">
      <c r="AA421" s="64"/>
      <c r="AB421" s="64"/>
    </row>
    <row r="422" spans="27:28">
      <c r="AA422" s="64"/>
      <c r="AB422" s="64"/>
    </row>
    <row r="423" spans="27:28">
      <c r="AA423" s="64"/>
      <c r="AB423" s="64"/>
    </row>
    <row r="424" spans="27:28">
      <c r="AA424" s="64"/>
      <c r="AB424" s="64"/>
    </row>
    <row r="425" spans="27:28">
      <c r="AA425" s="64"/>
      <c r="AB425" s="64"/>
    </row>
    <row r="426" spans="27:28">
      <c r="AA426" s="64"/>
      <c r="AB426" s="64"/>
    </row>
    <row r="427" spans="27:28">
      <c r="AA427" s="64"/>
      <c r="AB427" s="64"/>
    </row>
    <row r="428" spans="27:28">
      <c r="AA428" s="64"/>
      <c r="AB428" s="64"/>
    </row>
    <row r="429" spans="27:28">
      <c r="AA429" s="64"/>
      <c r="AB429" s="64"/>
    </row>
    <row r="430" spans="27:28">
      <c r="AA430" s="64"/>
      <c r="AB430" s="64"/>
    </row>
    <row r="431" spans="27:28">
      <c r="AA431" s="64"/>
      <c r="AB431" s="64"/>
    </row>
    <row r="432" spans="27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</sheetData>
  <sheetProtection sheet="1" formatCells="0" formatColumns="0" formatRows="0" insertColumns="0" insertRows="0" insertHyperlinks="0" deleteColumns="0" deleteRows="0" sort="0" autoFilter="0" pivotTables="0"/>
  <mergeCells count="3">
    <mergeCell ref="P4:V4"/>
    <mergeCell ref="V6:W6"/>
    <mergeCell ref="F41:G41"/>
  </mergeCells>
  <phoneticPr fontId="16" type="noConversion"/>
  <conditionalFormatting sqref="A75:B75">
    <cfRule type="expression" dxfId="234" priority="1">
      <formula>$D$6="yes"</formula>
    </cfRule>
  </conditionalFormatting>
  <conditionalFormatting sqref="D5">
    <cfRule type="cellIs" dxfId="233" priority="4" operator="equal">
      <formula>"Yes"</formula>
    </cfRule>
  </conditionalFormatting>
  <conditionalFormatting sqref="D6">
    <cfRule type="containsText" dxfId="232" priority="68" operator="containsText" text="Yes">
      <formula>NOT(ISERROR(SEARCH("Yes",D6)))</formula>
    </cfRule>
  </conditionalFormatting>
  <conditionalFormatting sqref="D14">
    <cfRule type="containsText" dxfId="231" priority="117" operator="containsText" text="owner">
      <formula>NOT(ISERROR(SEARCH("owner",D14)))</formula>
    </cfRule>
  </conditionalFormatting>
  <conditionalFormatting sqref="D75">
    <cfRule type="expression" dxfId="230" priority="2">
      <formula>$D$6="yes"</formula>
    </cfRule>
  </conditionalFormatting>
  <conditionalFormatting sqref="E35">
    <cfRule type="containsText" dxfId="229" priority="6" operator="containsText" text="10 hour days">
      <formula>NOT(ISERROR(SEARCH("10 hour days",E35)))</formula>
    </cfRule>
    <cfRule type="containsText" dxfId="228" priority="7" operator="containsText" text="8 hour days">
      <formula>NOT(ISERROR(SEARCH("8 hour days",E35)))</formula>
    </cfRule>
  </conditionalFormatting>
  <conditionalFormatting sqref="E36">
    <cfRule type="cellIs" dxfId="227" priority="3" stopIfTrue="1" operator="equal">
      <formula>"PW"</formula>
    </cfRule>
  </conditionalFormatting>
  <conditionalFormatting sqref="F35">
    <cfRule type="cellIs" dxfId="226" priority="99" operator="lessThan">
      <formula>0.1</formula>
    </cfRule>
    <cfRule type="cellIs" dxfId="225" priority="100" operator="greaterThan">
      <formula>0.2</formula>
    </cfRule>
    <cfRule type="cellIs" dxfId="224" priority="115" operator="greaterThan">
      <formula>0.25</formula>
    </cfRule>
    <cfRule type="cellIs" dxfId="223" priority="116" operator="lessThan">
      <formula>0.15</formula>
    </cfRule>
  </conditionalFormatting>
  <hyperlinks>
    <hyperlink ref="A75" r:id="rId1" xr:uid="{A545EAF6-A433-6943-B210-6F411AA7D796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100-000001000000}">
          <x14:formula1>
            <xm:f>validation!$N$3:$N$4</xm:f>
          </x14:formula1>
          <xm:sqref>E29:F29 D5:D6 E25 B4:B6</xm:sqref>
        </x14:dataValidation>
        <x14:dataValidation type="list" allowBlank="1" showInputMessage="1" showErrorMessage="1" xr:uid="{00000000-0002-0000-0100-000002000000}">
          <x14:formula1>
            <xm:f>validation!$G$6:$G$9</xm:f>
          </x14:formula1>
          <xm:sqref>F36 Q6:Q9</xm:sqref>
        </x14:dataValidation>
        <x14:dataValidation type="list" allowBlank="1" showInputMessage="1" showErrorMessage="1" xr:uid="{00000000-0002-0000-0100-000003000000}">
          <x14:formula1>
            <xm:f>validation!$J$6:$J$8</xm:f>
          </x14:formula1>
          <xm:sqref>H36 S6:S9</xm:sqref>
        </x14:dataValidation>
        <x14:dataValidation type="list" allowBlank="1" showInputMessage="1" showErrorMessage="1" xr:uid="{00000000-0002-0000-0100-000004000000}">
          <x14:formula1>
            <xm:f>validation!$K$6:$K$8</xm:f>
          </x14:formula1>
          <xm:sqref>I36 T6:T9</xm:sqref>
        </x14:dataValidation>
        <x14:dataValidation type="list" allowBlank="1" showInputMessage="1" showErrorMessage="1" xr:uid="{00000000-0002-0000-0100-000005000000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00000000-0002-0000-0100-000006000000}">
          <x14:formula1>
            <xm:f>validation!$H$6:$H$8</xm:f>
          </x14:formula1>
          <xm:sqref>G36 R6:R9</xm:sqref>
        </x14:dataValidation>
        <x14:dataValidation type="list" allowBlank="1" showInputMessage="1" showErrorMessage="1" xr:uid="{00000000-0002-0000-0100-000007000000}">
          <x14:formula1>
            <xm:f>validation!$B$16:$B$22</xm:f>
          </x14:formula1>
          <xm:sqref>L37:L38</xm:sqref>
        </x14:dataValidation>
        <x14:dataValidation type="list" allowBlank="1" showInputMessage="1" showErrorMessage="1" xr:uid="{90AC6136-5023-3D44-A7D8-F669B1A297AC}">
          <x14:formula1>
            <xm:f>validation!$K$3:$K$4</xm:f>
          </x14:formula1>
          <xm:sqref>B10</xm:sqref>
        </x14:dataValidation>
        <x14:dataValidation type="list" allowBlank="1" showInputMessage="1" showErrorMessage="1" xr:uid="{2850AFC7-7ECE-D441-A235-375852D183AF}">
          <x14:formula1>
            <xm:f>validation!$N$7:$N$8</xm:f>
          </x14:formula1>
          <xm:sqref>E35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2C9D4-8C83-2F49-8886-9C7F3FDD909A}">
  <sheetPr>
    <pageSetUpPr fitToPage="1"/>
  </sheetPr>
  <dimension ref="A1:DO584"/>
  <sheetViews>
    <sheetView zoomScaleNormal="100" workbookViewId="0">
      <selection activeCell="B2" sqref="B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477" t="str">
        <f>B16</f>
        <v>N12 1/8"</v>
      </c>
      <c r="B1" s="1711" t="s">
        <v>1139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G2" s="588"/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/>
      <c r="G3" s="588"/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G4" s="588"/>
      <c r="H4" s="593"/>
      <c r="I4" s="594"/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">
        <v>78</v>
      </c>
      <c r="C5" s="590" t="s">
        <v>202</v>
      </c>
      <c r="D5" s="1412" t="s">
        <v>918</v>
      </c>
      <c r="E5" s="1413"/>
      <c r="G5" s="588"/>
      <c r="H5" s="593"/>
      <c r="I5" s="594"/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v>0</v>
      </c>
      <c r="G6" s="588"/>
      <c r="H6" s="593"/>
      <c r="I6" s="594"/>
      <c r="J6" s="594"/>
      <c r="L6" s="633"/>
      <c r="N6" s="1292"/>
      <c r="O6" s="1393">
        <f t="shared" si="0"/>
        <v>0</v>
      </c>
      <c r="P6" s="1394"/>
      <c r="Q6" s="1395"/>
      <c r="R6" s="1396"/>
      <c r="S6" s="1337" t="e">
        <f>((P6+Q6+R6)/F22)*H33</f>
        <v>#DIV/0!</v>
      </c>
      <c r="T6" s="970"/>
      <c r="U6" s="633"/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Epoxy!D5</f>
        <v>No</v>
      </c>
      <c r="E7" s="1728">
        <f>Epoxy!E5</f>
        <v>0</v>
      </c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">
        <v>78</v>
      </c>
      <c r="C8" s="1539" t="s">
        <v>119</v>
      </c>
      <c r="D8" s="591" t="str">
        <f>Epoxy!D6</f>
        <v>No</v>
      </c>
      <c r="E8" s="1728">
        <f>Epoxy!E6</f>
        <v>0</v>
      </c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/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/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">
        <v>88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">
        <v>71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">
        <v>71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">
        <v>71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65" t="s">
        <v>1132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10" t="s">
        <v>1021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237.12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280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776">
        <v>0</v>
      </c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60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60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60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60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777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5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ref="W53:W62" si="46">X53/$W$50</f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83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6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834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6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6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7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6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7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6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7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6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7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6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6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6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8">ROUNDUP(B64*C64,0)</f>
        <v>0</v>
      </c>
      <c r="F64" s="600">
        <v>234450</v>
      </c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8"/>
        <v>0</v>
      </c>
      <c r="F65" s="795">
        <v>234451</v>
      </c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8"/>
        <v>0</v>
      </c>
      <c r="F66" s="600">
        <v>334900</v>
      </c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>
        <v>334901</v>
      </c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G76" s="585" t="s">
        <v>78</v>
      </c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  <c r="G77" s="585" t="s">
        <v>78</v>
      </c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G78" s="585" t="s">
        <v>71</v>
      </c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4" t="str">
        <f>B16</f>
        <v>N12 1/8"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713" t="e">
        <f>E89/C86</f>
        <v>#DIV/0!</v>
      </c>
      <c r="D89" s="1720" t="str">
        <f>'Gyp (USG N12ULTRA)'!B16</f>
        <v>N12 ULTRA</v>
      </c>
      <c r="E89" s="1713">
        <f>E87-'Gyp (USG N12ULTRA)'!E87</f>
        <v>0</v>
      </c>
      <c r="F89" s="1657" t="s">
        <v>1148</v>
      </c>
      <c r="H89" s="1391" t="s">
        <v>1102</v>
      </c>
      <c r="I89" s="1391"/>
      <c r="P89" s="600"/>
    </row>
    <row r="90" spans="1:16" s="585" customFormat="1">
      <c r="A90" s="834"/>
      <c r="B90" s="1052"/>
      <c r="C90" s="1713" t="e">
        <f>E90/C86</f>
        <v>#DIV/0!</v>
      </c>
      <c r="D90" s="1718" t="str">
        <f>'Gyp (USG N25 1-4")'!B16</f>
        <v>N25 1/4"</v>
      </c>
      <c r="E90" s="1713">
        <f>E87-'Gyp (USG N25 1-4")'!E87</f>
        <v>0</v>
      </c>
      <c r="F90" s="1664" t="s">
        <v>1144</v>
      </c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:16">
      <c r="J113" s="537"/>
      <c r="O113" s="247"/>
      <c r="P113" s="28"/>
    </row>
    <row r="114" spans="1:16">
      <c r="J114" s="537"/>
      <c r="O114" s="247"/>
      <c r="P114" s="28"/>
    </row>
    <row r="115" spans="1:16" ht="16.05" customHeight="1">
      <c r="J115" s="537"/>
      <c r="O115" s="247"/>
      <c r="P115" s="28"/>
    </row>
    <row r="116" spans="1:16">
      <c r="A116" t="s">
        <v>1230</v>
      </c>
      <c r="J116" s="537"/>
      <c r="O116" s="247"/>
      <c r="P116" s="28"/>
    </row>
    <row r="117" spans="1:16">
      <c r="J117" s="537"/>
      <c r="O117" s="247"/>
      <c r="P117" s="28"/>
    </row>
    <row r="118" spans="1:16">
      <c r="J118" s="537"/>
      <c r="O118" s="247"/>
      <c r="P118" s="28"/>
    </row>
    <row r="119" spans="1:16">
      <c r="J119" s="537"/>
      <c r="O119" s="247"/>
      <c r="P119" s="28"/>
    </row>
    <row r="120" spans="1:16">
      <c r="J120" s="537"/>
      <c r="O120" s="247"/>
      <c r="P120" s="28"/>
    </row>
    <row r="121" spans="1:16">
      <c r="J121" s="537"/>
      <c r="O121" s="247"/>
      <c r="P121" s="28"/>
    </row>
    <row r="122" spans="1:16">
      <c r="J122" s="537"/>
      <c r="O122" s="247"/>
      <c r="P122" s="28"/>
    </row>
    <row r="123" spans="1:16">
      <c r="J123" s="537"/>
      <c r="O123" s="247"/>
      <c r="P123" s="28"/>
    </row>
    <row r="124" spans="1:16">
      <c r="J124" s="537"/>
      <c r="O124" s="247"/>
      <c r="P124" s="28"/>
    </row>
    <row r="125" spans="1:16">
      <c r="J125" s="537"/>
      <c r="O125" s="247"/>
      <c r="P125" s="28"/>
    </row>
    <row r="126" spans="1:16">
      <c r="J126" s="537"/>
      <c r="O126" s="247"/>
      <c r="P126" s="28"/>
    </row>
    <row r="127" spans="1:16">
      <c r="J127" s="537"/>
      <c r="O127" s="247"/>
      <c r="P127" s="28"/>
    </row>
    <row r="128" spans="1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222" priority="4">
      <formula>$D$8="yes"</formula>
    </cfRule>
  </conditionalFormatting>
  <conditionalFormatting sqref="A80:B80">
    <cfRule type="expression" dxfId="221" priority="1">
      <formula>$D$6="yes"</formula>
    </cfRule>
  </conditionalFormatting>
  <conditionalFormatting sqref="D7">
    <cfRule type="cellIs" dxfId="220" priority="9" operator="equal">
      <formula>"Yes"</formula>
    </cfRule>
  </conditionalFormatting>
  <conditionalFormatting sqref="D8">
    <cfRule type="containsText" dxfId="219" priority="19" operator="containsText" text="Yes">
      <formula>NOT(ISERROR(SEARCH("Yes",D8)))</formula>
    </cfRule>
  </conditionalFormatting>
  <conditionalFormatting sqref="E43">
    <cfRule type="cellIs" dxfId="218" priority="8" stopIfTrue="1" operator="equal">
      <formula>"PW"</formula>
    </cfRule>
  </conditionalFormatting>
  <conditionalFormatting sqref="E80">
    <cfRule type="expression" dxfId="217" priority="6">
      <formula>$D$6="yes"</formula>
    </cfRule>
  </conditionalFormatting>
  <conditionalFormatting sqref="F43">
    <cfRule type="containsText" dxfId="216" priority="12" operator="containsText" text="10 hour days">
      <formula>NOT(ISERROR(SEARCH("10 hour days",F43)))</formula>
    </cfRule>
    <cfRule type="containsText" dxfId="215" priority="13" operator="containsText" text="8 hour days">
      <formula>NOT(ISERROR(SEARCH("8 hour days",F43)))</formula>
    </cfRule>
    <cfRule type="containsText" dxfId="214" priority="14" operator="containsText" text="10 hour days">
      <formula>NOT(ISERROR(SEARCH("10 hour days",F43)))</formula>
    </cfRule>
    <cfRule type="containsText" dxfId="213" priority="15" operator="containsText" text="8 hour days">
      <formula>NOT(ISERROR(SEARCH("8 hour days",F43)))</formula>
    </cfRule>
  </conditionalFormatting>
  <conditionalFormatting sqref="G88">
    <cfRule type="containsText" dxfId="212" priority="20" operator="containsText" text="owner">
      <formula>NOT(ISERROR(SEARCH("owner",G88)))</formula>
    </cfRule>
  </conditionalFormatting>
  <conditionalFormatting sqref="H74">
    <cfRule type="cellIs" dxfId="211" priority="2" operator="lessThan">
      <formula>0</formula>
    </cfRule>
    <cfRule type="cellIs" dxfId="210" priority="3" operator="greaterThanOrEqual">
      <formula>0</formula>
    </cfRule>
  </conditionalFormatting>
  <conditionalFormatting sqref="H39:I39">
    <cfRule type="cellIs" dxfId="209" priority="18" operator="notEqual">
      <formula>FALSE</formula>
    </cfRule>
  </conditionalFormatting>
  <dataValidations count="3">
    <dataValidation type="list" allowBlank="1" showInputMessage="1" showErrorMessage="1" sqref="G11 I11 K11" xr:uid="{ADE9BCAA-3FAF-E040-9C7D-F25505117A98}">
      <formula1>$P$52:$P$54</formula1>
    </dataValidation>
    <dataValidation type="list" allowBlank="1" showInputMessage="1" showErrorMessage="1" sqref="A36" xr:uid="{4EEB7AA2-871F-AF4A-A3F7-41DCFB390C7D}">
      <formula1>$O$36:$O$44</formula1>
    </dataValidation>
    <dataValidation type="list" allowBlank="1" showInputMessage="1" showErrorMessage="1" sqref="G10 I10 K10" xr:uid="{797617F3-1061-3748-82F2-76CF27973668}">
      <formula1>$W$51:$W$62</formula1>
    </dataValidation>
  </dataValidations>
  <hyperlinks>
    <hyperlink ref="A80" r:id="rId1" xr:uid="{48DA7A21-726C-E74A-A929-DA8878C4A247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9062D09-3E13-A045-B6CA-2E6AA9200293}">
          <x14:formula1>
            <xm:f>validation!$N$7:$N$8</xm:f>
          </x14:formula1>
          <xm:sqref>F43</xm:sqref>
        </x14:dataValidation>
        <x14:dataValidation type="list" allowBlank="1" showInputMessage="1" showErrorMessage="1" xr:uid="{01CD733B-4ACF-F049-A6B4-1694CF074BE6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138"/>
  <sheetViews>
    <sheetView workbookViewId="0">
      <selection activeCell="B14" sqref="B14"/>
    </sheetView>
  </sheetViews>
  <sheetFormatPr defaultColWidth="11.19921875" defaultRowHeight="15.6"/>
  <cols>
    <col min="1" max="1" width="3.19921875" bestFit="1" customWidth="1"/>
    <col min="2" max="2" width="29.796875" customWidth="1"/>
    <col min="5" max="5" width="12.19921875" customWidth="1"/>
    <col min="8" max="8" width="3.19921875" bestFit="1" customWidth="1"/>
    <col min="9" max="9" width="29.796875" customWidth="1"/>
    <col min="15" max="15" width="3.19921875" bestFit="1" customWidth="1"/>
    <col min="16" max="16" width="16.69921875" customWidth="1"/>
    <col min="20" max="20" width="15.5" customWidth="1"/>
    <col min="27" max="27" width="18.796875" bestFit="1" customWidth="1"/>
    <col min="28" max="28" width="35.19921875" bestFit="1" customWidth="1"/>
  </cols>
  <sheetData>
    <row r="2" spans="1:44" ht="16.2" thickBot="1">
      <c r="J2" t="s">
        <v>50</v>
      </c>
      <c r="P2" t="s">
        <v>654</v>
      </c>
      <c r="T2" s="220" t="s">
        <v>701</v>
      </c>
      <c r="X2" s="220"/>
      <c r="Y2" s="220" t="s">
        <v>700</v>
      </c>
    </row>
    <row r="3" spans="1:44" ht="16.2" thickBot="1">
      <c r="B3" s="73"/>
      <c r="I3" s="251"/>
      <c r="J3" s="252">
        <f>SUM(J5:J11)</f>
        <v>0</v>
      </c>
      <c r="K3" s="252">
        <f>SUM(K5:K11)</f>
        <v>0</v>
      </c>
      <c r="L3" s="253">
        <f>SUM(L5:L11)</f>
        <v>0</v>
      </c>
      <c r="P3" t="s">
        <v>653</v>
      </c>
      <c r="T3" s="24" t="s">
        <v>39</v>
      </c>
      <c r="U3" s="402">
        <v>475</v>
      </c>
      <c r="V3" s="220" t="s">
        <v>379</v>
      </c>
      <c r="X3" s="24" t="s">
        <v>482</v>
      </c>
      <c r="Y3" s="1126">
        <f>Z3/AA3</f>
        <v>0.37059375000000006</v>
      </c>
      <c r="Z3">
        <f>(998.4+150+37.5)</f>
        <v>1185.9000000000001</v>
      </c>
      <c r="AA3">
        <f>64*50</f>
        <v>3200</v>
      </c>
      <c r="AB3" t="s">
        <v>699</v>
      </c>
      <c r="AR3" s="387"/>
    </row>
    <row r="4" spans="1:44">
      <c r="B4" s="73"/>
      <c r="I4" t="s">
        <v>19</v>
      </c>
      <c r="J4" t="s">
        <v>226</v>
      </c>
      <c r="K4" t="s">
        <v>227</v>
      </c>
      <c r="T4" s="1123" t="s">
        <v>704</v>
      </c>
      <c r="U4" s="1124">
        <v>17</v>
      </c>
      <c r="Z4">
        <v>112.36</v>
      </c>
      <c r="AA4" t="s">
        <v>698</v>
      </c>
      <c r="AR4" s="388"/>
    </row>
    <row r="5" spans="1:44">
      <c r="B5" s="386"/>
      <c r="H5">
        <v>1</v>
      </c>
      <c r="I5" s="73"/>
      <c r="P5" s="440" t="s">
        <v>242</v>
      </c>
      <c r="T5" s="440" t="s">
        <v>702</v>
      </c>
      <c r="U5" s="1125">
        <f>SUM(U3:U4)</f>
        <v>492</v>
      </c>
      <c r="V5" s="220" t="s">
        <v>703</v>
      </c>
      <c r="Y5" s="397" t="s">
        <v>382</v>
      </c>
      <c r="AA5" t="s">
        <v>383</v>
      </c>
      <c r="AR5" s="389"/>
    </row>
    <row r="6" spans="1:44">
      <c r="B6" s="386"/>
      <c r="H6">
        <v>2</v>
      </c>
      <c r="I6" s="73"/>
      <c r="P6" s="23" t="s">
        <v>228</v>
      </c>
      <c r="X6" s="24" t="s">
        <v>238</v>
      </c>
      <c r="Y6" s="384">
        <v>250</v>
      </c>
      <c r="Z6" t="s">
        <v>239</v>
      </c>
      <c r="AB6" s="261" t="s">
        <v>243</v>
      </c>
      <c r="AC6" s="260">
        <v>206</v>
      </c>
      <c r="AD6" t="s">
        <v>244</v>
      </c>
      <c r="AE6" t="s">
        <v>245</v>
      </c>
      <c r="AR6" s="390"/>
    </row>
    <row r="7" spans="1:44">
      <c r="B7" s="386"/>
      <c r="H7">
        <v>3</v>
      </c>
      <c r="I7" s="73"/>
      <c r="P7" s="1" t="s">
        <v>229</v>
      </c>
      <c r="Q7" s="257">
        <v>3.35</v>
      </c>
      <c r="R7" t="s">
        <v>230</v>
      </c>
      <c r="T7" s="23" t="s">
        <v>234</v>
      </c>
      <c r="U7" s="37"/>
      <c r="Y7" s="384">
        <v>300</v>
      </c>
      <c r="Z7" t="s">
        <v>240</v>
      </c>
      <c r="AR7" s="391"/>
    </row>
    <row r="8" spans="1:44">
      <c r="B8" s="386"/>
      <c r="H8">
        <v>4</v>
      </c>
      <c r="I8" s="73"/>
      <c r="P8" s="1" t="s">
        <v>231</v>
      </c>
      <c r="Q8" s="257">
        <v>2.8</v>
      </c>
      <c r="R8" t="s">
        <v>230</v>
      </c>
      <c r="T8" s="1" t="s">
        <v>235</v>
      </c>
      <c r="U8" s="258">
        <v>2.5</v>
      </c>
      <c r="V8" t="s">
        <v>230</v>
      </c>
      <c r="Y8" s="384">
        <v>350</v>
      </c>
      <c r="Z8" t="s">
        <v>241</v>
      </c>
      <c r="AB8" s="261" t="s">
        <v>246</v>
      </c>
      <c r="AC8" s="260">
        <v>4</v>
      </c>
      <c r="AD8" t="s">
        <v>247</v>
      </c>
      <c r="AR8" s="392"/>
    </row>
    <row r="9" spans="1:44">
      <c r="B9" s="386"/>
      <c r="H9">
        <v>5</v>
      </c>
      <c r="I9" s="73"/>
      <c r="P9" s="1" t="s">
        <v>232</v>
      </c>
      <c r="Q9" s="257">
        <v>2.25</v>
      </c>
      <c r="R9" t="s">
        <v>230</v>
      </c>
      <c r="T9" s="1" t="s">
        <v>236</v>
      </c>
      <c r="U9" s="259">
        <v>1.5</v>
      </c>
      <c r="V9" t="s">
        <v>230</v>
      </c>
      <c r="Y9" s="384">
        <v>400</v>
      </c>
      <c r="Z9" t="s">
        <v>384</v>
      </c>
      <c r="AR9" s="448"/>
    </row>
    <row r="10" spans="1:44">
      <c r="B10" s="386"/>
      <c r="C10" s="407"/>
      <c r="D10" s="407"/>
      <c r="E10" s="407"/>
      <c r="F10" s="407"/>
      <c r="H10">
        <v>6</v>
      </c>
      <c r="I10" s="73"/>
      <c r="P10" s="1" t="s">
        <v>233</v>
      </c>
      <c r="Q10" s="257">
        <v>2</v>
      </c>
      <c r="R10" t="s">
        <v>230</v>
      </c>
      <c r="T10" s="1" t="s">
        <v>237</v>
      </c>
      <c r="U10" s="259">
        <v>1.1499999999999999</v>
      </c>
      <c r="V10" t="s">
        <v>230</v>
      </c>
      <c r="AR10" s="543"/>
    </row>
    <row r="11" spans="1:44">
      <c r="B11" s="386"/>
      <c r="C11" s="407"/>
      <c r="D11" s="407"/>
      <c r="E11" s="407"/>
      <c r="F11" s="407"/>
      <c r="H11">
        <v>7</v>
      </c>
      <c r="I11" s="73"/>
      <c r="P11" s="1"/>
      <c r="Q11" s="257"/>
    </row>
    <row r="12" spans="1:44">
      <c r="B12" s="386"/>
      <c r="C12" s="407"/>
      <c r="D12" s="407"/>
      <c r="E12" s="407"/>
      <c r="F12" s="407"/>
      <c r="I12" s="73"/>
      <c r="P12" s="1"/>
      <c r="Q12" s="257"/>
    </row>
    <row r="13" spans="1:44" ht="16.2" thickBot="1">
      <c r="B13" s="386"/>
      <c r="C13" t="s">
        <v>50</v>
      </c>
      <c r="J13" t="s">
        <v>50</v>
      </c>
      <c r="Q13" t="s">
        <v>50</v>
      </c>
    </row>
    <row r="14" spans="1:44" ht="16.2" thickBot="1">
      <c r="B14" s="251"/>
      <c r="C14" s="252">
        <f>SUM(C16:C85)</f>
        <v>0</v>
      </c>
      <c r="D14" s="252">
        <f>SUM(D16:D85)</f>
        <v>0</v>
      </c>
      <c r="E14" s="253">
        <f>SUM(E16:E85)</f>
        <v>0</v>
      </c>
      <c r="I14" s="254"/>
      <c r="J14" s="252">
        <f>SUM(J16:J85)</f>
        <v>0</v>
      </c>
      <c r="K14" s="252">
        <f>SUM(K16:K85)</f>
        <v>0</v>
      </c>
      <c r="L14" s="255">
        <f>SUM(L16:L85)</f>
        <v>0</v>
      </c>
      <c r="P14" s="254"/>
      <c r="Q14" s="256">
        <f>SUM(Q16:Q85)</f>
        <v>0</v>
      </c>
      <c r="R14" s="256">
        <f>SUM(R16:R85)</f>
        <v>0</v>
      </c>
      <c r="S14" s="255">
        <f>SUM(S16:S85)</f>
        <v>0</v>
      </c>
    </row>
    <row r="15" spans="1:44">
      <c r="B15" t="s">
        <v>19</v>
      </c>
      <c r="C15" t="s">
        <v>226</v>
      </c>
      <c r="D15" t="s">
        <v>227</v>
      </c>
      <c r="I15" t="s">
        <v>19</v>
      </c>
      <c r="J15" t="s">
        <v>226</v>
      </c>
      <c r="K15" t="s">
        <v>227</v>
      </c>
      <c r="P15" t="s">
        <v>19</v>
      </c>
      <c r="Q15" t="s">
        <v>226</v>
      </c>
      <c r="R15" t="s">
        <v>227</v>
      </c>
    </row>
    <row r="16" spans="1:44">
      <c r="A16">
        <v>1</v>
      </c>
      <c r="B16" s="73"/>
      <c r="H16">
        <v>1</v>
      </c>
      <c r="I16" s="73"/>
      <c r="O16">
        <v>1</v>
      </c>
      <c r="P16" s="73"/>
    </row>
    <row r="17" spans="1:16">
      <c r="A17">
        <v>2</v>
      </c>
      <c r="B17" s="73"/>
      <c r="H17">
        <v>2</v>
      </c>
      <c r="I17" s="73"/>
      <c r="O17">
        <v>2</v>
      </c>
      <c r="P17" s="73"/>
    </row>
    <row r="18" spans="1:16">
      <c r="A18">
        <v>3</v>
      </c>
      <c r="B18" s="73"/>
      <c r="H18">
        <v>3</v>
      </c>
      <c r="I18" s="73"/>
      <c r="O18">
        <v>3</v>
      </c>
      <c r="P18" s="73"/>
    </row>
    <row r="19" spans="1:16">
      <c r="A19">
        <v>4</v>
      </c>
      <c r="B19" s="73"/>
      <c r="H19">
        <v>4</v>
      </c>
      <c r="I19" s="73"/>
      <c r="O19">
        <v>4</v>
      </c>
      <c r="P19" s="73"/>
    </row>
    <row r="20" spans="1:16">
      <c r="A20">
        <v>5</v>
      </c>
      <c r="B20" s="73"/>
      <c r="H20">
        <v>5</v>
      </c>
      <c r="I20" s="73"/>
      <c r="O20">
        <v>5</v>
      </c>
      <c r="P20" s="73"/>
    </row>
    <row r="21" spans="1:16">
      <c r="A21">
        <v>6</v>
      </c>
      <c r="B21" s="73"/>
      <c r="H21">
        <v>6</v>
      </c>
      <c r="I21" s="73"/>
      <c r="O21">
        <v>6</v>
      </c>
      <c r="P21" s="73"/>
    </row>
    <row r="22" spans="1:16">
      <c r="A22">
        <v>7</v>
      </c>
      <c r="B22" s="73"/>
      <c r="H22">
        <v>7</v>
      </c>
      <c r="I22" s="73"/>
      <c r="O22">
        <v>7</v>
      </c>
      <c r="P22" s="73"/>
    </row>
    <row r="23" spans="1:16">
      <c r="A23">
        <v>8</v>
      </c>
      <c r="B23" s="73"/>
      <c r="H23">
        <v>8</v>
      </c>
      <c r="I23" s="73"/>
      <c r="O23">
        <v>8</v>
      </c>
      <c r="P23" s="73"/>
    </row>
    <row r="24" spans="1:16">
      <c r="A24">
        <v>9</v>
      </c>
      <c r="B24" s="73"/>
      <c r="H24">
        <v>9</v>
      </c>
      <c r="I24" s="73"/>
      <c r="O24">
        <v>9</v>
      </c>
      <c r="P24" s="73"/>
    </row>
    <row r="25" spans="1:16">
      <c r="A25">
        <v>10</v>
      </c>
      <c r="B25" s="73"/>
      <c r="H25">
        <v>10</v>
      </c>
      <c r="I25" s="73"/>
      <c r="O25">
        <v>10</v>
      </c>
      <c r="P25" s="73"/>
    </row>
    <row r="26" spans="1:16">
      <c r="A26">
        <v>11</v>
      </c>
      <c r="B26" s="73"/>
      <c r="H26">
        <v>11</v>
      </c>
      <c r="I26" s="73"/>
      <c r="O26">
        <v>11</v>
      </c>
      <c r="P26" s="73"/>
    </row>
    <row r="27" spans="1:16">
      <c r="A27">
        <v>12</v>
      </c>
      <c r="B27" s="73"/>
      <c r="H27">
        <v>12</v>
      </c>
      <c r="I27" s="73"/>
      <c r="O27">
        <v>12</v>
      </c>
      <c r="P27" s="73"/>
    </row>
    <row r="28" spans="1:16">
      <c r="A28">
        <v>13</v>
      </c>
      <c r="B28" s="73"/>
      <c r="H28">
        <v>13</v>
      </c>
      <c r="I28" s="73"/>
      <c r="O28">
        <v>13</v>
      </c>
      <c r="P28" s="73"/>
    </row>
    <row r="29" spans="1:16">
      <c r="A29">
        <v>14</v>
      </c>
      <c r="B29" s="73"/>
      <c r="H29">
        <v>14</v>
      </c>
      <c r="I29" s="73"/>
      <c r="O29">
        <v>14</v>
      </c>
      <c r="P29" s="73"/>
    </row>
    <row r="30" spans="1:16">
      <c r="A30">
        <v>15</v>
      </c>
      <c r="B30" s="73"/>
      <c r="H30">
        <v>15</v>
      </c>
      <c r="I30" s="73"/>
      <c r="O30">
        <v>15</v>
      </c>
      <c r="P30" s="73"/>
    </row>
    <row r="31" spans="1:16">
      <c r="A31">
        <v>16</v>
      </c>
      <c r="B31" s="73"/>
      <c r="H31">
        <v>16</v>
      </c>
      <c r="I31" s="73"/>
      <c r="O31">
        <v>16</v>
      </c>
      <c r="P31" s="73"/>
    </row>
    <row r="32" spans="1:16">
      <c r="A32">
        <v>17</v>
      </c>
      <c r="B32" s="73"/>
      <c r="H32">
        <v>17</v>
      </c>
      <c r="I32" s="73"/>
      <c r="O32">
        <v>17</v>
      </c>
      <c r="P32" s="73"/>
    </row>
    <row r="33" spans="1:16">
      <c r="A33">
        <v>18</v>
      </c>
      <c r="B33" s="73"/>
      <c r="H33">
        <v>18</v>
      </c>
      <c r="I33" s="73"/>
      <c r="O33">
        <v>18</v>
      </c>
      <c r="P33" s="73"/>
    </row>
    <row r="34" spans="1:16">
      <c r="A34">
        <v>19</v>
      </c>
      <c r="B34" s="73"/>
      <c r="H34">
        <v>19</v>
      </c>
      <c r="I34" s="73"/>
      <c r="O34">
        <v>19</v>
      </c>
      <c r="P34" s="73"/>
    </row>
    <row r="35" spans="1:16">
      <c r="A35">
        <v>20</v>
      </c>
      <c r="B35" s="73"/>
      <c r="H35">
        <v>20</v>
      </c>
      <c r="I35" s="73"/>
      <c r="O35">
        <v>20</v>
      </c>
      <c r="P35" s="73"/>
    </row>
    <row r="36" spans="1:16">
      <c r="A36">
        <v>21</v>
      </c>
      <c r="B36" s="73"/>
      <c r="H36">
        <v>21</v>
      </c>
      <c r="I36" s="73"/>
      <c r="O36">
        <v>21</v>
      </c>
      <c r="P36" s="73"/>
    </row>
    <row r="37" spans="1:16">
      <c r="A37">
        <v>22</v>
      </c>
      <c r="B37" s="73"/>
      <c r="H37">
        <v>22</v>
      </c>
      <c r="I37" s="73"/>
      <c r="O37">
        <v>22</v>
      </c>
      <c r="P37" s="73"/>
    </row>
    <row r="38" spans="1:16">
      <c r="A38">
        <v>23</v>
      </c>
      <c r="B38" s="73"/>
      <c r="H38">
        <v>23</v>
      </c>
      <c r="I38" s="73"/>
      <c r="O38">
        <v>23</v>
      </c>
      <c r="P38" s="73"/>
    </row>
    <row r="39" spans="1:16">
      <c r="A39">
        <v>24</v>
      </c>
      <c r="B39" s="73"/>
      <c r="H39">
        <v>24</v>
      </c>
      <c r="I39" s="73"/>
      <c r="O39">
        <v>24</v>
      </c>
      <c r="P39" s="73"/>
    </row>
    <row r="40" spans="1:16">
      <c r="A40">
        <v>25</v>
      </c>
      <c r="B40" s="73"/>
      <c r="H40">
        <v>25</v>
      </c>
      <c r="I40" s="73"/>
      <c r="O40">
        <v>25</v>
      </c>
      <c r="P40" s="73"/>
    </row>
    <row r="41" spans="1:16">
      <c r="A41">
        <v>26</v>
      </c>
      <c r="B41" s="73"/>
      <c r="H41">
        <v>26</v>
      </c>
      <c r="I41" s="73"/>
      <c r="O41">
        <v>26</v>
      </c>
      <c r="P41" s="73"/>
    </row>
    <row r="42" spans="1:16">
      <c r="A42">
        <v>27</v>
      </c>
      <c r="B42" s="73"/>
      <c r="H42">
        <v>27</v>
      </c>
      <c r="I42" s="73"/>
      <c r="O42">
        <v>27</v>
      </c>
      <c r="P42" s="73"/>
    </row>
    <row r="43" spans="1:16">
      <c r="A43">
        <v>28</v>
      </c>
      <c r="B43" s="73"/>
      <c r="H43">
        <v>28</v>
      </c>
      <c r="I43" s="73"/>
      <c r="O43">
        <v>28</v>
      </c>
      <c r="P43" s="73"/>
    </row>
    <row r="44" spans="1:16">
      <c r="A44">
        <v>29</v>
      </c>
      <c r="B44" s="73"/>
      <c r="H44">
        <v>29</v>
      </c>
      <c r="I44" s="73"/>
      <c r="O44">
        <v>29</v>
      </c>
      <c r="P44" s="73"/>
    </row>
    <row r="45" spans="1:16">
      <c r="A45">
        <v>30</v>
      </c>
      <c r="B45" s="73"/>
      <c r="H45">
        <v>30</v>
      </c>
      <c r="I45" s="73"/>
      <c r="O45">
        <v>30</v>
      </c>
      <c r="P45" s="73"/>
    </row>
    <row r="46" spans="1:16">
      <c r="A46">
        <v>31</v>
      </c>
      <c r="B46" s="73"/>
      <c r="H46">
        <v>31</v>
      </c>
      <c r="I46" s="73"/>
      <c r="O46">
        <v>31</v>
      </c>
      <c r="P46" s="73"/>
    </row>
    <row r="47" spans="1:16">
      <c r="A47">
        <v>32</v>
      </c>
      <c r="B47" s="73"/>
      <c r="H47">
        <v>32</v>
      </c>
      <c r="I47" s="73"/>
      <c r="O47">
        <v>32</v>
      </c>
      <c r="P47" s="73"/>
    </row>
    <row r="48" spans="1:16">
      <c r="A48">
        <v>33</v>
      </c>
      <c r="B48" s="73"/>
      <c r="H48">
        <v>33</v>
      </c>
      <c r="I48" s="73"/>
      <c r="O48">
        <v>33</v>
      </c>
      <c r="P48" s="73"/>
    </row>
    <row r="49" spans="1:16">
      <c r="A49">
        <v>34</v>
      </c>
      <c r="B49" s="73"/>
      <c r="H49">
        <v>34</v>
      </c>
      <c r="I49" s="73"/>
      <c r="O49">
        <v>34</v>
      </c>
      <c r="P49" s="73"/>
    </row>
    <row r="50" spans="1:16">
      <c r="A50">
        <v>35</v>
      </c>
      <c r="B50" s="73"/>
      <c r="H50">
        <v>35</v>
      </c>
      <c r="I50" s="73"/>
      <c r="O50">
        <v>35</v>
      </c>
      <c r="P50" s="73"/>
    </row>
    <row r="51" spans="1:16">
      <c r="A51">
        <v>36</v>
      </c>
      <c r="B51" s="73"/>
      <c r="H51">
        <v>36</v>
      </c>
      <c r="I51" s="73"/>
      <c r="O51">
        <v>36</v>
      </c>
      <c r="P51" s="73"/>
    </row>
    <row r="52" spans="1:16">
      <c r="A52">
        <v>37</v>
      </c>
      <c r="B52" s="73"/>
      <c r="H52">
        <v>37</v>
      </c>
      <c r="I52" s="73"/>
      <c r="O52">
        <v>37</v>
      </c>
      <c r="P52" s="73"/>
    </row>
    <row r="53" spans="1:16">
      <c r="A53">
        <v>38</v>
      </c>
      <c r="B53" s="73"/>
      <c r="H53">
        <v>38</v>
      </c>
      <c r="I53" s="73"/>
      <c r="O53">
        <v>38</v>
      </c>
      <c r="P53" s="73"/>
    </row>
    <row r="54" spans="1:16">
      <c r="A54">
        <v>39</v>
      </c>
      <c r="B54" s="73"/>
      <c r="H54">
        <v>39</v>
      </c>
      <c r="I54" s="73"/>
      <c r="O54">
        <v>39</v>
      </c>
      <c r="P54" s="73"/>
    </row>
    <row r="55" spans="1:16">
      <c r="A55">
        <v>40</v>
      </c>
      <c r="B55" s="73"/>
      <c r="H55">
        <v>40</v>
      </c>
      <c r="I55" s="73"/>
      <c r="O55">
        <v>40</v>
      </c>
      <c r="P55" s="73"/>
    </row>
    <row r="56" spans="1:16">
      <c r="A56">
        <v>41</v>
      </c>
      <c r="B56" s="73"/>
      <c r="H56">
        <v>41</v>
      </c>
      <c r="I56" s="73"/>
      <c r="O56">
        <v>41</v>
      </c>
      <c r="P56" s="73"/>
    </row>
    <row r="57" spans="1:16">
      <c r="A57">
        <v>42</v>
      </c>
      <c r="B57" s="73"/>
      <c r="H57">
        <v>42</v>
      </c>
      <c r="I57" s="73"/>
      <c r="O57">
        <v>42</v>
      </c>
      <c r="P57" s="73"/>
    </row>
    <row r="58" spans="1:16">
      <c r="A58">
        <v>43</v>
      </c>
      <c r="B58" s="73"/>
      <c r="H58">
        <v>43</v>
      </c>
      <c r="I58" s="73"/>
      <c r="O58">
        <v>43</v>
      </c>
      <c r="P58" s="73"/>
    </row>
    <row r="59" spans="1:16">
      <c r="A59">
        <v>44</v>
      </c>
      <c r="B59" s="73"/>
      <c r="H59">
        <v>44</v>
      </c>
      <c r="I59" s="73"/>
      <c r="O59">
        <v>44</v>
      </c>
      <c r="P59" s="73"/>
    </row>
    <row r="60" spans="1:16">
      <c r="A60">
        <v>45</v>
      </c>
      <c r="B60" s="73"/>
      <c r="H60">
        <v>45</v>
      </c>
      <c r="I60" s="73"/>
      <c r="O60">
        <v>45</v>
      </c>
      <c r="P60" s="73"/>
    </row>
    <row r="61" spans="1:16">
      <c r="A61">
        <v>46</v>
      </c>
      <c r="B61" s="73"/>
      <c r="H61">
        <v>46</v>
      </c>
      <c r="I61" s="73"/>
      <c r="O61">
        <v>46</v>
      </c>
      <c r="P61" s="73"/>
    </row>
    <row r="62" spans="1:16">
      <c r="A62">
        <v>47</v>
      </c>
      <c r="B62" s="73"/>
      <c r="H62">
        <v>47</v>
      </c>
      <c r="I62" s="73"/>
      <c r="O62">
        <v>47</v>
      </c>
      <c r="P62" s="73"/>
    </row>
    <row r="63" spans="1:16">
      <c r="A63">
        <v>48</v>
      </c>
      <c r="B63" s="73"/>
      <c r="H63">
        <v>48</v>
      </c>
      <c r="I63" s="73"/>
      <c r="O63">
        <v>48</v>
      </c>
      <c r="P63" s="73"/>
    </row>
    <row r="64" spans="1:16">
      <c r="A64">
        <v>49</v>
      </c>
      <c r="B64" s="73"/>
      <c r="H64">
        <v>49</v>
      </c>
      <c r="I64" s="73"/>
      <c r="O64">
        <v>49</v>
      </c>
      <c r="P64" s="73"/>
    </row>
    <row r="65" spans="1:16">
      <c r="A65">
        <v>50</v>
      </c>
      <c r="B65" s="73"/>
      <c r="H65">
        <v>50</v>
      </c>
      <c r="I65" s="73"/>
      <c r="O65">
        <v>50</v>
      </c>
      <c r="P65" s="73"/>
    </row>
    <row r="66" spans="1:16">
      <c r="B66" s="73"/>
    </row>
    <row r="67" spans="1:16">
      <c r="B67" s="73"/>
    </row>
    <row r="68" spans="1:16">
      <c r="B68" s="73"/>
    </row>
    <row r="69" spans="1:16">
      <c r="B69" s="73"/>
    </row>
    <row r="70" spans="1:16">
      <c r="B70" s="73"/>
    </row>
    <row r="71" spans="1:16">
      <c r="B71" s="73"/>
    </row>
    <row r="72" spans="1:16">
      <c r="B72" s="73"/>
    </row>
    <row r="73" spans="1:16">
      <c r="B73" s="73"/>
    </row>
    <row r="74" spans="1:16">
      <c r="B74" s="73"/>
    </row>
    <row r="75" spans="1:16">
      <c r="B75" s="73"/>
    </row>
    <row r="76" spans="1:16">
      <c r="B76" s="73"/>
    </row>
    <row r="77" spans="1:16">
      <c r="B77" s="73"/>
    </row>
    <row r="78" spans="1:16">
      <c r="B78" s="73"/>
    </row>
    <row r="79" spans="1:16">
      <c r="B79" s="73"/>
    </row>
    <row r="80" spans="1:16">
      <c r="B80" s="73"/>
    </row>
    <row r="81" spans="2:2">
      <c r="B81" s="73"/>
    </row>
    <row r="82" spans="2:2">
      <c r="B82" s="73"/>
    </row>
    <row r="83" spans="2:2">
      <c r="B83" s="73"/>
    </row>
    <row r="84" spans="2:2">
      <c r="B84" s="73"/>
    </row>
    <row r="85" spans="2:2">
      <c r="B85" s="73"/>
    </row>
    <row r="86" spans="2:2">
      <c r="B86" s="73"/>
    </row>
    <row r="87" spans="2:2">
      <c r="B87" s="73"/>
    </row>
    <row r="88" spans="2:2">
      <c r="B88" s="73"/>
    </row>
    <row r="89" spans="2:2">
      <c r="B89" s="73"/>
    </row>
    <row r="90" spans="2:2">
      <c r="B90" s="73"/>
    </row>
    <row r="91" spans="2:2">
      <c r="B91" s="73"/>
    </row>
    <row r="92" spans="2:2">
      <c r="B92" s="73"/>
    </row>
    <row r="93" spans="2:2">
      <c r="B93" s="73"/>
    </row>
    <row r="94" spans="2:2">
      <c r="B94" s="73"/>
    </row>
    <row r="95" spans="2:2">
      <c r="B95" s="73"/>
    </row>
    <row r="96" spans="2:2">
      <c r="B96" s="73"/>
    </row>
    <row r="97" spans="2:2">
      <c r="B97" s="73"/>
    </row>
    <row r="98" spans="2:2">
      <c r="B98" s="73"/>
    </row>
    <row r="99" spans="2:2">
      <c r="B99" s="73"/>
    </row>
    <row r="100" spans="2:2">
      <c r="B100" s="73"/>
    </row>
    <row r="101" spans="2:2">
      <c r="B101" s="73"/>
    </row>
    <row r="102" spans="2:2">
      <c r="B102" s="73"/>
    </row>
    <row r="103" spans="2:2">
      <c r="B103" s="73"/>
    </row>
    <row r="104" spans="2:2">
      <c r="B104" s="73"/>
    </row>
    <row r="105" spans="2:2">
      <c r="B105" s="73"/>
    </row>
    <row r="106" spans="2:2">
      <c r="B106" s="73"/>
    </row>
    <row r="107" spans="2:2">
      <c r="B107" s="73"/>
    </row>
    <row r="108" spans="2:2">
      <c r="B108" s="73"/>
    </row>
    <row r="109" spans="2:2">
      <c r="B109" s="73"/>
    </row>
    <row r="110" spans="2:2">
      <c r="B110" s="73"/>
    </row>
    <row r="111" spans="2:2">
      <c r="B111" s="73"/>
    </row>
    <row r="112" spans="2:2">
      <c r="B112" s="73"/>
    </row>
    <row r="113" spans="2:2">
      <c r="B113" s="73"/>
    </row>
    <row r="114" spans="2:2">
      <c r="B114" s="73"/>
    </row>
    <row r="115" spans="2:2">
      <c r="B115" s="73"/>
    </row>
    <row r="116" spans="2:2">
      <c r="B116" s="73"/>
    </row>
    <row r="117" spans="2:2">
      <c r="B117" s="73"/>
    </row>
    <row r="118" spans="2:2">
      <c r="B118" s="73"/>
    </row>
    <row r="119" spans="2:2">
      <c r="B119" s="73"/>
    </row>
    <row r="120" spans="2:2">
      <c r="B120" s="73"/>
    </row>
    <row r="121" spans="2:2">
      <c r="B121" s="73"/>
    </row>
    <row r="122" spans="2:2">
      <c r="B122" s="73"/>
    </row>
    <row r="123" spans="2:2">
      <c r="B123" s="73"/>
    </row>
    <row r="124" spans="2:2">
      <c r="B124" s="73"/>
    </row>
    <row r="125" spans="2:2">
      <c r="B125" s="73"/>
    </row>
    <row r="126" spans="2:2">
      <c r="B126" s="73"/>
    </row>
    <row r="127" spans="2:2">
      <c r="B127" s="73"/>
    </row>
    <row r="128" spans="2:2">
      <c r="B128" s="73"/>
    </row>
    <row r="129" spans="2:2">
      <c r="B129" s="73"/>
    </row>
    <row r="130" spans="2:2">
      <c r="B130" s="73"/>
    </row>
    <row r="131" spans="2:2">
      <c r="B131" s="73"/>
    </row>
    <row r="132" spans="2:2">
      <c r="B132" s="73"/>
    </row>
    <row r="133" spans="2:2">
      <c r="B133" s="73"/>
    </row>
    <row r="134" spans="2:2">
      <c r="B134" s="73"/>
    </row>
    <row r="135" spans="2:2">
      <c r="B135" s="73"/>
    </row>
    <row r="136" spans="2:2">
      <c r="B136" s="73"/>
    </row>
    <row r="137" spans="2:2">
      <c r="B137" s="73"/>
    </row>
    <row r="138" spans="2:2">
      <c r="B138" s="73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98FB0-AA4F-0249-8B38-9D86359E491F}">
  <dimension ref="A1:AB499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" customWidth="1"/>
    <col min="8" max="9" width="19.5" customWidth="1"/>
    <col min="10" max="10" width="14.19921875" customWidth="1"/>
    <col min="11" max="11" width="14" customWidth="1"/>
    <col min="12" max="13" width="12.19921875" customWidth="1"/>
    <col min="14" max="14" width="13.69921875" customWidth="1"/>
    <col min="15" max="15" width="11.796875" customWidth="1"/>
    <col min="16" max="16" width="11.296875" customWidth="1"/>
    <col min="17" max="17" width="13.69921875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>
      <c r="A1" s="51" t="s">
        <v>221</v>
      </c>
      <c r="B1" s="585">
        <f>Epoxy!B1</f>
        <v>0</v>
      </c>
      <c r="G1" s="514" t="s">
        <v>471</v>
      </c>
    </row>
    <row r="2" spans="1:24">
      <c r="A2" s="51" t="s">
        <v>220</v>
      </c>
      <c r="B2" s="587">
        <f>Epoxy!B2</f>
        <v>0</v>
      </c>
      <c r="C2" s="250"/>
      <c r="D2" s="250"/>
      <c r="G2" s="483"/>
    </row>
    <row r="3" spans="1:24">
      <c r="A3" s="51" t="s">
        <v>207</v>
      </c>
      <c r="B3" s="585">
        <f>Epoxy!B3</f>
        <v>0</v>
      </c>
      <c r="G3" s="483"/>
    </row>
    <row r="4" spans="1:24" ht="16.2" thickBot="1">
      <c r="A4" s="1638" t="s">
        <v>76</v>
      </c>
      <c r="B4" t="s">
        <v>78</v>
      </c>
      <c r="C4" s="220" t="s">
        <v>202</v>
      </c>
      <c r="D4" s="4"/>
      <c r="E4" s="204"/>
      <c r="F4" s="72"/>
      <c r="G4" s="483"/>
      <c r="H4" s="53"/>
      <c r="I4" s="64"/>
      <c r="J4" s="64"/>
      <c r="K4" s="64"/>
      <c r="L4" s="64"/>
      <c r="M4" s="64"/>
      <c r="P4" s="1891" t="s">
        <v>113</v>
      </c>
      <c r="Q4" s="1891"/>
      <c r="R4" s="1891"/>
      <c r="S4" s="1891"/>
      <c r="T4" s="1891"/>
      <c r="U4" s="1891"/>
      <c r="V4" s="1891"/>
    </row>
    <row r="5" spans="1:24">
      <c r="A5" s="2" t="s">
        <v>149</v>
      </c>
      <c r="B5" t="s">
        <v>71</v>
      </c>
      <c r="C5" s="1010" t="s">
        <v>1029</v>
      </c>
      <c r="D5" s="591" t="str">
        <f>Epoxy!D5</f>
        <v>No</v>
      </c>
      <c r="E5" s="1727">
        <f>Epoxy!E5</f>
        <v>0</v>
      </c>
      <c r="F5" s="72"/>
      <c r="G5" s="483"/>
      <c r="H5" s="53"/>
      <c r="I5" s="64"/>
      <c r="J5" s="64"/>
      <c r="K5" s="64"/>
      <c r="L5" s="64"/>
      <c r="M5" s="64"/>
      <c r="P5" s="138">
        <f>IF((B35/2500)&lt;1,1,(B35/2500))</f>
        <v>1</v>
      </c>
      <c r="Q5" s="139" t="s">
        <v>153</v>
      </c>
      <c r="R5" s="140"/>
      <c r="S5" s="140"/>
      <c r="T5" s="140"/>
      <c r="U5" s="140"/>
      <c r="V5" s="140"/>
      <c r="W5" s="141"/>
    </row>
    <row r="6" spans="1:24">
      <c r="A6" s="2" t="s">
        <v>79</v>
      </c>
      <c r="B6" t="str">
        <f>Polish!B6</f>
        <v>Yes</v>
      </c>
      <c r="C6" s="1539" t="s">
        <v>119</v>
      </c>
      <c r="D6" s="4" t="str">
        <f>Epoxy!D6</f>
        <v>No</v>
      </c>
      <c r="E6" s="1727">
        <f>Epoxy!E6</f>
        <v>0</v>
      </c>
      <c r="F6" s="72"/>
      <c r="G6" s="483"/>
      <c r="H6" s="593"/>
      <c r="I6" s="64"/>
      <c r="J6" s="64"/>
      <c r="K6" s="64"/>
      <c r="L6" s="64"/>
      <c r="M6" s="64"/>
      <c r="P6" s="142"/>
      <c r="Q6" s="53" t="s">
        <v>155</v>
      </c>
      <c r="R6" s="53" t="s">
        <v>101</v>
      </c>
      <c r="S6" s="53" t="s">
        <v>40</v>
      </c>
      <c r="T6" s="53" t="s">
        <v>103</v>
      </c>
      <c r="U6" s="1" t="s">
        <v>106</v>
      </c>
      <c r="V6" s="1892" t="s">
        <v>114</v>
      </c>
      <c r="W6" s="1893"/>
    </row>
    <row r="7" spans="1:24">
      <c r="A7" s="2" t="s">
        <v>222</v>
      </c>
      <c r="B7" s="250"/>
      <c r="D7" s="4"/>
      <c r="E7" s="204"/>
      <c r="F7" s="72"/>
      <c r="G7" s="483"/>
      <c r="H7" s="593"/>
      <c r="I7" s="64"/>
      <c r="J7" s="64"/>
      <c r="K7" s="64"/>
      <c r="L7" s="64"/>
      <c r="M7" s="64"/>
      <c r="P7" s="142"/>
      <c r="Q7" s="53"/>
      <c r="R7" s="53"/>
      <c r="S7" s="53"/>
      <c r="T7" s="53"/>
      <c r="U7" s="1"/>
      <c r="V7" s="32"/>
      <c r="W7" s="248"/>
    </row>
    <row r="8" spans="1:24">
      <c r="A8" s="249" t="s">
        <v>223</v>
      </c>
      <c r="B8" s="585">
        <f>Epoxy!B8</f>
        <v>0</v>
      </c>
      <c r="D8" s="4"/>
      <c r="E8" s="1470"/>
      <c r="F8" s="72"/>
      <c r="G8" s="483"/>
      <c r="H8" s="593"/>
      <c r="I8" s="64"/>
      <c r="J8" s="64"/>
      <c r="K8" s="64"/>
      <c r="L8" s="64"/>
      <c r="M8" s="64"/>
      <c r="P8" s="142"/>
      <c r="Q8" s="53"/>
      <c r="R8" s="53"/>
      <c r="S8" s="53"/>
      <c r="T8" s="53"/>
      <c r="U8" s="1"/>
      <c r="V8" s="32"/>
      <c r="W8" s="248"/>
    </row>
    <row r="9" spans="1:24">
      <c r="A9" s="249" t="s">
        <v>224</v>
      </c>
      <c r="B9" s="587">
        <f>Epoxy!B9</f>
        <v>0</v>
      </c>
      <c r="D9" s="4"/>
      <c r="E9" s="204"/>
      <c r="F9" s="72"/>
      <c r="G9" s="79"/>
      <c r="H9" s="593"/>
      <c r="I9" s="66"/>
      <c r="J9" s="66"/>
      <c r="K9" s="66"/>
      <c r="L9" s="66"/>
      <c r="M9" s="64"/>
      <c r="P9" s="142"/>
      <c r="Q9" s="53"/>
      <c r="R9" s="53"/>
      <c r="S9" s="53"/>
      <c r="T9" s="53"/>
      <c r="U9" s="1"/>
      <c r="V9" s="32"/>
      <c r="W9" s="248"/>
    </row>
    <row r="10" spans="1:24">
      <c r="A10" s="51" t="s">
        <v>203</v>
      </c>
      <c r="D10" s="4"/>
      <c r="E10" s="204"/>
      <c r="F10" s="72"/>
      <c r="G10" s="400"/>
      <c r="H10" s="593"/>
      <c r="I10" s="66"/>
      <c r="J10" s="66"/>
      <c r="K10" s="66"/>
      <c r="L10" s="66"/>
      <c r="M10" s="64"/>
      <c r="P10" s="142"/>
      <c r="Q10" s="143">
        <f>IF(F36="cream",Q14,IF(F36="S&amp;P",Q15,IF(F36="full",Q16,0)))</f>
        <v>0</v>
      </c>
      <c r="R10" s="143">
        <f>IF(G36="traditional",IF(F36="S&amp;P",R19,IF(F36="full",R20)),IF(G36="hybrid",IF(F36="cream",R14,0)))</f>
        <v>0</v>
      </c>
      <c r="S10" s="143">
        <f>IF(H36="yes dye",S14,0)</f>
        <v>0</v>
      </c>
      <c r="T10" s="143">
        <f>IF(I36="yes grout",T14,0)</f>
        <v>0</v>
      </c>
      <c r="U10" s="143">
        <f>IF(J36="yes demo glue",U14,0)</f>
        <v>0</v>
      </c>
      <c r="V10" s="143">
        <f>IF(F36="cream",V13,IF(F36="S&amp;P",V14,IF(F36="full",V15,0.25)))</f>
        <v>0.25</v>
      </c>
      <c r="W10" s="144">
        <f>IF(G36="traditional",V16,0)</f>
        <v>0</v>
      </c>
    </row>
    <row r="11" spans="1:24">
      <c r="A11" s="3"/>
      <c r="B11" s="3"/>
      <c r="C11" s="4"/>
      <c r="D11" s="4"/>
      <c r="E11" s="204"/>
      <c r="F11" s="53"/>
      <c r="G11" s="400"/>
      <c r="H11" s="593"/>
      <c r="I11" s="66"/>
      <c r="J11" s="66"/>
      <c r="K11" s="66"/>
      <c r="L11" s="66"/>
      <c r="M11" s="64"/>
      <c r="P11" s="142"/>
      <c r="Q11" s="143"/>
      <c r="R11" s="143"/>
      <c r="S11" s="143"/>
      <c r="T11" s="143"/>
      <c r="U11" s="143"/>
      <c r="V11" s="143"/>
      <c r="W11" s="144"/>
    </row>
    <row r="12" spans="1:24">
      <c r="A12" s="479" t="s">
        <v>614</v>
      </c>
      <c r="B12" s="1"/>
      <c r="C12" s="4"/>
      <c r="D12" s="4"/>
      <c r="E12" s="204"/>
      <c r="F12" s="53"/>
      <c r="G12" s="1675">
        <f>'Seal (+Jnts)'!D84</f>
        <v>1433</v>
      </c>
      <c r="H12" s="1676" t="s">
        <v>1111</v>
      </c>
      <c r="I12" s="1639" t="e">
        <f>G12/E18</f>
        <v>#DIV/0!</v>
      </c>
      <c r="J12" s="1281" t="s">
        <v>1137</v>
      </c>
      <c r="K12" s="66"/>
      <c r="L12" s="66"/>
      <c r="M12" s="64"/>
      <c r="P12" s="142"/>
      <c r="Q12" s="143"/>
      <c r="R12" s="143"/>
      <c r="S12" s="143"/>
      <c r="T12" s="143"/>
      <c r="U12" s="143"/>
      <c r="V12" s="143"/>
      <c r="W12" s="144"/>
    </row>
    <row r="13" spans="1:24">
      <c r="A13" s="479"/>
      <c r="B13" s="1"/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4"/>
      <c r="P13" s="142"/>
      <c r="Q13" s="51"/>
      <c r="R13" s="51" t="s">
        <v>100</v>
      </c>
      <c r="S13" s="51"/>
      <c r="T13" s="51"/>
      <c r="U13" s="51"/>
      <c r="V13" s="399">
        <f>IF($E$18&lt;=4000,validation!$E$32,IF($E$18&lt;7000,validation!$E$33,validation!$E$34))</f>
        <v>0.6</v>
      </c>
      <c r="W13" s="145" t="s">
        <v>421</v>
      </c>
      <c r="X13" s="438" t="s">
        <v>422</v>
      </c>
    </row>
    <row r="14" spans="1:24" ht="16.2" thickBot="1">
      <c r="A14" s="479"/>
      <c r="B14" s="1"/>
      <c r="C14" s="4"/>
      <c r="D14" s="4"/>
      <c r="E14" s="204"/>
      <c r="F14" s="53"/>
      <c r="G14" s="400"/>
      <c r="H14" s="593"/>
      <c r="I14" s="79"/>
      <c r="J14" s="66"/>
      <c r="K14" s="406"/>
      <c r="L14" s="406"/>
      <c r="M14" s="65"/>
      <c r="P14" s="142" t="s">
        <v>104</v>
      </c>
      <c r="Q14">
        <v>3.5</v>
      </c>
      <c r="R14" s="1">
        <v>0</v>
      </c>
      <c r="S14" s="1">
        <v>0.5</v>
      </c>
      <c r="T14" s="1">
        <v>0.75</v>
      </c>
      <c r="U14" s="1">
        <v>1</v>
      </c>
      <c r="V14" s="399">
        <f>IF($E$18&lt;=4000,validation!$I$32,IF($E$18&lt;7000,validation!$I$33,validation!$I$34))</f>
        <v>0.85</v>
      </c>
      <c r="W14" s="145" t="s">
        <v>94</v>
      </c>
      <c r="X14" s="438" t="s">
        <v>422</v>
      </c>
    </row>
    <row r="15" spans="1:24" ht="16.2" thickBot="1">
      <c r="A15" s="182" t="s">
        <v>60</v>
      </c>
      <c r="B15" s="183">
        <f>D82</f>
        <v>1450</v>
      </c>
      <c r="C15" s="184" t="s">
        <v>61</v>
      </c>
      <c r="D15" s="185" t="e">
        <f>C82</f>
        <v>#DIV/0!</v>
      </c>
      <c r="E15" s="204"/>
      <c r="F15" s="53"/>
      <c r="G15" s="53"/>
      <c r="H15" s="593"/>
      <c r="I15" s="79"/>
      <c r="J15" s="66"/>
      <c r="K15" s="406"/>
      <c r="L15" s="66"/>
      <c r="M15" s="66"/>
      <c r="P15" s="142" t="s">
        <v>94</v>
      </c>
      <c r="Q15">
        <v>4.5</v>
      </c>
      <c r="R15">
        <v>0</v>
      </c>
      <c r="V15" s="399">
        <f>IF($E$18&lt;=4000,validation!$M$32,IF($E$18&lt;7000,validation!$M$33,validation!$M$34))</f>
        <v>1.5</v>
      </c>
      <c r="W15" s="145" t="s">
        <v>99</v>
      </c>
      <c r="X15" s="438" t="s">
        <v>422</v>
      </c>
    </row>
    <row r="16" spans="1:24" ht="16.95" customHeight="1">
      <c r="A16" s="5" t="s">
        <v>14</v>
      </c>
      <c r="B16" s="30" t="s">
        <v>11</v>
      </c>
      <c r="C16" s="30" t="s">
        <v>1</v>
      </c>
      <c r="D16" s="31" t="s">
        <v>2</v>
      </c>
      <c r="E16" s="23"/>
      <c r="F16" s="89"/>
      <c r="H16" s="5" t="s">
        <v>25</v>
      </c>
      <c r="I16" s="1388" t="s">
        <v>906</v>
      </c>
      <c r="J16" s="1388" t="s">
        <v>907</v>
      </c>
      <c r="K16" s="52" t="s">
        <v>26</v>
      </c>
      <c r="L16" s="28"/>
      <c r="P16" s="142" t="s">
        <v>105</v>
      </c>
      <c r="Q16">
        <v>9</v>
      </c>
      <c r="R16">
        <v>0</v>
      </c>
      <c r="V16">
        <v>0.2</v>
      </c>
      <c r="W16" s="145" t="s">
        <v>154</v>
      </c>
    </row>
    <row r="17" spans="1:23">
      <c r="A17" s="44"/>
      <c r="B17" s="56">
        <f>E18</f>
        <v>0</v>
      </c>
      <c r="C17" s="582">
        <f>IF(B10="New",0.05,0.15)</f>
        <v>0.15</v>
      </c>
      <c r="D17" s="34">
        <f t="shared" ref="D17:D18" si="0">B17*C17</f>
        <v>0</v>
      </c>
      <c r="E17" s="570" t="s">
        <v>631</v>
      </c>
      <c r="F17" s="307"/>
      <c r="H17" s="6" t="s">
        <v>22</v>
      </c>
      <c r="I17" s="7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54">
        <f>B35</f>
        <v>0</v>
      </c>
      <c r="K17" s="94">
        <f>ROUNDUP((I17*J17),0)</f>
        <v>0</v>
      </c>
      <c r="L17" s="408" t="s">
        <v>48</v>
      </c>
      <c r="M17" s="73" t="s">
        <v>209</v>
      </c>
      <c r="P17" s="142"/>
      <c r="R17" s="51" t="s">
        <v>98</v>
      </c>
      <c r="W17" s="145"/>
    </row>
    <row r="18" spans="1:23">
      <c r="A18" s="44"/>
      <c r="B18" s="56"/>
      <c r="C18" s="33"/>
      <c r="D18" s="34">
        <f t="shared" si="0"/>
        <v>0</v>
      </c>
      <c r="E18" s="81">
        <v>0</v>
      </c>
      <c r="F18" s="82" t="s">
        <v>27</v>
      </c>
      <c r="H18" s="45" t="s">
        <v>39</v>
      </c>
      <c r="I18" s="15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55">
        <f>B35</f>
        <v>0</v>
      </c>
      <c r="K18" s="95">
        <f>ROUNDUP((I18*J18),0)</f>
        <v>0</v>
      </c>
      <c r="L18" s="240">
        <f>0.2*J18</f>
        <v>0</v>
      </c>
      <c r="M18" s="409" t="e">
        <f>K18/L18</f>
        <v>#DIV/0!</v>
      </c>
      <c r="N18" s="220"/>
      <c r="P18" s="142" t="s">
        <v>104</v>
      </c>
      <c r="R18">
        <v>0</v>
      </c>
      <c r="W18" s="145"/>
    </row>
    <row r="19" spans="1:23">
      <c r="A19" s="549" t="s">
        <v>12</v>
      </c>
      <c r="B19" s="548"/>
      <c r="C19" s="547"/>
      <c r="D19" s="546"/>
      <c r="E19" s="83">
        <v>0</v>
      </c>
      <c r="F19" s="84" t="s">
        <v>48</v>
      </c>
      <c r="H19" s="628" t="s">
        <v>908</v>
      </c>
      <c r="I19" s="7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54">
        <f>E19</f>
        <v>0</v>
      </c>
      <c r="K19" s="94">
        <f>ROUNDUP((I19*J19),0)</f>
        <v>0</v>
      </c>
      <c r="L19" s="7"/>
      <c r="M19" s="220" t="s">
        <v>208</v>
      </c>
      <c r="P19" s="142" t="s">
        <v>94</v>
      </c>
      <c r="R19">
        <v>2</v>
      </c>
      <c r="W19" s="145"/>
    </row>
    <row r="20" spans="1:23" ht="16.2" thickBot="1">
      <c r="A20" s="47" t="s">
        <v>24</v>
      </c>
      <c r="B20" s="121">
        <f>E18</f>
        <v>0</v>
      </c>
      <c r="C20" s="7">
        <v>0.15</v>
      </c>
      <c r="D20" s="9">
        <f>B20*C20</f>
        <v>0</v>
      </c>
      <c r="E20" s="1"/>
      <c r="F20" s="307" t="s">
        <v>616</v>
      </c>
      <c r="H20" s="635" t="s">
        <v>909</v>
      </c>
      <c r="I20" s="15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55">
        <f>E19</f>
        <v>0</v>
      </c>
      <c r="K20" s="95">
        <f>ROUNDUP((I20*J20),0)</f>
        <v>0</v>
      </c>
      <c r="L20" s="7"/>
      <c r="P20" s="146" t="s">
        <v>105</v>
      </c>
      <c r="Q20" s="147"/>
      <c r="R20" s="147">
        <v>2</v>
      </c>
      <c r="S20" s="147"/>
      <c r="T20" s="147"/>
      <c r="U20" s="147"/>
      <c r="V20" s="147"/>
      <c r="W20" s="148"/>
    </row>
    <row r="21" spans="1:23">
      <c r="A21" s="47" t="s">
        <v>24</v>
      </c>
      <c r="B21" s="121">
        <f>E18</f>
        <v>0</v>
      </c>
      <c r="C21" s="7">
        <v>0.15</v>
      </c>
      <c r="D21" s="9">
        <f t="shared" ref="D21:D30" si="1">B21*C21</f>
        <v>0</v>
      </c>
      <c r="E21" s="1"/>
      <c r="F21" s="307" t="s">
        <v>617</v>
      </c>
      <c r="H21" s="653" t="s">
        <v>910</v>
      </c>
      <c r="I21" s="160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161">
        <v>0</v>
      </c>
      <c r="K21" s="162">
        <f t="shared" ref="K21:K22" si="2">ROUNDUP((I21*J21),0)</f>
        <v>0</v>
      </c>
      <c r="L21" s="7"/>
      <c r="M21" s="565" t="s">
        <v>596</v>
      </c>
      <c r="N21" s="223">
        <f>'Stnd Alts'!E292</f>
        <v>1139</v>
      </c>
      <c r="O21" s="564" t="s">
        <v>593</v>
      </c>
      <c r="P21" s="1"/>
    </row>
    <row r="22" spans="1:23">
      <c r="A22" s="47"/>
      <c r="B22" s="121"/>
      <c r="C22" s="7"/>
      <c r="D22" s="9">
        <f t="shared" si="1"/>
        <v>0</v>
      </c>
      <c r="E22" s="1"/>
      <c r="F22" s="1"/>
      <c r="H22" s="635" t="s">
        <v>911</v>
      </c>
      <c r="I22" s="15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55">
        <v>0</v>
      </c>
      <c r="K22" s="95">
        <f t="shared" si="2"/>
        <v>0</v>
      </c>
      <c r="L22" s="1"/>
      <c r="M22" s="569" t="s">
        <v>601</v>
      </c>
      <c r="N22" s="223">
        <f>'Stnd Alts'!E194</f>
        <v>2302</v>
      </c>
      <c r="O22" s="564" t="s">
        <v>592</v>
      </c>
      <c r="P22" s="220" t="s">
        <v>594</v>
      </c>
      <c r="Q22" s="33"/>
    </row>
    <row r="23" spans="1:23">
      <c r="A23" s="47"/>
      <c r="B23" s="121"/>
      <c r="C23" s="7"/>
      <c r="D23" s="9">
        <f t="shared" si="1"/>
        <v>0</v>
      </c>
      <c r="E23" s="1"/>
      <c r="F23" s="1"/>
      <c r="H23" s="1"/>
      <c r="L23" s="74"/>
      <c r="M23" s="1"/>
      <c r="N23" s="7"/>
      <c r="O23" s="54"/>
    </row>
    <row r="24" spans="1:23">
      <c r="A24" s="549" t="s">
        <v>72</v>
      </c>
      <c r="B24" s="550"/>
      <c r="C24" s="542"/>
      <c r="D24" s="545"/>
      <c r="E24" s="96" t="s">
        <v>73</v>
      </c>
      <c r="F24" s="1"/>
      <c r="H24" s="1"/>
      <c r="L24" s="74"/>
      <c r="M24" s="1"/>
      <c r="N24" s="1"/>
      <c r="O24" s="630"/>
    </row>
    <row r="25" spans="1:23">
      <c r="A25" s="421" t="s">
        <v>615</v>
      </c>
      <c r="B25" s="121"/>
      <c r="C25" s="7"/>
      <c r="D25" s="9">
        <f t="shared" si="1"/>
        <v>0</v>
      </c>
      <c r="E25" s="155" t="s">
        <v>71</v>
      </c>
      <c r="F25" s="74" t="s">
        <v>615</v>
      </c>
      <c r="G25" s="1"/>
      <c r="H25" s="1"/>
      <c r="I25" s="220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</row>
    <row r="26" spans="1:23">
      <c r="A26" s="47"/>
      <c r="B26" s="121"/>
      <c r="C26" s="7"/>
      <c r="D26" s="9">
        <f t="shared" si="1"/>
        <v>0</v>
      </c>
      <c r="E26" s="1"/>
      <c r="F26" s="1"/>
      <c r="G26" s="1"/>
      <c r="H26" s="1"/>
      <c r="L26" s="74"/>
      <c r="M26" s="1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</row>
    <row r="27" spans="1:23">
      <c r="A27" s="47"/>
      <c r="B27" s="56"/>
      <c r="C27" s="7"/>
      <c r="D27" s="9">
        <f t="shared" si="1"/>
        <v>0</v>
      </c>
      <c r="E27" s="1"/>
      <c r="F27" s="1"/>
      <c r="G27" s="1"/>
      <c r="H27" s="1"/>
      <c r="L27" s="74"/>
      <c r="M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</row>
    <row r="28" spans="1:23">
      <c r="A28" s="549" t="s">
        <v>216</v>
      </c>
      <c r="B28" s="550"/>
      <c r="C28" s="542"/>
      <c r="D28" s="545"/>
      <c r="E28" s="96" t="s">
        <v>225</v>
      </c>
      <c r="F28" s="244" t="s">
        <v>218</v>
      </c>
      <c r="G28" s="1"/>
      <c r="H28" s="1"/>
      <c r="L28" s="74"/>
      <c r="M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</row>
    <row r="29" spans="1:23">
      <c r="A29" s="647" t="s">
        <v>705</v>
      </c>
      <c r="B29" s="1704">
        <f>ROUNDUP(IF(E29="yes",(E18/3500),0),0)</f>
        <v>0</v>
      </c>
      <c r="C29" s="629">
        <v>500</v>
      </c>
      <c r="D29" s="9">
        <f t="shared" si="1"/>
        <v>0</v>
      </c>
      <c r="E29" s="1703" t="s">
        <v>71</v>
      </c>
      <c r="F29" s="155" t="s">
        <v>71</v>
      </c>
      <c r="G29" s="1"/>
      <c r="H29" s="1"/>
      <c r="L29" s="74"/>
      <c r="M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</row>
    <row r="30" spans="1:23">
      <c r="A30" s="48"/>
      <c r="B30" s="57"/>
      <c r="C30" s="26"/>
      <c r="D30" s="27">
        <f t="shared" si="1"/>
        <v>0</v>
      </c>
      <c r="E30" s="1"/>
      <c r="F30" s="1"/>
      <c r="G30" s="1"/>
      <c r="H30" s="1"/>
      <c r="L30" s="74"/>
      <c r="M30" s="1"/>
      <c r="P30" s="1"/>
      <c r="Q30" s="1"/>
    </row>
    <row r="31" spans="1:23">
      <c r="A31" s="1786" t="s">
        <v>10</v>
      </c>
      <c r="B31" s="1787"/>
      <c r="C31" s="1788"/>
      <c r="D31" s="19">
        <f>ROUNDUP(SUM(D17:D30),0)</f>
        <v>0</v>
      </c>
      <c r="E31" s="1"/>
      <c r="F31" s="1"/>
      <c r="G31" s="1"/>
      <c r="H31" s="1"/>
      <c r="M31" s="1091" t="s">
        <v>672</v>
      </c>
      <c r="N31" s="1092">
        <f>B35/O31</f>
        <v>0</v>
      </c>
      <c r="O31" s="1093">
        <v>6</v>
      </c>
      <c r="P31" s="1094" t="s">
        <v>673</v>
      </c>
    </row>
    <row r="32" spans="1:23">
      <c r="A32" s="39" t="s">
        <v>16</v>
      </c>
      <c r="B32" s="40">
        <v>0.02</v>
      </c>
      <c r="C32" s="1789"/>
      <c r="D32" s="42">
        <f>ROUNDUP(D31*B32,0)</f>
        <v>0</v>
      </c>
      <c r="E32" s="1"/>
      <c r="G32" s="38"/>
      <c r="H32" s="230" t="s">
        <v>201</v>
      </c>
      <c r="I32" s="1"/>
      <c r="J32" s="76"/>
      <c r="M32" s="1091" t="s">
        <v>672</v>
      </c>
      <c r="N32" s="1092">
        <f>B35/O32</f>
        <v>0</v>
      </c>
      <c r="O32" s="1093">
        <v>5</v>
      </c>
      <c r="P32" s="1094" t="s">
        <v>673</v>
      </c>
    </row>
    <row r="33" spans="1:17">
      <c r="A33" s="10" t="s">
        <v>3</v>
      </c>
      <c r="B33" s="36"/>
      <c r="C33" s="13"/>
      <c r="D33" s="16">
        <f>SUM(D31:D32)</f>
        <v>0</v>
      </c>
      <c r="E33" s="123" t="e">
        <f>D33/B35</f>
        <v>#DIV/0!</v>
      </c>
      <c r="F33" s="124" t="s">
        <v>80</v>
      </c>
      <c r="G33" s="7"/>
      <c r="H33" s="231">
        <f>D33</f>
        <v>0</v>
      </c>
      <c r="I33" s="1"/>
      <c r="J33" s="76"/>
      <c r="M33" s="1091" t="s">
        <v>672</v>
      </c>
      <c r="N33" s="1092">
        <f>B35/O33</f>
        <v>0</v>
      </c>
      <c r="O33" s="1093">
        <v>4</v>
      </c>
      <c r="P33" s="1094" t="s">
        <v>673</v>
      </c>
    </row>
    <row r="34" spans="1:17">
      <c r="A34" s="221"/>
      <c r="B34" s="32"/>
      <c r="C34" s="7"/>
      <c r="D34" s="7"/>
      <c r="E34" s="1"/>
      <c r="G34" s="100"/>
      <c r="H34" s="1"/>
      <c r="I34" s="1"/>
      <c r="J34" s="1"/>
      <c r="M34" s="1091" t="s">
        <v>672</v>
      </c>
      <c r="N34" s="1092">
        <f>B35/O34</f>
        <v>0</v>
      </c>
      <c r="O34" s="1093">
        <v>3</v>
      </c>
      <c r="P34" s="1094" t="s">
        <v>673</v>
      </c>
    </row>
    <row r="35" spans="1:17">
      <c r="A35" s="75" t="s">
        <v>45</v>
      </c>
      <c r="B35" s="77">
        <f>E18</f>
        <v>0</v>
      </c>
      <c r="C35" s="75" t="s">
        <v>46</v>
      </c>
      <c r="D35" s="78">
        <f>E19</f>
        <v>0</v>
      </c>
      <c r="E35" s="561" t="s">
        <v>429</v>
      </c>
      <c r="F35" s="135" t="e">
        <f>D35/B35</f>
        <v>#DIV/0!</v>
      </c>
      <c r="G35" s="136" t="s">
        <v>81</v>
      </c>
      <c r="H35" s="137" t="s">
        <v>91</v>
      </c>
      <c r="I35" s="212" t="s">
        <v>159</v>
      </c>
      <c r="J35" s="76"/>
      <c r="K35" s="76"/>
      <c r="L35" s="76"/>
      <c r="M35" s="1091" t="s">
        <v>672</v>
      </c>
      <c r="N35" s="1092">
        <f>B35/O35</f>
        <v>0</v>
      </c>
      <c r="O35" s="1093">
        <v>2</v>
      </c>
      <c r="P35" s="1094" t="s">
        <v>673</v>
      </c>
    </row>
    <row r="36" spans="1:17">
      <c r="A36" s="85" t="s">
        <v>52</v>
      </c>
      <c r="B36" s="68" t="s">
        <v>42</v>
      </c>
      <c r="C36" s="68" t="s">
        <v>47</v>
      </c>
      <c r="D36" s="87" t="s">
        <v>51</v>
      </c>
      <c r="E36" s="1540" t="str">
        <f>(IF(D5="Yes","PW","TOTAL DAYS"))</f>
        <v>TOTAL DAYS</v>
      </c>
      <c r="F36" s="149" t="s">
        <v>155</v>
      </c>
      <c r="G36" s="149" t="s">
        <v>100</v>
      </c>
      <c r="H36" s="149" t="s">
        <v>41</v>
      </c>
      <c r="I36" s="149" t="s">
        <v>157</v>
      </c>
      <c r="J36" s="150" t="s">
        <v>158</v>
      </c>
      <c r="K36" s="518" t="s">
        <v>86</v>
      </c>
      <c r="L36" s="1698" t="s">
        <v>85</v>
      </c>
      <c r="M36" s="76"/>
    </row>
    <row r="37" spans="1:17">
      <c r="A37" s="1090">
        <v>3</v>
      </c>
      <c r="B37" s="600">
        <v>0</v>
      </c>
      <c r="C37" s="916">
        <v>32.200000000000003</v>
      </c>
      <c r="D37" s="70">
        <f>(A37*B37*C37)*IF($E$35="8 hour days",8,10)</f>
        <v>0</v>
      </c>
      <c r="E37" s="151">
        <f>ROUNDUP(SUM(F37:J37),0)</f>
        <v>0</v>
      </c>
      <c r="F37" s="152">
        <f t="shared" ref="F37:J38" si="3">ROUNDUP(Q10*$P$5,1)</f>
        <v>0</v>
      </c>
      <c r="G37" s="152">
        <f t="shared" si="3"/>
        <v>0</v>
      </c>
      <c r="H37" s="152">
        <f t="shared" si="3"/>
        <v>0</v>
      </c>
      <c r="I37" s="152">
        <f t="shared" si="3"/>
        <v>0</v>
      </c>
      <c r="J37" s="152">
        <f t="shared" si="3"/>
        <v>0</v>
      </c>
      <c r="K37" s="153" t="e">
        <f>B35/(D37/C37)</f>
        <v>#DIV/0!</v>
      </c>
      <c r="L37" s="481" t="s">
        <v>586</v>
      </c>
      <c r="M37" s="76"/>
      <c r="N37" s="1683" t="s">
        <v>226</v>
      </c>
    </row>
    <row r="38" spans="1:17">
      <c r="A38" s="1090">
        <v>3</v>
      </c>
      <c r="B38" s="600">
        <v>0</v>
      </c>
      <c r="C38" s="521">
        <f>C37</f>
        <v>32.200000000000003</v>
      </c>
      <c r="D38" s="70">
        <f>(A38*B38*C38)*IF($E$35="8 hour days",8,10)</f>
        <v>0</v>
      </c>
      <c r="E38" s="151">
        <f>ROUNDUP(SUM(F38:J38),0)</f>
        <v>0</v>
      </c>
      <c r="F38" s="152">
        <f t="shared" si="3"/>
        <v>0</v>
      </c>
      <c r="G38" s="152">
        <f t="shared" si="3"/>
        <v>0</v>
      </c>
      <c r="H38" s="152">
        <f t="shared" si="3"/>
        <v>0</v>
      </c>
      <c r="I38" s="152">
        <f t="shared" si="3"/>
        <v>0</v>
      </c>
      <c r="J38" s="152">
        <f t="shared" si="3"/>
        <v>0</v>
      </c>
      <c r="K38" s="153" t="e">
        <f>B34/(D38/C38)</f>
        <v>#DIV/0!</v>
      </c>
      <c r="L38" s="481" t="s">
        <v>586</v>
      </c>
      <c r="M38" s="76"/>
      <c r="N38" s="1684">
        <f>B35</f>
        <v>0</v>
      </c>
    </row>
    <row r="39" spans="1:17">
      <c r="A39" s="86" t="s">
        <v>54</v>
      </c>
      <c r="B39" s="67" t="s">
        <v>42</v>
      </c>
      <c r="C39" s="67" t="s">
        <v>43</v>
      </c>
      <c r="D39" s="71"/>
      <c r="E39" s="453"/>
      <c r="F39" s="575" t="s">
        <v>385</v>
      </c>
      <c r="G39" s="576" t="s">
        <v>619</v>
      </c>
      <c r="H39" s="572"/>
      <c r="I39" s="576" t="s">
        <v>620</v>
      </c>
      <c r="J39" s="573"/>
      <c r="K39" s="1699" t="s">
        <v>619</v>
      </c>
      <c r="L39" s="1700" t="s">
        <v>42</v>
      </c>
      <c r="M39" s="1699" t="s">
        <v>619</v>
      </c>
      <c r="N39" s="1701" t="s">
        <v>1109</v>
      </c>
      <c r="O39" s="1702" t="s">
        <v>1110</v>
      </c>
      <c r="P39" s="1699" t="s">
        <v>42</v>
      </c>
      <c r="Q39" s="1702" t="s">
        <v>1110</v>
      </c>
    </row>
    <row r="40" spans="1:17">
      <c r="A40" s="1089">
        <v>3</v>
      </c>
      <c r="B40" s="1449">
        <v>0.5</v>
      </c>
      <c r="C40" s="521">
        <f>C37</f>
        <v>32.200000000000003</v>
      </c>
      <c r="D40" s="70">
        <f>(A40*B40*C40)*IF($E$35="8 hour days",8,10)</f>
        <v>386.40000000000003</v>
      </c>
      <c r="E40" s="758" t="s">
        <v>937</v>
      </c>
      <c r="F40" s="574">
        <f>B35/10000</f>
        <v>0</v>
      </c>
      <c r="G40" s="577" t="s">
        <v>621</v>
      </c>
      <c r="H40" s="578" t="s">
        <v>624</v>
      </c>
      <c r="I40" s="581" t="s">
        <v>621</v>
      </c>
      <c r="J40" s="578" t="s">
        <v>626</v>
      </c>
      <c r="K40" s="1688" t="s">
        <v>1134</v>
      </c>
      <c r="L40" s="1689">
        <f>N38*M40</f>
        <v>0</v>
      </c>
      <c r="M40" s="1690">
        <f>((2*1)/1000)/2</f>
        <v>1E-3</v>
      </c>
      <c r="N40" s="1691" t="s">
        <v>621</v>
      </c>
      <c r="O40" s="1692">
        <f>((2*2.5)/1000)/2</f>
        <v>2.5000000000000001E-3</v>
      </c>
      <c r="P40" s="1689">
        <f>N38*O40</f>
        <v>0</v>
      </c>
      <c r="Q40" s="1692" t="s">
        <v>1134</v>
      </c>
    </row>
    <row r="41" spans="1:17">
      <c r="A41" s="86" t="s">
        <v>217</v>
      </c>
      <c r="B41" s="67" t="s">
        <v>42</v>
      </c>
      <c r="C41" s="67" t="s">
        <v>43</v>
      </c>
      <c r="D41" s="71"/>
      <c r="E41" s="453"/>
      <c r="F41" s="1523" t="s">
        <v>1026</v>
      </c>
      <c r="G41" s="69" t="s">
        <v>623</v>
      </c>
      <c r="H41" s="579" t="s">
        <v>625</v>
      </c>
      <c r="I41" s="69" t="s">
        <v>623</v>
      </c>
      <c r="J41" s="579" t="s">
        <v>627</v>
      </c>
      <c r="K41" s="1693" t="s">
        <v>1134</v>
      </c>
      <c r="L41" s="1694">
        <f>N38*M41</f>
        <v>0</v>
      </c>
      <c r="M41" s="1695">
        <f>((2*3)/5000)/2</f>
        <v>5.9999999999999995E-4</v>
      </c>
      <c r="N41" s="1696" t="s">
        <v>623</v>
      </c>
      <c r="O41" s="1697">
        <f>((3*5)/5000)/3</f>
        <v>1E-3</v>
      </c>
      <c r="P41" s="1694">
        <f>N38*O41</f>
        <v>0</v>
      </c>
      <c r="Q41" s="1697" t="s">
        <v>1135</v>
      </c>
    </row>
    <row r="42" spans="1:17">
      <c r="A42" s="1090">
        <f>IF(F29="NO",2,4)</f>
        <v>2</v>
      </c>
      <c r="B42" s="532">
        <f>MROUND(IF(E29="no",0,IF(E18&lt;1000,1,IF(E18&lt;2500,2,IF(E18&lt;10000,3,IF(E18&lt;15000,4,E18/3750))))),0.5)</f>
        <v>0</v>
      </c>
      <c r="C42" s="521">
        <f>C37</f>
        <v>32.200000000000003</v>
      </c>
      <c r="D42" s="70">
        <f>(A42*B42*C42)*IF($E$35="8 hour days",8,10)</f>
        <v>0</v>
      </c>
      <c r="E42" s="453"/>
      <c r="F42" s="1524">
        <f>B35/5000</f>
        <v>0</v>
      </c>
      <c r="G42" s="533" t="s">
        <v>622</v>
      </c>
      <c r="H42" s="580" t="s">
        <v>635</v>
      </c>
      <c r="I42" s="533" t="s">
        <v>622</v>
      </c>
      <c r="J42" s="580" t="s">
        <v>628</v>
      </c>
      <c r="K42" s="1687" t="s">
        <v>1135</v>
      </c>
      <c r="L42" s="1685">
        <f>N38*M42</f>
        <v>0</v>
      </c>
      <c r="M42" s="1681">
        <f>((3*3.5)/10000)/3</f>
        <v>3.5E-4</v>
      </c>
      <c r="N42" s="1680" t="s">
        <v>622</v>
      </c>
      <c r="O42" s="1682">
        <f>((4*7)/10000)/4</f>
        <v>6.9999999999999999E-4</v>
      </c>
      <c r="P42" s="1686">
        <f>N38*O42</f>
        <v>0</v>
      </c>
      <c r="Q42" s="1682" t="s">
        <v>1136</v>
      </c>
    </row>
    <row r="43" spans="1:17">
      <c r="A43" s="88" t="s">
        <v>55</v>
      </c>
      <c r="B43" s="67" t="s">
        <v>44</v>
      </c>
      <c r="C43" s="67"/>
      <c r="D43" s="71"/>
      <c r="E43" s="453"/>
      <c r="G43" s="1894" t="s">
        <v>630</v>
      </c>
      <c r="H43" s="1895"/>
      <c r="I43" s="1895"/>
      <c r="J43" s="1896"/>
      <c r="K43" s="1"/>
      <c r="L43" s="1"/>
      <c r="M43" s="1"/>
    </row>
    <row r="44" spans="1:17">
      <c r="A44" s="1088">
        <f>(A37*B37)+(A38*B38)+(A40*B40)+(A42*B42)</f>
        <v>1.5</v>
      </c>
      <c r="B44" s="1087">
        <f>Polish!B44</f>
        <v>0</v>
      </c>
      <c r="C44" s="916">
        <v>32.200000000000003</v>
      </c>
      <c r="D44" s="70">
        <f>(A44*B44*C44)</f>
        <v>0</v>
      </c>
      <c r="E44" s="758" t="str">
        <f>Polish!E44</f>
        <v>Drive Time: ?</v>
      </c>
      <c r="G44" s="585"/>
      <c r="H44" s="774"/>
      <c r="I44" s="158">
        <f>(((D45-D44)/C37)/A37)/40</f>
        <v>0.10015527950310558</v>
      </c>
      <c r="J44" s="234" t="s">
        <v>117</v>
      </c>
      <c r="K44" s="235"/>
    </row>
    <row r="45" spans="1:17">
      <c r="A45" s="226" t="s">
        <v>4</v>
      </c>
      <c r="B45" s="164"/>
      <c r="C45" s="164"/>
      <c r="D45" s="520">
        <f>ROUNDUP(SUM(D37:D44),0)</f>
        <v>387</v>
      </c>
      <c r="E45" s="123" t="e">
        <f>D45/B35</f>
        <v>#DIV/0!</v>
      </c>
      <c r="F45" s="124" t="s">
        <v>87</v>
      </c>
      <c r="G45" s="705"/>
      <c r="H45" s="1143"/>
      <c r="I45" s="222">
        <f>ROUNDUP(I44,0)</f>
        <v>1</v>
      </c>
      <c r="J45" s="236" t="s">
        <v>118</v>
      </c>
      <c r="K45" s="237"/>
    </row>
    <row r="46" spans="1:17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705"/>
      <c r="H46" s="705"/>
      <c r="I46" s="1531"/>
      <c r="J46" s="1532"/>
    </row>
    <row r="47" spans="1:17">
      <c r="A47" s="226" t="s">
        <v>145</v>
      </c>
      <c r="B47" s="164"/>
      <c r="C47" s="227">
        <v>0.12</v>
      </c>
      <c r="D47" s="520">
        <f>ROUNDUP((D45+D46)*C47,0)</f>
        <v>47</v>
      </c>
      <c r="E47" s="1"/>
      <c r="F47" s="1"/>
      <c r="G47" s="705"/>
      <c r="I47" s="1585" t="s">
        <v>1052</v>
      </c>
      <c r="J47" s="1586"/>
      <c r="K47" s="1587" t="s">
        <v>1063</v>
      </c>
      <c r="L47" s="1588"/>
      <c r="N47" s="76"/>
      <c r="O47" s="571" t="s">
        <v>604</v>
      </c>
    </row>
    <row r="48" spans="1:17">
      <c r="A48" s="1"/>
      <c r="B48" s="32"/>
      <c r="C48" s="7"/>
      <c r="D48" s="7"/>
      <c r="E48" s="7"/>
      <c r="F48" s="1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"/>
      <c r="O48" s="76" t="s">
        <v>62</v>
      </c>
    </row>
    <row r="49" spans="1:18">
      <c r="A49" s="5" t="s">
        <v>130</v>
      </c>
      <c r="B49" s="30" t="s">
        <v>11</v>
      </c>
      <c r="C49" s="11" t="s">
        <v>1</v>
      </c>
      <c r="D49" s="12" t="s">
        <v>51</v>
      </c>
      <c r="E49" s="1"/>
      <c r="F49" s="1"/>
      <c r="G49" s="97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"/>
      <c r="O49" s="76" t="s">
        <v>63</v>
      </c>
    </row>
    <row r="50" spans="1:18">
      <c r="A50" s="6"/>
      <c r="B50" s="37"/>
      <c r="C50" s="7"/>
      <c r="D50" s="9"/>
      <c r="E50" s="1"/>
      <c r="F50" s="307" t="s">
        <v>1249</v>
      </c>
      <c r="G50" s="583" t="s">
        <v>1250</v>
      </c>
      <c r="H50" s="93"/>
      <c r="I50" s="1580" t="s">
        <v>1051</v>
      </c>
      <c r="J50" s="1581">
        <v>0</v>
      </c>
      <c r="K50" s="1580" t="s">
        <v>1051</v>
      </c>
      <c r="L50" s="1581">
        <v>0</v>
      </c>
      <c r="N50" s="76"/>
      <c r="O50" s="76" t="s">
        <v>64</v>
      </c>
    </row>
    <row r="51" spans="1:18">
      <c r="A51" s="6" t="s">
        <v>75</v>
      </c>
      <c r="B51" s="37">
        <f>B35</f>
        <v>0</v>
      </c>
      <c r="C51" s="411">
        <v>0.27</v>
      </c>
      <c r="D51" s="9">
        <f>ROUNDUP(IF((B51*C51)&gt;150,(B51*C51),150),0)</f>
        <v>150</v>
      </c>
      <c r="E51" s="1"/>
      <c r="F51" s="307" t="s">
        <v>1248</v>
      </c>
      <c r="G51" s="1"/>
      <c r="H51" s="154"/>
      <c r="I51" s="864" t="s">
        <v>1070</v>
      </c>
      <c r="J51" s="1582"/>
      <c r="K51" s="864" t="s">
        <v>1072</v>
      </c>
      <c r="L51" s="1582"/>
      <c r="N51" s="76"/>
      <c r="O51" s="76" t="s">
        <v>65</v>
      </c>
    </row>
    <row r="52" spans="1:18" ht="16.2" thickBot="1">
      <c r="A52" s="6" t="s">
        <v>174</v>
      </c>
      <c r="B52" s="37"/>
      <c r="C52" s="7">
        <v>0.33</v>
      </c>
      <c r="D52" s="9">
        <f t="shared" ref="D52:D54" si="4">ROUNDUP(B52*C52,0)</f>
        <v>0</v>
      </c>
      <c r="E52" s="787" t="s">
        <v>1246</v>
      </c>
      <c r="F52" s="1"/>
      <c r="G52" s="74" t="s">
        <v>173</v>
      </c>
      <c r="H52" s="154"/>
      <c r="I52" s="1583" t="s">
        <v>1082</v>
      </c>
      <c r="J52" s="1584"/>
      <c r="K52" s="1583" t="s">
        <v>1084</v>
      </c>
      <c r="L52" s="1584"/>
      <c r="N52" s="76"/>
      <c r="O52" s="76" t="s">
        <v>66</v>
      </c>
    </row>
    <row r="53" spans="1:18" ht="16.2" thickBot="1">
      <c r="A53" s="6" t="s">
        <v>57</v>
      </c>
      <c r="B53" s="37">
        <v>0</v>
      </c>
      <c r="C53" s="7">
        <v>210</v>
      </c>
      <c r="D53" s="9">
        <f t="shared" si="4"/>
        <v>0</v>
      </c>
      <c r="E53" s="570" t="s">
        <v>618</v>
      </c>
      <c r="F53" s="1"/>
      <c r="G53" s="1"/>
      <c r="H53" s="37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"/>
      <c r="O53" s="76" t="s">
        <v>67</v>
      </c>
    </row>
    <row r="54" spans="1:18" ht="16.2" thickBot="1">
      <c r="A54" s="6" t="s">
        <v>56</v>
      </c>
      <c r="B54" s="37" t="b">
        <f>IF(E25="yes",D35,IF(B35&gt;4999,IF(B10="reno",D35)))</f>
        <v>0</v>
      </c>
      <c r="C54" s="7">
        <v>0.25</v>
      </c>
      <c r="D54" s="9">
        <f t="shared" si="4"/>
        <v>0</v>
      </c>
      <c r="E54" s="1" t="s">
        <v>150</v>
      </c>
      <c r="F54" s="1"/>
      <c r="G54" s="1"/>
      <c r="H54" s="37"/>
      <c r="I54" s="1600"/>
      <c r="J54" s="1600" t="s">
        <v>1076</v>
      </c>
      <c r="K54" s="1594"/>
      <c r="L54" s="590" t="s">
        <v>1080</v>
      </c>
    </row>
    <row r="55" spans="1:18">
      <c r="A55" s="1570" t="s">
        <v>132</v>
      </c>
      <c r="B55" s="1571"/>
      <c r="C55" s="1572"/>
      <c r="D55" s="1573">
        <f>SUM(D50:D54)</f>
        <v>150</v>
      </c>
      <c r="E55" s="1"/>
      <c r="F55" s="1"/>
      <c r="G55" s="74"/>
      <c r="H55" s="1450" t="str">
        <f>E35</f>
        <v>8 hour days</v>
      </c>
      <c r="I55" s="714"/>
      <c r="J55" s="1561"/>
      <c r="K55" s="585"/>
      <c r="L55" s="1"/>
    </row>
    <row r="56" spans="1:18">
      <c r="A56" s="1"/>
      <c r="B56" s="32"/>
      <c r="C56" s="7"/>
      <c r="D56" s="7"/>
      <c r="E56" s="1"/>
      <c r="F56" s="1"/>
      <c r="G56" s="1409" t="s">
        <v>567</v>
      </c>
      <c r="H56" s="1410">
        <f>(((A37*B37)+(A38*B38)+(A40*B40)+(A42*B42))*IF($E$35="8 hour days",8,10))+(A44*B44)</f>
        <v>12</v>
      </c>
      <c r="I56" s="600"/>
      <c r="J56" s="605"/>
      <c r="K56" s="605"/>
      <c r="N56" s="458" t="s">
        <v>629</v>
      </c>
      <c r="O56" s="458"/>
    </row>
    <row r="57" spans="1:18">
      <c r="A57" s="5" t="s">
        <v>131</v>
      </c>
      <c r="B57" s="30" t="s">
        <v>11</v>
      </c>
      <c r="C57" s="11" t="s">
        <v>1</v>
      </c>
      <c r="D57" s="12" t="s">
        <v>51</v>
      </c>
      <c r="E57" s="1"/>
      <c r="F57" s="1"/>
      <c r="G57" s="1048" t="s">
        <v>568</v>
      </c>
      <c r="H57" s="1389">
        <f>H56/IF($E$35="8 hour days",8,10)/H58</f>
        <v>0.5</v>
      </c>
      <c r="I57" s="629"/>
      <c r="J57" s="1562"/>
      <c r="K57" s="585"/>
      <c r="L57" s="585"/>
      <c r="N57" s="389" t="s">
        <v>390</v>
      </c>
      <c r="O57" s="389"/>
      <c r="P57" s="389"/>
      <c r="Q57" s="389"/>
    </row>
    <row r="58" spans="1:18">
      <c r="A58" s="6" t="s">
        <v>68</v>
      </c>
      <c r="B58" s="37" t="b">
        <f>IF(B4="No",((D45-D44)/C37)/8)</f>
        <v>0</v>
      </c>
      <c r="C58" s="7">
        <v>70</v>
      </c>
      <c r="D58" s="9">
        <f t="shared" ref="D58:D60" si="5">ROUNDUP(B58*C58,0)</f>
        <v>0</v>
      </c>
      <c r="E58" s="1"/>
      <c r="F58" s="1"/>
      <c r="G58" s="1444" t="s">
        <v>931</v>
      </c>
      <c r="H58" s="1445">
        <f>A37</f>
        <v>3</v>
      </c>
      <c r="I58" s="662"/>
      <c r="J58" s="1562"/>
      <c r="K58" s="585"/>
      <c r="L58" s="585"/>
      <c r="N58" s="398" t="s">
        <v>389</v>
      </c>
      <c r="O58" s="398"/>
      <c r="P58" s="398"/>
      <c r="Q58" s="398"/>
      <c r="R58" s="398"/>
    </row>
    <row r="59" spans="1:18">
      <c r="A59" s="6" t="s">
        <v>69</v>
      </c>
      <c r="B59" s="37" t="b">
        <f>B58</f>
        <v>0</v>
      </c>
      <c r="C59" s="7">
        <v>45</v>
      </c>
      <c r="D59" s="9">
        <f t="shared" si="5"/>
        <v>0</v>
      </c>
      <c r="E59" s="43"/>
      <c r="F59" s="1"/>
      <c r="G59" s="1"/>
      <c r="H59" s="93"/>
      <c r="I59" s="629"/>
      <c r="J59" s="1562"/>
      <c r="K59" s="585"/>
      <c r="L59" s="585"/>
      <c r="N59" s="458" t="s">
        <v>448</v>
      </c>
      <c r="O59" s="458"/>
      <c r="P59" s="458"/>
      <c r="Q59" s="458"/>
      <c r="R59" s="458"/>
    </row>
    <row r="60" spans="1:18">
      <c r="A60" s="6"/>
      <c r="B60" s="37"/>
      <c r="C60" s="7"/>
      <c r="D60" s="9">
        <f t="shared" si="5"/>
        <v>0</v>
      </c>
      <c r="E60" s="1"/>
      <c r="F60" s="1"/>
      <c r="G60" s="1"/>
      <c r="H60" s="37"/>
      <c r="I60" s="714"/>
      <c r="J60" s="1561"/>
      <c r="K60" s="585"/>
      <c r="L60" s="585"/>
      <c r="O60" s="458" t="s">
        <v>449</v>
      </c>
      <c r="P60" s="458"/>
      <c r="Q60" s="458"/>
      <c r="R60" s="458"/>
    </row>
    <row r="61" spans="1:18">
      <c r="A61" s="1570" t="s">
        <v>133</v>
      </c>
      <c r="B61" s="1571"/>
      <c r="C61" s="1572"/>
      <c r="D61" s="1573">
        <f>SUM(D58:D60)</f>
        <v>0</v>
      </c>
      <c r="E61" s="1"/>
      <c r="F61" s="1"/>
      <c r="G61" s="74"/>
      <c r="H61" s="80"/>
      <c r="I61" s="714"/>
      <c r="J61" s="1561"/>
      <c r="K61" s="585"/>
      <c r="L61" s="585"/>
    </row>
    <row r="62" spans="1:18">
      <c r="A62" s="1"/>
      <c r="B62" s="32"/>
      <c r="C62" s="7"/>
      <c r="D62" s="7"/>
      <c r="E62" s="1"/>
      <c r="F62" s="1"/>
      <c r="G62" s="1"/>
    </row>
    <row r="63" spans="1:18">
      <c r="A63" s="1"/>
      <c r="B63" s="32"/>
      <c r="C63" s="7"/>
      <c r="D63" s="7"/>
      <c r="E63" s="1"/>
      <c r="F63" s="1"/>
      <c r="G63" s="1"/>
    </row>
    <row r="64" spans="1:18">
      <c r="A64" s="165" t="s">
        <v>9</v>
      </c>
      <c r="B64" s="166"/>
      <c r="C64" s="404"/>
      <c r="D64" s="167">
        <f>ROUNDUP(SUM(D33,D45:D47,D55,D61),0)</f>
        <v>584</v>
      </c>
      <c r="E64" s="393" t="e">
        <f>D64/B35</f>
        <v>#DIV/0!</v>
      </c>
      <c r="F64" s="235" t="s">
        <v>377</v>
      </c>
      <c r="G64" s="1"/>
    </row>
    <row r="65" spans="1:12">
      <c r="A65" s="1"/>
      <c r="B65" s="32"/>
      <c r="C65" s="7"/>
      <c r="D65" s="7"/>
      <c r="E65" s="1"/>
      <c r="F65" s="1"/>
      <c r="G65" s="1"/>
    </row>
    <row r="66" spans="1:12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584</v>
      </c>
      <c r="G66" s="811" t="s">
        <v>428</v>
      </c>
      <c r="H66" s="812"/>
      <c r="I66" s="813" t="e">
        <f>F66/C81</f>
        <v>#DIV/0!</v>
      </c>
    </row>
    <row r="67" spans="1:12">
      <c r="A67" s="817" t="s">
        <v>215</v>
      </c>
      <c r="B67" s="122">
        <f>IF(D64&lt;6500,0.52,IF(D64&lt;15000,0.45,IF(D64&lt;22500,0.35,IF(D64&lt;32500,0.32,IF(D64&lt;42500,0.3,0.28)))))</f>
        <v>0.52</v>
      </c>
      <c r="C67" s="629"/>
      <c r="D67" s="9">
        <f>ROUNDUP(SUM(D64,D74,D77)/(1-B67),0)-ROUNDUP(SUM(D64,D74,D77),0)</f>
        <v>633</v>
      </c>
      <c r="E67" s="600"/>
      <c r="F67" s="814">
        <f>(((A37*B37)+(A38*B38)+(A40*B40)+(A42*B42))*IF($E$35="8 hour days",8,10))+(A44*B44)</f>
        <v>12</v>
      </c>
      <c r="G67" s="815" t="s">
        <v>505</v>
      </c>
      <c r="H67" s="815"/>
      <c r="I67" s="585"/>
    </row>
    <row r="68" spans="1:12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1266</v>
      </c>
      <c r="G68" s="1447" t="s">
        <v>1036</v>
      </c>
      <c r="H68" s="809" t="str">
        <f>E35</f>
        <v>8 hour days</v>
      </c>
      <c r="I68" s="585"/>
    </row>
    <row r="69" spans="1:12">
      <c r="A69" s="628" t="s">
        <v>724</v>
      </c>
      <c r="B69" s="819">
        <v>2.7E-2</v>
      </c>
      <c r="C69" s="803"/>
      <c r="D69" s="648">
        <f>ROUNDUP(SUM(D64:D68,D71,D74,D77)*B69,0)</f>
        <v>33</v>
      </c>
      <c r="E69" s="600"/>
      <c r="F69" s="585"/>
      <c r="G69" s="585"/>
      <c r="H69" s="585"/>
      <c r="I69" s="585"/>
    </row>
    <row r="70" spans="1:12">
      <c r="A70" s="628" t="s">
        <v>135</v>
      </c>
      <c r="B70" s="241">
        <v>0.16</v>
      </c>
      <c r="C70" s="803"/>
      <c r="D70" s="648">
        <f>(ROUNDUP(SUM(D64:D69,D71,D74,D77)*B70,0))+0</f>
        <v>200</v>
      </c>
      <c r="E70" s="600"/>
      <c r="F70" s="600"/>
      <c r="G70" s="775"/>
      <c r="H70" s="585"/>
      <c r="I70" s="585"/>
    </row>
    <row r="71" spans="1:12">
      <c r="A71" s="820" t="s">
        <v>210</v>
      </c>
      <c r="B71" s="1575" t="s">
        <v>1060</v>
      </c>
      <c r="C71" s="1563"/>
      <c r="D71" s="1574">
        <v>0</v>
      </c>
      <c r="E71" s="600"/>
      <c r="F71" s="585"/>
      <c r="G71" s="585"/>
      <c r="H71" s="585"/>
      <c r="I71" s="808"/>
      <c r="J71" s="98"/>
    </row>
    <row r="72" spans="1:12">
      <c r="A72" s="600"/>
      <c r="B72" s="775"/>
      <c r="C72" s="629"/>
      <c r="D72" s="629"/>
      <c r="E72" s="600"/>
      <c r="F72" s="585"/>
      <c r="G72" s="585"/>
      <c r="H72" s="585"/>
      <c r="I72" s="808"/>
    </row>
    <row r="73" spans="1:12">
      <c r="A73" s="621" t="s">
        <v>152</v>
      </c>
      <c r="B73" s="622" t="s">
        <v>7</v>
      </c>
      <c r="C73" s="778"/>
      <c r="D73" s="12" t="s">
        <v>51</v>
      </c>
      <c r="E73" s="600"/>
      <c r="H73" s="585"/>
      <c r="I73" s="585"/>
      <c r="J73" s="1646">
        <f>(J76-J74-J75)</f>
        <v>1450</v>
      </c>
      <c r="K73" s="590"/>
    </row>
    <row r="74" spans="1:12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H74" s="585"/>
      <c r="I74" s="585"/>
      <c r="J74" s="1646"/>
      <c r="K74" s="585" t="s">
        <v>1118</v>
      </c>
    </row>
    <row r="75" spans="1:12">
      <c r="A75" s="804" t="str">
        <f>Polish!A75</f>
        <v>Kansas Remodel Tax</v>
      </c>
      <c r="B75" s="805">
        <f>IF(D6="yes",0.1,0)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H75" s="585"/>
      <c r="J75" s="1647"/>
      <c r="K75" s="784" t="s">
        <v>1119</v>
      </c>
    </row>
    <row r="76" spans="1:12">
      <c r="A76" s="1565" t="s">
        <v>1054</v>
      </c>
      <c r="B76" s="1566"/>
      <c r="C76" s="1567"/>
      <c r="D76" s="1568">
        <f>SUM(D74:D75)</f>
        <v>0</v>
      </c>
      <c r="E76" s="758"/>
      <c r="H76" s="585"/>
      <c r="J76" s="1646">
        <f>D82</f>
        <v>1450</v>
      </c>
      <c r="K76" s="590" t="s">
        <v>1117</v>
      </c>
    </row>
    <row r="77" spans="1:12">
      <c r="A77" s="628" t="s">
        <v>1055</v>
      </c>
      <c r="B77" s="802"/>
      <c r="C77" s="629"/>
      <c r="D77" s="648">
        <f>ROUNDUP(B77*C77,0)</f>
        <v>0</v>
      </c>
      <c r="E77" s="600"/>
      <c r="F77" s="600"/>
      <c r="G77" s="600"/>
      <c r="H77" s="585"/>
    </row>
    <row r="78" spans="1:12">
      <c r="A78" s="635" t="s">
        <v>20</v>
      </c>
      <c r="B78" s="806">
        <v>0</v>
      </c>
      <c r="C78" s="636"/>
      <c r="D78" s="807">
        <f>ROUNDUP(SUM(D64,D67,D68,D69:D71,D74,D75:D77)*B78,0)</f>
        <v>0</v>
      </c>
      <c r="E78" s="600"/>
      <c r="F78" s="600"/>
      <c r="G78" s="600"/>
      <c r="H78" s="585"/>
    </row>
    <row r="79" spans="1:12">
      <c r="A79" s="789" t="s">
        <v>1061</v>
      </c>
      <c r="B79" s="790"/>
      <c r="C79" s="791"/>
      <c r="D79" s="792">
        <f>ROUNDUP(SUM(D77:D78),0)</f>
        <v>0</v>
      </c>
      <c r="E79" s="600"/>
      <c r="F79" s="600"/>
      <c r="G79" s="585"/>
      <c r="H79" s="585"/>
      <c r="I79" s="1"/>
      <c r="J79" s="1"/>
      <c r="K79" s="1"/>
    </row>
    <row r="80" spans="1:12">
      <c r="A80" s="1"/>
      <c r="B80" s="8"/>
      <c r="C80" s="7"/>
      <c r="D80" s="7"/>
      <c r="E80" s="1"/>
      <c r="F80" s="191" t="s">
        <v>70</v>
      </c>
      <c r="G80" s="232" t="s">
        <v>378</v>
      </c>
      <c r="H80" s="1618" t="s">
        <v>1098</v>
      </c>
      <c r="I80" s="823"/>
      <c r="J80" s="180"/>
      <c r="K80" s="1434" t="s">
        <v>211</v>
      </c>
      <c r="L80" s="1466"/>
    </row>
    <row r="81" spans="1:28" ht="16.2" thickBot="1">
      <c r="A81" s="1"/>
      <c r="B81" s="190" t="s">
        <v>45</v>
      </c>
      <c r="C81" s="99">
        <f>B35</f>
        <v>0</v>
      </c>
      <c r="D81" s="7"/>
      <c r="E81" s="38" t="s">
        <v>18</v>
      </c>
      <c r="F81" s="1627">
        <f>SUM(D67,D68,D71)</f>
        <v>633</v>
      </c>
      <c r="G81" s="1626">
        <f>F81/F67</f>
        <v>52.75</v>
      </c>
      <c r="H81" s="1619">
        <f>SUM(D67:D71)</f>
        <v>866</v>
      </c>
      <c r="I81" s="585"/>
      <c r="J81" s="480" t="s">
        <v>212</v>
      </c>
      <c r="K81" s="232" t="s">
        <v>213</v>
      </c>
      <c r="L81" s="232" t="s">
        <v>214</v>
      </c>
      <c r="M81" s="1"/>
    </row>
    <row r="82" spans="1:28" ht="16.2" thickBot="1">
      <c r="A82" s="186" t="s">
        <v>6</v>
      </c>
      <c r="B82" s="187"/>
      <c r="C82" s="188" t="e">
        <f>D82/C81</f>
        <v>#DIV/0!</v>
      </c>
      <c r="D82" s="832">
        <f>SUM(D64,D67:D71,D76,D79)</f>
        <v>1450</v>
      </c>
      <c r="E82" s="629">
        <f>D82-(D74+D75)</f>
        <v>1450</v>
      </c>
      <c r="F82" s="1628">
        <f>F81/(D82)</f>
        <v>0.43655172413793103</v>
      </c>
      <c r="G82" s="1626">
        <f>C37</f>
        <v>32.200000000000003</v>
      </c>
      <c r="H82" s="1620">
        <f>H81/D82</f>
        <v>0.59724137931034482</v>
      </c>
      <c r="I82" s="1625" t="s">
        <v>1101</v>
      </c>
      <c r="J82" s="242">
        <f>(H33+D55)/D82</f>
        <v>0.10344827586206896</v>
      </c>
      <c r="K82" s="828">
        <f>(SUM(D45:D47)/D82)</f>
        <v>0.29931034482758623</v>
      </c>
      <c r="L82" s="242">
        <f>D61/D82</f>
        <v>0</v>
      </c>
      <c r="M82" s="1"/>
      <c r="N82" s="1"/>
    </row>
    <row r="83" spans="1:28">
      <c r="A83" s="221"/>
      <c r="B83" s="1"/>
      <c r="C83" s="7" t="e">
        <f>D83/C81</f>
        <v>#DIV/0!</v>
      </c>
      <c r="D83" s="629">
        <f>D82-D75</f>
        <v>1450</v>
      </c>
      <c r="E83" s="753" t="s">
        <v>147</v>
      </c>
      <c r="G83" s="405">
        <f>C37</f>
        <v>32.200000000000003</v>
      </c>
      <c r="H83" s="220"/>
      <c r="I83" s="1631" t="s">
        <v>1105</v>
      </c>
      <c r="J83" s="220"/>
      <c r="L83" s="1"/>
      <c r="M83" s="1"/>
      <c r="N83" s="1"/>
      <c r="O83" s="1"/>
    </row>
    <row r="84" spans="1:28">
      <c r="A84" s="221"/>
      <c r="B84" s="1"/>
      <c r="C84" s="445"/>
      <c r="D84" s="211"/>
      <c r="E84" s="189"/>
      <c r="J84" s="1098">
        <f>SUM(D33,D55)</f>
        <v>150</v>
      </c>
      <c r="K84" s="1099">
        <f>J84/J87</f>
        <v>0.10344827586206896</v>
      </c>
      <c r="L84" s="1100" t="s">
        <v>674</v>
      </c>
      <c r="M84" s="759" t="s">
        <v>675</v>
      </c>
      <c r="N84" s="1"/>
      <c r="O84" s="1"/>
    </row>
    <row r="85" spans="1:28">
      <c r="A85" s="221"/>
      <c r="B85" s="1"/>
      <c r="C85" s="445"/>
      <c r="D85" s="211"/>
      <c r="E85" s="189"/>
      <c r="J85" s="1101">
        <f>SUM(D45:D47,D61)</f>
        <v>434</v>
      </c>
      <c r="K85" s="1102">
        <f>J85/J87</f>
        <v>0.29931034482758623</v>
      </c>
      <c r="L85" s="1103" t="s">
        <v>676</v>
      </c>
      <c r="M85" s="600"/>
      <c r="N85" s="1"/>
      <c r="O85" s="1"/>
    </row>
    <row r="86" spans="1:28">
      <c r="A86" s="1"/>
      <c r="B86" s="1"/>
      <c r="C86" s="207"/>
      <c r="D86" s="207"/>
      <c r="E86" s="189"/>
      <c r="J86" s="1104">
        <f>SUM(D67:D71,D76,D79)</f>
        <v>866</v>
      </c>
      <c r="K86" s="1105">
        <f>J86/J87</f>
        <v>0.59724137931034482</v>
      </c>
      <c r="L86" s="1106" t="s">
        <v>678</v>
      </c>
      <c r="M86" s="600"/>
      <c r="N86" s="1"/>
      <c r="O86" s="1"/>
      <c r="P86" s="1"/>
      <c r="Q86" s="1"/>
    </row>
    <row r="87" spans="1:28">
      <c r="A87" s="1"/>
      <c r="B87" s="1"/>
      <c r="C87" s="207"/>
      <c r="D87" s="207"/>
      <c r="E87" s="189"/>
      <c r="J87" s="1104">
        <f>SUM(J84:J86)</f>
        <v>1450</v>
      </c>
      <c r="K87" s="1107">
        <f>SUM(K84:K86)</f>
        <v>1</v>
      </c>
      <c r="L87" s="1106" t="s">
        <v>2</v>
      </c>
      <c r="M87" s="585"/>
      <c r="N87" s="1"/>
      <c r="O87" s="1"/>
      <c r="P87" s="1"/>
      <c r="Q87" s="1"/>
    </row>
    <row r="88" spans="1:28">
      <c r="A88" s="103"/>
      <c r="B88" s="103"/>
      <c r="C88" s="104"/>
      <c r="D88" s="104"/>
      <c r="E88" s="53"/>
      <c r="F88" s="53"/>
      <c r="G88" s="53"/>
      <c r="H88" s="53"/>
      <c r="I88" s="53"/>
      <c r="J88" s="53"/>
      <c r="K88" s="53"/>
      <c r="L88" s="53"/>
      <c r="M88" s="64"/>
      <c r="N88" s="64"/>
      <c r="O88" s="64"/>
      <c r="P88" s="1"/>
      <c r="Q88" s="1"/>
    </row>
    <row r="89" spans="1:28">
      <c r="A89" s="103"/>
      <c r="B89" s="105"/>
      <c r="C89" s="104"/>
      <c r="D89" s="104"/>
      <c r="E89" s="53"/>
      <c r="F89" s="53"/>
      <c r="G89" s="53"/>
      <c r="H89" s="53"/>
      <c r="I89" s="53"/>
      <c r="J89" s="106"/>
      <c r="K89" s="106"/>
      <c r="L89" s="106"/>
      <c r="M89" s="64"/>
      <c r="N89" s="64"/>
      <c r="O89" s="64"/>
      <c r="P89" s="1"/>
      <c r="Q89" s="1"/>
    </row>
    <row r="90" spans="1:28">
      <c r="A90" s="53"/>
      <c r="B90" s="53"/>
      <c r="C90" s="79"/>
      <c r="D90" s="79"/>
      <c r="E90" s="53"/>
      <c r="F90" s="53"/>
      <c r="G90" s="118"/>
      <c r="H90" s="53"/>
      <c r="I90" s="53"/>
      <c r="J90" s="53"/>
      <c r="K90" s="53"/>
      <c r="L90" s="53"/>
      <c r="M90" s="64"/>
      <c r="N90" s="64"/>
      <c r="O90" s="64"/>
      <c r="P90" s="1"/>
      <c r="Q90" s="1"/>
    </row>
    <row r="91" spans="1:28">
      <c r="A91" s="3"/>
      <c r="B91" s="102"/>
      <c r="C91" s="3"/>
      <c r="D91" s="102"/>
      <c r="E91" s="64"/>
      <c r="F91" s="64"/>
      <c r="G91" s="53"/>
      <c r="H91" s="108"/>
      <c r="I91" s="53"/>
      <c r="J91" s="106"/>
      <c r="K91" s="106"/>
      <c r="L91" s="106"/>
      <c r="M91" s="64"/>
      <c r="N91" s="64"/>
      <c r="O91" s="64"/>
      <c r="P91" s="1"/>
      <c r="Q91" s="1"/>
      <c r="AA91" s="64"/>
      <c r="AB91" s="64"/>
    </row>
    <row r="92" spans="1:28">
      <c r="A92" s="53"/>
      <c r="B92" s="53"/>
      <c r="C92" s="53"/>
      <c r="D92" s="53"/>
      <c r="E92" s="106"/>
      <c r="F92" s="64"/>
      <c r="G92" s="53"/>
      <c r="H92" s="53"/>
      <c r="I92" s="53"/>
      <c r="J92" s="79"/>
      <c r="K92" s="53"/>
      <c r="L92" s="53"/>
      <c r="M92" s="64"/>
      <c r="N92" s="64"/>
      <c r="O92" s="64"/>
      <c r="P92" s="1"/>
      <c r="Q92" s="1"/>
      <c r="AA92" s="64"/>
      <c r="AB92" s="64"/>
    </row>
    <row r="93" spans="1:28">
      <c r="A93" s="53"/>
      <c r="B93" s="53"/>
      <c r="C93" s="119"/>
      <c r="D93" s="106"/>
      <c r="E93" s="106"/>
      <c r="F93" s="64"/>
      <c r="G93" s="53"/>
      <c r="H93" s="93"/>
      <c r="I93" s="79"/>
      <c r="J93" s="79"/>
      <c r="K93" s="53"/>
      <c r="L93" s="53"/>
      <c r="M93" s="64"/>
      <c r="N93" s="64"/>
      <c r="O93" s="64"/>
      <c r="P93" s="1"/>
      <c r="Q93" s="1"/>
      <c r="AA93" s="64"/>
      <c r="AB93" s="64"/>
    </row>
    <row r="94" spans="1:28" s="64" customFormat="1">
      <c r="A94" s="53"/>
      <c r="B94" s="53"/>
      <c r="C94" s="53"/>
      <c r="D94" s="53"/>
      <c r="E94" s="53"/>
      <c r="G94" s="53"/>
      <c r="H94" s="93"/>
      <c r="I94" s="79"/>
      <c r="J94" s="79"/>
      <c r="K94" s="53"/>
      <c r="L94" s="53"/>
      <c r="P94" s="53"/>
      <c r="Q94" s="53"/>
    </row>
    <row r="95" spans="1:28" s="64" customFormat="1">
      <c r="A95" s="53"/>
      <c r="B95" s="53"/>
      <c r="C95" s="119"/>
      <c r="D95" s="106"/>
      <c r="E95" s="106"/>
      <c r="G95" s="53"/>
      <c r="H95" s="93"/>
      <c r="I95" s="79"/>
      <c r="J95" s="79"/>
      <c r="K95" s="53"/>
      <c r="L95" s="53"/>
    </row>
    <row r="96" spans="1:28" s="64" customFormat="1">
      <c r="A96" s="111"/>
      <c r="B96" s="53"/>
      <c r="C96" s="53"/>
      <c r="D96" s="53"/>
      <c r="E96" s="53"/>
      <c r="G96" s="53"/>
      <c r="H96" s="93"/>
      <c r="I96" s="79"/>
      <c r="J96" s="79"/>
      <c r="K96" s="53"/>
      <c r="L96" s="53"/>
    </row>
    <row r="97" spans="1:12" s="64" customFormat="1">
      <c r="A97" s="53"/>
      <c r="B97" s="53"/>
      <c r="C97" s="119"/>
      <c r="D97" s="106"/>
      <c r="E97" s="106"/>
      <c r="G97" s="53"/>
      <c r="H97" s="93"/>
      <c r="I97" s="79"/>
      <c r="J97" s="79"/>
      <c r="K97" s="53"/>
      <c r="L97" s="53"/>
    </row>
    <row r="98" spans="1:12" s="64" customFormat="1">
      <c r="A98" s="387"/>
      <c r="B98" s="53"/>
      <c r="C98" s="53"/>
      <c r="D98" s="109"/>
      <c r="E98" s="109"/>
      <c r="F98" s="53"/>
      <c r="G98" s="103"/>
      <c r="H98" s="103"/>
      <c r="I98" s="104"/>
      <c r="J98" s="104"/>
    </row>
    <row r="99" spans="1:12" s="64" customFormat="1">
      <c r="A99" s="388"/>
      <c r="B99" s="53"/>
      <c r="C99" s="79"/>
      <c r="D99" s="79"/>
      <c r="E99" s="79"/>
      <c r="F99" s="53"/>
      <c r="G99" s="53"/>
      <c r="H99" s="53"/>
    </row>
    <row r="100" spans="1:12" s="64" customFormat="1">
      <c r="A100" s="389"/>
      <c r="B100" s="53"/>
      <c r="C100" s="53"/>
      <c r="D100" s="79"/>
      <c r="E100" s="53"/>
      <c r="F100" s="53"/>
      <c r="G100" s="53"/>
      <c r="H100" s="53"/>
      <c r="K100" s="53"/>
      <c r="L100" s="53"/>
    </row>
    <row r="101" spans="1:12" s="64" customFormat="1">
      <c r="A101" s="390"/>
      <c r="B101" s="93"/>
      <c r="C101" s="79"/>
      <c r="D101" s="79"/>
      <c r="E101" s="53"/>
      <c r="F101" s="53"/>
      <c r="G101" s="102"/>
      <c r="H101" s="93"/>
      <c r="I101" s="53"/>
      <c r="J101" s="79"/>
      <c r="K101" s="53"/>
      <c r="L101" s="53"/>
    </row>
    <row r="102" spans="1:12" s="64" customFormat="1">
      <c r="A102" s="391"/>
      <c r="B102" s="93"/>
      <c r="C102" s="79"/>
      <c r="D102" s="79"/>
      <c r="E102" s="53"/>
      <c r="F102" s="53"/>
      <c r="G102" s="53"/>
      <c r="H102" s="93"/>
      <c r="I102" s="79"/>
      <c r="J102" s="79"/>
      <c r="K102" s="53"/>
      <c r="L102" s="53"/>
    </row>
    <row r="103" spans="1:12" s="64" customFormat="1">
      <c r="A103" s="392"/>
      <c r="B103" s="93"/>
      <c r="C103" s="79"/>
      <c r="D103" s="79"/>
      <c r="E103" s="53"/>
      <c r="F103" s="53"/>
      <c r="G103" s="53"/>
      <c r="H103" s="93"/>
      <c r="I103" s="79"/>
      <c r="J103" s="79"/>
      <c r="K103" s="53"/>
      <c r="L103" s="53"/>
    </row>
    <row r="104" spans="1:12" s="64" customFormat="1">
      <c r="A104" s="449"/>
      <c r="B104" s="93"/>
      <c r="C104" s="79"/>
      <c r="D104" s="79"/>
      <c r="E104" s="111"/>
      <c r="F104" s="53"/>
      <c r="G104" s="53"/>
      <c r="H104" s="93"/>
      <c r="I104" s="79"/>
      <c r="J104" s="79"/>
      <c r="K104" s="53"/>
      <c r="L104" s="53"/>
    </row>
    <row r="105" spans="1:12" s="64" customFormat="1">
      <c r="A105" s="544"/>
      <c r="B105" s="93"/>
      <c r="C105" s="79"/>
      <c r="D105" s="79"/>
      <c r="E105" s="111"/>
      <c r="F105" s="53"/>
      <c r="G105" s="53"/>
      <c r="H105" s="93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79"/>
      <c r="J109" s="79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104"/>
      <c r="J110" s="104"/>
      <c r="K110" s="53"/>
      <c r="L110" s="53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  <c r="I111" s="53"/>
      <c r="K111" s="106"/>
      <c r="L111" s="106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</row>
    <row r="124" spans="1:9" s="64" customFormat="1">
      <c r="A124" s="53"/>
      <c r="B124" s="113"/>
      <c r="C124" s="79"/>
      <c r="D124" s="79"/>
      <c r="E124" s="53"/>
      <c r="F124" s="53"/>
      <c r="G124" s="53"/>
      <c r="I124" s="114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/>
    <row r="130" spans="1:17" s="64" customFormat="1">
      <c r="A130" s="53"/>
      <c r="B130" s="53"/>
      <c r="C130" s="53"/>
      <c r="D130" s="53"/>
      <c r="G130" s="53"/>
      <c r="H130" s="53"/>
      <c r="I130" s="53"/>
      <c r="J130" s="66"/>
      <c r="K130" s="66"/>
      <c r="L130" s="66"/>
      <c r="M130" s="53"/>
      <c r="N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66"/>
      <c r="J131" s="66"/>
      <c r="K131" s="66"/>
      <c r="L131" s="66"/>
      <c r="M131" s="53"/>
      <c r="N131" s="53"/>
      <c r="O131" s="53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K132" s="66"/>
      <c r="L132" s="66"/>
      <c r="M132" s="53"/>
      <c r="N132" s="79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I133" s="117"/>
      <c r="J133" s="66"/>
      <c r="L133" s="66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53"/>
      <c r="N134" s="102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79"/>
      <c r="N135" s="53"/>
      <c r="O135" s="79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53"/>
      <c r="Q138" s="53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L141" s="53"/>
      <c r="M141" s="53"/>
      <c r="N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O142" s="53"/>
      <c r="P142" s="79"/>
      <c r="Q142" s="79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53"/>
      <c r="K143" s="53"/>
      <c r="L143" s="53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106"/>
      <c r="K144" s="106"/>
      <c r="L144" s="106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53"/>
      <c r="K145" s="53"/>
      <c r="L145" s="53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106"/>
      <c r="K146" s="106"/>
      <c r="L146" s="106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53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  <c r="P149" s="53"/>
      <c r="Q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79"/>
      <c r="J152" s="79"/>
      <c r="K152" s="53"/>
      <c r="L152" s="53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  <c r="I153" s="104"/>
      <c r="J153" s="104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53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79"/>
      <c r="J164" s="79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104"/>
      <c r="J165" s="104"/>
      <c r="K165" s="53"/>
      <c r="L165" s="53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  <c r="I166" s="53"/>
      <c r="K166" s="106"/>
      <c r="L166" s="106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</row>
    <row r="180" spans="1:15" s="64" customFormat="1">
      <c r="A180" s="53"/>
      <c r="B180" s="113"/>
      <c r="C180" s="79"/>
      <c r="D180" s="79"/>
      <c r="E180" s="53"/>
      <c r="F180" s="53"/>
      <c r="G180" s="53"/>
      <c r="I180" s="114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/>
    <row r="186" spans="1:15" s="64" customFormat="1">
      <c r="A186" s="53"/>
      <c r="B186" s="53"/>
      <c r="C186" s="53"/>
      <c r="D186" s="53"/>
      <c r="G186" s="53"/>
      <c r="H186" s="53"/>
      <c r="I186" s="53"/>
      <c r="J186" s="66"/>
      <c r="K186" s="66"/>
      <c r="L186" s="66"/>
      <c r="M186" s="53"/>
      <c r="N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66"/>
      <c r="J187" s="66"/>
      <c r="K187" s="66"/>
      <c r="L187" s="66"/>
      <c r="M187" s="53"/>
      <c r="N187" s="53"/>
      <c r="O187" s="53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K188" s="66"/>
      <c r="L188" s="66"/>
      <c r="M188" s="53"/>
      <c r="N188" s="79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I189" s="117"/>
      <c r="J189" s="66"/>
      <c r="L189" s="66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53"/>
      <c r="N190" s="102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79"/>
      <c r="N191" s="53"/>
      <c r="O191" s="79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53"/>
      <c r="Q194" s="53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L197" s="53"/>
      <c r="M197" s="53"/>
      <c r="N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O198" s="53"/>
      <c r="P198" s="79"/>
      <c r="Q198" s="79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53"/>
      <c r="K199" s="53"/>
      <c r="L199" s="53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106"/>
      <c r="K200" s="106"/>
      <c r="L200" s="106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53"/>
      <c r="K201" s="53"/>
      <c r="L201" s="53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106"/>
      <c r="K202" s="106"/>
      <c r="L202" s="106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53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  <c r="P205" s="53"/>
      <c r="Q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79"/>
      <c r="J208" s="79"/>
      <c r="K208" s="53"/>
      <c r="L208" s="53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  <c r="I209" s="104"/>
      <c r="J209" s="104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53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79"/>
      <c r="J220" s="79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104"/>
      <c r="J221" s="104"/>
      <c r="K221" s="53"/>
      <c r="L221" s="53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  <c r="I222" s="53"/>
      <c r="K222" s="106"/>
      <c r="L222" s="106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</row>
    <row r="236" spans="1:9" s="64" customFormat="1">
      <c r="A236" s="53"/>
      <c r="B236" s="113"/>
      <c r="C236" s="79"/>
      <c r="D236" s="79"/>
      <c r="E236" s="53"/>
      <c r="F236" s="53"/>
      <c r="G236" s="53"/>
      <c r="I236" s="114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</row>
    <row r="242" spans="1:17" s="64" customFormat="1">
      <c r="A242" s="53"/>
      <c r="B242" s="53"/>
      <c r="C242" s="53"/>
      <c r="D242" s="53"/>
      <c r="G242" s="53"/>
      <c r="H242" s="53"/>
      <c r="I242" s="53"/>
      <c r="J242" s="66"/>
      <c r="K242" s="66"/>
      <c r="L242" s="66"/>
      <c r="M242" s="53"/>
      <c r="N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66"/>
      <c r="J243" s="66"/>
      <c r="K243" s="66"/>
      <c r="L243" s="66"/>
      <c r="M243" s="53"/>
      <c r="N243" s="53"/>
      <c r="O243" s="53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K244" s="66"/>
      <c r="L244" s="66"/>
      <c r="M244" s="53"/>
      <c r="N244" s="79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I245" s="117"/>
      <c r="J245" s="66"/>
      <c r="L245" s="66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53"/>
      <c r="N246" s="102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79"/>
      <c r="N247" s="53"/>
      <c r="O247" s="79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53"/>
      <c r="Q250" s="53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L253" s="53"/>
      <c r="M253" s="53"/>
      <c r="N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O254" s="53"/>
      <c r="P254" s="79"/>
      <c r="Q254" s="79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53"/>
      <c r="K255" s="53"/>
      <c r="L255" s="53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106"/>
      <c r="K256" s="106"/>
      <c r="L256" s="106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53"/>
      <c r="K257" s="53"/>
      <c r="L257" s="53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106"/>
      <c r="K258" s="106"/>
      <c r="L258" s="106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53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  <c r="P261" s="53"/>
      <c r="Q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79"/>
      <c r="J264" s="79"/>
      <c r="K264" s="53"/>
      <c r="L264" s="53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  <c r="I265" s="104"/>
      <c r="J265" s="104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53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79"/>
      <c r="J276" s="79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104"/>
      <c r="J277" s="104"/>
      <c r="K277" s="53"/>
      <c r="L277" s="53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  <c r="I278" s="53"/>
      <c r="K278" s="106"/>
      <c r="L278" s="106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</row>
    <row r="292" spans="1:15" s="64" customFormat="1">
      <c r="A292" s="53"/>
      <c r="B292" s="113"/>
      <c r="C292" s="79"/>
      <c r="D292" s="79"/>
      <c r="E292" s="53"/>
      <c r="F292" s="53"/>
      <c r="G292" s="53"/>
      <c r="I292" s="114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</row>
    <row r="298" spans="1:15" s="64" customFormat="1">
      <c r="A298" s="53"/>
      <c r="B298" s="53"/>
      <c r="C298" s="53"/>
      <c r="D298" s="53"/>
      <c r="G298" s="53"/>
      <c r="H298" s="53"/>
      <c r="I298" s="53"/>
      <c r="J298" s="66"/>
      <c r="K298" s="66"/>
      <c r="L298" s="66"/>
      <c r="M298" s="53"/>
      <c r="N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66"/>
      <c r="J299" s="66"/>
      <c r="K299" s="66"/>
      <c r="L299" s="66"/>
      <c r="M299" s="53"/>
      <c r="N299" s="53"/>
      <c r="O299" s="53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K300" s="66"/>
      <c r="L300" s="66"/>
      <c r="M300" s="53"/>
      <c r="N300" s="79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I301" s="117"/>
      <c r="J301" s="66"/>
      <c r="L301" s="66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53"/>
      <c r="N302" s="102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79"/>
      <c r="N303" s="53"/>
      <c r="O303" s="79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53"/>
      <c r="Q306" s="53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L309" s="53"/>
      <c r="M309" s="53"/>
      <c r="N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O310" s="53"/>
      <c r="P310" s="79"/>
      <c r="Q310" s="79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53"/>
      <c r="K311" s="53"/>
      <c r="L311" s="53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106"/>
      <c r="K312" s="106"/>
      <c r="L312" s="106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53"/>
      <c r="K313" s="53"/>
      <c r="L313" s="53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106"/>
      <c r="K314" s="106"/>
      <c r="L314" s="106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53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  <c r="P317" s="53"/>
      <c r="Q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79"/>
      <c r="J320" s="79"/>
      <c r="K320" s="53"/>
      <c r="L320" s="53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  <c r="I321" s="104"/>
      <c r="J321" s="104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53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79"/>
      <c r="J332" s="79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104"/>
      <c r="J333" s="104"/>
      <c r="K333" s="53"/>
      <c r="L333" s="53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  <c r="I334" s="53"/>
      <c r="K334" s="106"/>
      <c r="L334" s="106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</row>
    <row r="348" spans="1:9" s="64" customFormat="1">
      <c r="A348" s="53"/>
      <c r="B348" s="113"/>
      <c r="C348" s="79"/>
      <c r="D348" s="79"/>
      <c r="E348" s="53"/>
      <c r="F348" s="53"/>
      <c r="G348" s="53"/>
      <c r="I348" s="114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</row>
    <row r="354" spans="1:17" s="64" customFormat="1">
      <c r="A354" s="53"/>
      <c r="B354" s="53"/>
      <c r="C354" s="53"/>
      <c r="D354" s="53"/>
      <c r="G354" s="53"/>
      <c r="H354" s="53"/>
      <c r="I354" s="53"/>
      <c r="J354" s="66"/>
      <c r="K354" s="66"/>
      <c r="L354" s="66"/>
      <c r="M354" s="53"/>
      <c r="N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66"/>
      <c r="J355" s="66"/>
      <c r="K355" s="66"/>
      <c r="L355" s="66"/>
      <c r="M355" s="53"/>
      <c r="N355" s="53"/>
      <c r="O355" s="53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K356" s="66"/>
      <c r="L356" s="66"/>
      <c r="M356" s="53"/>
      <c r="N356" s="79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I357" s="117"/>
      <c r="J357" s="66"/>
      <c r="L357" s="66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53"/>
      <c r="N358" s="102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79"/>
      <c r="N359" s="53"/>
      <c r="O359" s="79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53"/>
      <c r="Q362" s="53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L365" s="53"/>
      <c r="M365" s="53"/>
      <c r="N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O366" s="53"/>
      <c r="P366" s="79"/>
      <c r="Q366" s="79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53"/>
      <c r="K367" s="53"/>
      <c r="L367" s="53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106"/>
      <c r="K368" s="106"/>
      <c r="L368" s="106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53"/>
      <c r="K369" s="53"/>
      <c r="L369" s="53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106"/>
      <c r="K370" s="106"/>
      <c r="L370" s="106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53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  <c r="P373" s="53"/>
      <c r="Q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79"/>
      <c r="J376" s="79"/>
      <c r="K376" s="53"/>
      <c r="L376" s="53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  <c r="I377" s="104"/>
      <c r="J377" s="104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53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79"/>
      <c r="J388" s="79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104"/>
      <c r="J389" s="104"/>
      <c r="K389" s="53"/>
      <c r="L389" s="53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  <c r="I390" s="53"/>
      <c r="K390" s="106"/>
      <c r="L390" s="106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</row>
    <row r="404" spans="1:28" s="64" customFormat="1">
      <c r="A404" s="53"/>
      <c r="B404" s="113"/>
      <c r="C404" s="79"/>
      <c r="D404" s="79"/>
      <c r="E404" s="53"/>
      <c r="F404" s="53"/>
      <c r="G404" s="53"/>
      <c r="I404" s="114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/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 s="64" customFormat="1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16:28">
      <c r="P417" s="64"/>
      <c r="Q417" s="64"/>
      <c r="R417" s="64"/>
      <c r="S417" s="64"/>
      <c r="T417" s="64"/>
      <c r="U417" s="64"/>
      <c r="V417" s="64"/>
      <c r="AA417" s="64"/>
      <c r="AB417" s="64"/>
    </row>
    <row r="418" spans="16:28">
      <c r="AA418" s="64"/>
      <c r="AB418" s="64"/>
    </row>
    <row r="419" spans="16:28">
      <c r="AA419" s="64"/>
      <c r="AB419" s="64"/>
    </row>
    <row r="420" spans="16:28">
      <c r="AA420" s="64"/>
      <c r="AB420" s="64"/>
    </row>
    <row r="421" spans="16:28">
      <c r="AA421" s="64"/>
      <c r="AB421" s="64"/>
    </row>
    <row r="422" spans="16:28">
      <c r="AA422" s="64"/>
      <c r="AB422" s="64"/>
    </row>
    <row r="423" spans="16:28">
      <c r="AA423" s="64"/>
      <c r="AB423" s="64"/>
    </row>
    <row r="424" spans="16:28">
      <c r="AA424" s="64"/>
      <c r="AB424" s="64"/>
    </row>
    <row r="425" spans="16:28">
      <c r="AA425" s="64"/>
      <c r="AB425" s="64"/>
    </row>
    <row r="426" spans="16:28">
      <c r="AA426" s="64"/>
      <c r="AB426" s="64"/>
    </row>
    <row r="427" spans="16:28">
      <c r="AA427" s="64"/>
      <c r="AB427" s="64"/>
    </row>
    <row r="428" spans="16:28">
      <c r="AA428" s="64"/>
      <c r="AB428" s="64"/>
    </row>
    <row r="429" spans="16:28">
      <c r="AA429" s="64"/>
      <c r="AB429" s="64"/>
    </row>
    <row r="430" spans="16:28">
      <c r="AA430" s="64"/>
      <c r="AB430" s="64"/>
    </row>
    <row r="431" spans="16:28">
      <c r="AA431" s="64"/>
      <c r="AB431" s="64"/>
    </row>
    <row r="432" spans="16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  <row r="499" spans="27:28">
      <c r="AA499" s="64"/>
      <c r="AB499" s="64"/>
    </row>
  </sheetData>
  <mergeCells count="3">
    <mergeCell ref="P4:V4"/>
    <mergeCell ref="V6:W6"/>
    <mergeCell ref="G43:J43"/>
  </mergeCells>
  <conditionalFormatting sqref="A75:B75">
    <cfRule type="expression" dxfId="208" priority="1">
      <formula>$D$6="yes"</formula>
    </cfRule>
  </conditionalFormatting>
  <conditionalFormatting sqref="D5">
    <cfRule type="cellIs" dxfId="207" priority="4" operator="equal">
      <formula>"Yes"</formula>
    </cfRule>
  </conditionalFormatting>
  <conditionalFormatting sqref="D6">
    <cfRule type="containsText" dxfId="206" priority="8" operator="containsText" text="Yes">
      <formula>NOT(ISERROR(SEARCH("Yes",D6)))</formula>
    </cfRule>
  </conditionalFormatting>
  <conditionalFormatting sqref="D14">
    <cfRule type="containsText" dxfId="205" priority="13" operator="containsText" text="owner">
      <formula>NOT(ISERROR(SEARCH("owner",D14)))</formula>
    </cfRule>
  </conditionalFormatting>
  <conditionalFormatting sqref="D75">
    <cfRule type="expression" dxfId="204" priority="2">
      <formula>$D$6="yes"</formula>
    </cfRule>
  </conditionalFormatting>
  <conditionalFormatting sqref="E35">
    <cfRule type="containsText" dxfId="203" priority="5" operator="containsText" text="10 hour days">
      <formula>NOT(ISERROR(SEARCH("10 hour days",E35)))</formula>
    </cfRule>
    <cfRule type="containsText" dxfId="202" priority="6" operator="containsText" text="8 hour days">
      <formula>NOT(ISERROR(SEARCH("8 hour days",E35)))</formula>
    </cfRule>
  </conditionalFormatting>
  <conditionalFormatting sqref="E36">
    <cfRule type="cellIs" dxfId="201" priority="3" stopIfTrue="1" operator="equal">
      <formula>"PW"</formula>
    </cfRule>
  </conditionalFormatting>
  <conditionalFormatting sqref="F35">
    <cfRule type="cellIs" dxfId="200" priority="9" operator="lessThan">
      <formula>0.1</formula>
    </cfRule>
    <cfRule type="cellIs" dxfId="199" priority="10" operator="greaterThan">
      <formula>0.2</formula>
    </cfRule>
    <cfRule type="cellIs" dxfId="198" priority="11" operator="greaterThan">
      <formula>0.25</formula>
    </cfRule>
    <cfRule type="cellIs" dxfId="197" priority="12" operator="lessThan">
      <formula>0.15</formula>
    </cfRule>
  </conditionalFormatting>
  <hyperlinks>
    <hyperlink ref="A75" r:id="rId1" display="Kansas Remodel Tax" xr:uid="{B3A23C32-F3F8-AF4D-B74B-742348FF1701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19F01D-FBB5-3E41-A53C-CDBD2314A644}">
          <x14:formula1>
            <xm:f>validation!$N$7:$N$8</xm:f>
          </x14:formula1>
          <xm:sqref>E35</xm:sqref>
        </x14:dataValidation>
        <x14:dataValidation type="list" allowBlank="1" showInputMessage="1" showErrorMessage="1" xr:uid="{4980816B-C6BA-5A41-AD5A-641636C32AD9}">
          <x14:formula1>
            <xm:f>validation!$K$3:$K$4</xm:f>
          </x14:formula1>
          <xm:sqref>B10</xm:sqref>
        </x14:dataValidation>
        <x14:dataValidation type="list" allowBlank="1" showInputMessage="1" showErrorMessage="1" xr:uid="{914BD9C2-1EF6-974C-AA6A-FE5BA1954516}">
          <x14:formula1>
            <xm:f>validation!$B$16:$B$22</xm:f>
          </x14:formula1>
          <xm:sqref>L37:L38</xm:sqref>
        </x14:dataValidation>
        <x14:dataValidation type="list" allowBlank="1" showInputMessage="1" showErrorMessage="1" xr:uid="{E4594438-4631-3148-A4B5-1865B5E70220}">
          <x14:formula1>
            <xm:f>validation!$H$6:$H$8</xm:f>
          </x14:formula1>
          <xm:sqref>G36 R6:R9</xm:sqref>
        </x14:dataValidation>
        <x14:dataValidation type="list" allowBlank="1" showInputMessage="1" showErrorMessage="1" xr:uid="{D93A72DB-8543-B444-BE24-D1FC7D1B887C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25483D68-2E04-4548-A5BE-96EBDC219B90}">
          <x14:formula1>
            <xm:f>validation!$K$6:$K$8</xm:f>
          </x14:formula1>
          <xm:sqref>I36 T6:T9</xm:sqref>
        </x14:dataValidation>
        <x14:dataValidation type="list" allowBlank="1" showInputMessage="1" showErrorMessage="1" xr:uid="{EA0F0662-1820-F143-9B31-B9A16B8643D0}">
          <x14:formula1>
            <xm:f>validation!$J$6:$J$8</xm:f>
          </x14:formula1>
          <xm:sqref>H36 S6:S9</xm:sqref>
        </x14:dataValidation>
        <x14:dataValidation type="list" allowBlank="1" showInputMessage="1" showErrorMessage="1" xr:uid="{AC24DE8C-D25D-C247-A72B-B489091B6718}">
          <x14:formula1>
            <xm:f>validation!$G$6:$G$9</xm:f>
          </x14:formula1>
          <xm:sqref>F36 Q6:Q9</xm:sqref>
        </x14:dataValidation>
        <x14:dataValidation type="list" allowBlank="1" showInputMessage="1" showErrorMessage="1" xr:uid="{197B90EF-2937-D24A-BD64-987B0A21B9AE}">
          <x14:formula1>
            <xm:f>validation!$N$3:$N$4</xm:f>
          </x14:formula1>
          <xm:sqref>E29:F29 D5:D6 E25 B4:B6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1E32E-6382-914C-8D67-3C3CDBA024C1}">
  <dimension ref="A1:AB499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" customWidth="1"/>
    <col min="8" max="9" width="19.5" customWidth="1"/>
    <col min="10" max="10" width="14.19921875" customWidth="1"/>
    <col min="11" max="11" width="14" customWidth="1"/>
    <col min="12" max="13" width="12.19921875" customWidth="1"/>
    <col min="14" max="14" width="13.69921875" customWidth="1"/>
    <col min="15" max="15" width="11.796875" customWidth="1"/>
    <col min="16" max="16" width="11.296875" customWidth="1"/>
    <col min="17" max="17" width="13.69921875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>
      <c r="A1" s="51" t="s">
        <v>221</v>
      </c>
      <c r="B1">
        <f>Seal!B1</f>
        <v>0</v>
      </c>
      <c r="G1" s="514" t="s">
        <v>471</v>
      </c>
    </row>
    <row r="2" spans="1:24">
      <c r="A2" s="51" t="s">
        <v>220</v>
      </c>
      <c r="B2" s="250">
        <f>Seal!B2</f>
        <v>0</v>
      </c>
      <c r="C2" s="250"/>
      <c r="D2" s="250"/>
      <c r="G2" s="483">
        <f>Seal!G2</f>
        <v>0</v>
      </c>
      <c r="H2">
        <f>Seal!H2</f>
        <v>0</v>
      </c>
      <c r="I2">
        <f>Seal!I2</f>
        <v>0</v>
      </c>
    </row>
    <row r="3" spans="1:24">
      <c r="A3" s="51" t="s">
        <v>207</v>
      </c>
      <c r="B3">
        <f>Seal!B3</f>
        <v>0</v>
      </c>
      <c r="G3" s="483">
        <f>Seal!G3</f>
        <v>0</v>
      </c>
      <c r="H3">
        <f>Seal!H3</f>
        <v>0</v>
      </c>
      <c r="I3">
        <f>Seal!I3</f>
        <v>0</v>
      </c>
    </row>
    <row r="4" spans="1:24" ht="16.2" thickBot="1">
      <c r="A4" s="1638" t="s">
        <v>76</v>
      </c>
      <c r="B4" t="str">
        <f>Seal!B4</f>
        <v>Yes</v>
      </c>
      <c r="C4" s="220" t="s">
        <v>202</v>
      </c>
      <c r="D4" s="4"/>
      <c r="E4" s="204"/>
      <c r="F4" s="72"/>
      <c r="G4" s="483">
        <f>Seal!G4</f>
        <v>0</v>
      </c>
      <c r="H4">
        <f>Seal!H4</f>
        <v>0</v>
      </c>
      <c r="I4">
        <f>Seal!I4</f>
        <v>0</v>
      </c>
      <c r="J4" s="64"/>
      <c r="K4" s="64"/>
      <c r="L4" s="64"/>
      <c r="M4" s="64"/>
      <c r="P4" s="1891" t="s">
        <v>113</v>
      </c>
      <c r="Q4" s="1891"/>
      <c r="R4" s="1891"/>
      <c r="S4" s="1891"/>
      <c r="T4" s="1891"/>
      <c r="U4" s="1891"/>
      <c r="V4" s="1891"/>
    </row>
    <row r="5" spans="1:24">
      <c r="A5" s="2" t="s">
        <v>149</v>
      </c>
      <c r="B5" t="str">
        <f>Seal!B5</f>
        <v>No</v>
      </c>
      <c r="C5" s="1010" t="s">
        <v>1029</v>
      </c>
      <c r="D5" s="591" t="str">
        <f>Seal!D5</f>
        <v>No</v>
      </c>
      <c r="E5" s="1727">
        <f>Seal!E5</f>
        <v>0</v>
      </c>
      <c r="F5" s="72"/>
      <c r="G5" s="483">
        <f>Seal!G5</f>
        <v>0</v>
      </c>
      <c r="H5">
        <f>Seal!H5</f>
        <v>0</v>
      </c>
      <c r="I5">
        <f>Seal!I5</f>
        <v>0</v>
      </c>
      <c r="J5" s="64"/>
      <c r="K5" s="64"/>
      <c r="L5" s="64"/>
      <c r="M5" s="64"/>
      <c r="P5" s="138">
        <f>IF((B35/2500)&lt;1,1,(B35/2500))</f>
        <v>1</v>
      </c>
      <c r="Q5" s="139" t="s">
        <v>153</v>
      </c>
      <c r="R5" s="140"/>
      <c r="S5" s="140"/>
      <c r="T5" s="140"/>
      <c r="U5" s="140"/>
      <c r="V5" s="140"/>
      <c r="W5" s="141"/>
    </row>
    <row r="6" spans="1:24">
      <c r="A6" s="2" t="s">
        <v>79</v>
      </c>
      <c r="B6" t="str">
        <f>Seal!B6</f>
        <v>Yes</v>
      </c>
      <c r="C6" s="1539" t="s">
        <v>119</v>
      </c>
      <c r="D6" s="4" t="str">
        <f>Seal!D6</f>
        <v>No</v>
      </c>
      <c r="E6" s="1727">
        <f>Seal!E6</f>
        <v>0</v>
      </c>
      <c r="F6" s="72"/>
      <c r="G6" s="483">
        <f>Seal!G6</f>
        <v>0</v>
      </c>
      <c r="H6">
        <f>Seal!H6</f>
        <v>0</v>
      </c>
      <c r="I6">
        <f>Seal!I6</f>
        <v>0</v>
      </c>
      <c r="J6" s="64"/>
      <c r="K6" s="64"/>
      <c r="L6" s="64"/>
      <c r="M6" s="64"/>
      <c r="P6" s="142"/>
      <c r="Q6" s="53" t="s">
        <v>155</v>
      </c>
      <c r="R6" s="53" t="s">
        <v>101</v>
      </c>
      <c r="S6" s="53" t="s">
        <v>40</v>
      </c>
      <c r="T6" s="53" t="s">
        <v>103</v>
      </c>
      <c r="U6" s="1" t="s">
        <v>106</v>
      </c>
      <c r="V6" s="1892" t="s">
        <v>114</v>
      </c>
      <c r="W6" s="1893"/>
    </row>
    <row r="7" spans="1:24">
      <c r="A7" s="2" t="s">
        <v>222</v>
      </c>
      <c r="B7" s="250">
        <f>Seal!B7</f>
        <v>0</v>
      </c>
      <c r="D7" s="4"/>
      <c r="E7" s="204"/>
      <c r="F7" s="72"/>
      <c r="G7" s="483"/>
      <c r="H7" s="593"/>
      <c r="I7" s="64"/>
      <c r="J7" s="64"/>
      <c r="K7" s="64"/>
      <c r="L7" s="64"/>
      <c r="M7" s="64"/>
      <c r="P7" s="142"/>
      <c r="Q7" s="53"/>
      <c r="R7" s="53"/>
      <c r="S7" s="53"/>
      <c r="T7" s="53"/>
      <c r="U7" s="1"/>
      <c r="V7" s="32"/>
      <c r="W7" s="248"/>
    </row>
    <row r="8" spans="1:24">
      <c r="A8" s="249" t="s">
        <v>223</v>
      </c>
      <c r="B8">
        <f>Seal!B8</f>
        <v>0</v>
      </c>
      <c r="D8" s="4"/>
      <c r="E8" s="1470"/>
      <c r="F8" s="72"/>
      <c r="G8" s="483"/>
      <c r="H8" s="593"/>
      <c r="I8" s="64"/>
      <c r="J8" s="64"/>
      <c r="K8" s="64"/>
      <c r="L8" s="64"/>
      <c r="M8" s="64"/>
      <c r="P8" s="142"/>
      <c r="Q8" s="53"/>
      <c r="R8" s="53"/>
      <c r="S8" s="53"/>
      <c r="T8" s="53"/>
      <c r="U8" s="1"/>
      <c r="V8" s="32"/>
      <c r="W8" s="248"/>
    </row>
    <row r="9" spans="1:24">
      <c r="A9" s="249" t="s">
        <v>224</v>
      </c>
      <c r="B9" s="250">
        <f>Seal!B9</f>
        <v>0</v>
      </c>
      <c r="D9" s="4"/>
      <c r="E9" s="204"/>
      <c r="F9" s="72"/>
      <c r="G9" s="79"/>
      <c r="H9" s="593"/>
      <c r="I9" s="66"/>
      <c r="J9" s="66"/>
      <c r="K9" s="66"/>
      <c r="L9" s="66"/>
      <c r="M9" s="64"/>
      <c r="P9" s="142"/>
      <c r="Q9" s="53"/>
      <c r="R9" s="53"/>
      <c r="S9" s="53"/>
      <c r="T9" s="53"/>
      <c r="U9" s="1"/>
      <c r="V9" s="32"/>
      <c r="W9" s="248"/>
    </row>
    <row r="10" spans="1:24">
      <c r="A10" s="51" t="s">
        <v>203</v>
      </c>
      <c r="B10">
        <f>Seal!B10</f>
        <v>0</v>
      </c>
      <c r="D10" s="4"/>
      <c r="E10" s="204"/>
      <c r="F10" s="72"/>
      <c r="G10" s="400"/>
      <c r="H10" s="593"/>
      <c r="I10" s="66"/>
      <c r="J10" s="66"/>
      <c r="K10" s="66"/>
      <c r="L10" s="66"/>
      <c r="M10" s="64"/>
      <c r="P10" s="142"/>
      <c r="Q10" s="143">
        <f>IF(F36="cream",Q14,IF(F36="S&amp;P",Q15,IF(F36="full",Q16,0)))</f>
        <v>0</v>
      </c>
      <c r="R10" s="143">
        <f>IF(G36="traditional",IF(F36="S&amp;P",R19,IF(F36="full",R20)),IF(G36="hybrid",IF(F36="cream",R14,0)))</f>
        <v>0</v>
      </c>
      <c r="S10" s="143">
        <f>IF(H36="yes dye",S14,0)</f>
        <v>0</v>
      </c>
      <c r="T10" s="143">
        <f>IF(I36="yes grout",T14,0)</f>
        <v>0</v>
      </c>
      <c r="U10" s="143">
        <f>IF(J36="yes demo glue",U14,0)</f>
        <v>0</v>
      </c>
      <c r="V10" s="143">
        <f>IF(F36="cream",V13,IF(F36="S&amp;P",V14,IF(F36="full",V15,0.25)))</f>
        <v>0.25</v>
      </c>
      <c r="W10" s="144">
        <f>IF(G36="traditional",V16,0)</f>
        <v>0</v>
      </c>
    </row>
    <row r="11" spans="1:24">
      <c r="A11" s="3"/>
      <c r="B11" s="3"/>
      <c r="C11" s="4"/>
      <c r="D11" s="4"/>
      <c r="E11" s="204"/>
      <c r="F11" s="53"/>
      <c r="G11" s="400"/>
      <c r="H11" s="593"/>
      <c r="I11" s="66"/>
      <c r="J11" s="66"/>
      <c r="K11" s="66"/>
      <c r="L11" s="66"/>
      <c r="M11" s="64"/>
      <c r="P11" s="142"/>
      <c r="Q11" s="143"/>
      <c r="R11" s="143"/>
      <c r="S11" s="143"/>
      <c r="T11" s="143"/>
      <c r="U11" s="143"/>
      <c r="V11" s="143"/>
      <c r="W11" s="144"/>
    </row>
    <row r="12" spans="1:24">
      <c r="A12" s="479" t="s">
        <v>614</v>
      </c>
      <c r="B12" s="1">
        <f>Seal!B12</f>
        <v>0</v>
      </c>
      <c r="C12" s="4"/>
      <c r="D12" s="4"/>
      <c r="E12" s="204"/>
      <c r="F12" s="53"/>
      <c r="G12" s="1675">
        <f>'Seal (+Jnts)'!D84</f>
        <v>1433</v>
      </c>
      <c r="H12" s="1676" t="s">
        <v>1111</v>
      </c>
      <c r="I12" s="1639" t="e">
        <f>G12/E18</f>
        <v>#DIV/0!</v>
      </c>
      <c r="J12" s="66"/>
      <c r="K12" s="66"/>
      <c r="L12" s="66"/>
      <c r="M12" s="64"/>
      <c r="P12" s="142"/>
      <c r="Q12" s="143"/>
      <c r="R12" s="143"/>
      <c r="S12" s="143"/>
      <c r="T12" s="143"/>
      <c r="U12" s="143"/>
      <c r="V12" s="143"/>
      <c r="W12" s="144"/>
    </row>
    <row r="13" spans="1:24">
      <c r="A13" s="479"/>
      <c r="B13" s="1">
        <f>Seal!B13</f>
        <v>0</v>
      </c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4"/>
      <c r="P13" s="142"/>
      <c r="Q13" s="51"/>
      <c r="R13" s="51" t="s">
        <v>100</v>
      </c>
      <c r="S13" s="51"/>
      <c r="T13" s="51"/>
      <c r="U13" s="51"/>
      <c r="V13" s="399">
        <f>IF($E$18&lt;=4000,validation!$E$32,IF($E$18&lt;7000,validation!$E$33,validation!$E$34))</f>
        <v>0.6</v>
      </c>
      <c r="W13" s="145" t="s">
        <v>421</v>
      </c>
      <c r="X13" s="438" t="s">
        <v>422</v>
      </c>
    </row>
    <row r="14" spans="1:24" ht="16.2" thickBot="1">
      <c r="A14" s="479"/>
      <c r="B14" s="1"/>
      <c r="C14" s="4"/>
      <c r="D14" s="1705" t="s">
        <v>1111</v>
      </c>
      <c r="E14" s="204"/>
      <c r="F14" s="53"/>
      <c r="G14" s="400"/>
      <c r="H14" s="593"/>
      <c r="I14" s="79"/>
      <c r="J14" s="66"/>
      <c r="K14" s="406"/>
      <c r="L14" s="406"/>
      <c r="M14" s="65"/>
      <c r="P14" s="142" t="s">
        <v>104</v>
      </c>
      <c r="Q14">
        <v>3.5</v>
      </c>
      <c r="R14" s="1">
        <v>0</v>
      </c>
      <c r="S14" s="1">
        <v>0.5</v>
      </c>
      <c r="T14" s="1">
        <v>0.75</v>
      </c>
      <c r="U14" s="1">
        <v>1</v>
      </c>
      <c r="V14" s="399">
        <f>IF($E$18&lt;=4000,validation!$I$32,IF($E$18&lt;7000,validation!$I$33,validation!$I$34))</f>
        <v>0.85</v>
      </c>
      <c r="W14" s="145" t="s">
        <v>94</v>
      </c>
      <c r="X14" s="438" t="s">
        <v>422</v>
      </c>
    </row>
    <row r="15" spans="1:24" ht="16.2" thickBot="1">
      <c r="A15" s="182" t="s">
        <v>60</v>
      </c>
      <c r="B15" s="183">
        <f>D82</f>
        <v>2883</v>
      </c>
      <c r="C15" s="184" t="s">
        <v>61</v>
      </c>
      <c r="D15" s="185" t="e">
        <f>C82</f>
        <v>#DIV/0!</v>
      </c>
      <c r="E15" s="204"/>
      <c r="F15" s="53"/>
      <c r="G15" s="53"/>
      <c r="H15" s="593"/>
      <c r="I15" s="79"/>
      <c r="J15" s="66"/>
      <c r="K15" s="406"/>
      <c r="L15" s="66"/>
      <c r="M15" s="66"/>
      <c r="P15" s="142" t="s">
        <v>94</v>
      </c>
      <c r="Q15">
        <v>4.5</v>
      </c>
      <c r="R15">
        <v>0</v>
      </c>
      <c r="V15" s="399">
        <f>IF($E$18&lt;=4000,validation!$M$32,IF($E$18&lt;7000,validation!$M$33,validation!$M$34))</f>
        <v>1.5</v>
      </c>
      <c r="W15" s="145" t="s">
        <v>99</v>
      </c>
      <c r="X15" s="438" t="s">
        <v>422</v>
      </c>
    </row>
    <row r="16" spans="1:24" ht="16.95" customHeight="1">
      <c r="A16" s="5" t="s">
        <v>14</v>
      </c>
      <c r="B16" s="30" t="s">
        <v>11</v>
      </c>
      <c r="C16" s="30" t="s">
        <v>1</v>
      </c>
      <c r="D16" s="31" t="s">
        <v>2</v>
      </c>
      <c r="E16" s="23"/>
      <c r="F16" s="89"/>
      <c r="H16" s="5" t="s">
        <v>25</v>
      </c>
      <c r="I16" s="1388" t="s">
        <v>906</v>
      </c>
      <c r="J16" s="1388" t="s">
        <v>907</v>
      </c>
      <c r="K16" s="52" t="s">
        <v>26</v>
      </c>
      <c r="L16" s="28"/>
      <c r="P16" s="142" t="s">
        <v>105</v>
      </c>
      <c r="Q16">
        <v>9</v>
      </c>
      <c r="R16">
        <v>0</v>
      </c>
      <c r="V16">
        <v>0.2</v>
      </c>
      <c r="W16" s="145" t="s">
        <v>154</v>
      </c>
    </row>
    <row r="17" spans="1:23">
      <c r="A17" s="44">
        <f>Seal!A17</f>
        <v>0</v>
      </c>
      <c r="B17" s="56">
        <f>E18</f>
        <v>0</v>
      </c>
      <c r="C17" s="582">
        <f>Seal!C17</f>
        <v>0.15</v>
      </c>
      <c r="D17" s="34">
        <f t="shared" ref="D17:D18" si="0">B17*C17</f>
        <v>0</v>
      </c>
      <c r="E17" s="570" t="s">
        <v>631</v>
      </c>
      <c r="F17" s="307"/>
      <c r="H17" s="6" t="s">
        <v>22</v>
      </c>
      <c r="I17" s="7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54">
        <f>B35</f>
        <v>0</v>
      </c>
      <c r="K17" s="94">
        <f>ROUNDUP((I17*J17),0)</f>
        <v>0</v>
      </c>
      <c r="L17" s="408" t="s">
        <v>48</v>
      </c>
      <c r="M17" s="73" t="s">
        <v>209</v>
      </c>
      <c r="P17" s="142"/>
      <c r="R17" s="51" t="s">
        <v>98</v>
      </c>
      <c r="W17" s="145"/>
    </row>
    <row r="18" spans="1:23">
      <c r="A18" s="44">
        <f>Seal!A18</f>
        <v>0</v>
      </c>
      <c r="B18" s="56">
        <f>Seal!B18</f>
        <v>0</v>
      </c>
      <c r="C18" s="33">
        <f>Seal!C18</f>
        <v>0</v>
      </c>
      <c r="D18" s="34">
        <f t="shared" si="0"/>
        <v>0</v>
      </c>
      <c r="E18" s="81">
        <f>Seal!E18</f>
        <v>0</v>
      </c>
      <c r="F18" s="82" t="s">
        <v>27</v>
      </c>
      <c r="H18" s="45" t="s">
        <v>39</v>
      </c>
      <c r="I18" s="15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55">
        <f>B35</f>
        <v>0</v>
      </c>
      <c r="K18" s="95">
        <f>ROUNDUP((I18*J18),0)</f>
        <v>0</v>
      </c>
      <c r="L18" s="240">
        <f>0.2*J18</f>
        <v>0</v>
      </c>
      <c r="M18" s="409" t="e">
        <f>K18/L18</f>
        <v>#DIV/0!</v>
      </c>
      <c r="N18" s="220"/>
      <c r="P18" s="142" t="s">
        <v>104</v>
      </c>
      <c r="R18">
        <v>0</v>
      </c>
      <c r="W18" s="145"/>
    </row>
    <row r="19" spans="1:23">
      <c r="A19" s="549" t="s">
        <v>12</v>
      </c>
      <c r="B19" s="548"/>
      <c r="C19" s="547"/>
      <c r="D19" s="546"/>
      <c r="E19" s="83">
        <f>Seal!E19</f>
        <v>0</v>
      </c>
      <c r="F19" s="84" t="s">
        <v>48</v>
      </c>
      <c r="H19" s="628" t="s">
        <v>908</v>
      </c>
      <c r="I19" s="7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54">
        <f>E19</f>
        <v>0</v>
      </c>
      <c r="K19" s="94">
        <f>ROUNDUP((I19*J19),0)</f>
        <v>0</v>
      </c>
      <c r="L19" s="7"/>
      <c r="M19" s="220" t="s">
        <v>208</v>
      </c>
      <c r="P19" s="142" t="s">
        <v>94</v>
      </c>
      <c r="R19">
        <v>2</v>
      </c>
      <c r="W19" s="145"/>
    </row>
    <row r="20" spans="1:23" ht="16.2" thickBot="1">
      <c r="A20" s="47" t="s">
        <v>24</v>
      </c>
      <c r="B20" s="121">
        <f>E18</f>
        <v>0</v>
      </c>
      <c r="C20" s="7">
        <f>Seal!C20</f>
        <v>0.15</v>
      </c>
      <c r="D20" s="9">
        <f>B20*C20</f>
        <v>0</v>
      </c>
      <c r="E20" s="1"/>
      <c r="F20" s="307" t="s">
        <v>616</v>
      </c>
      <c r="H20" s="635" t="s">
        <v>909</v>
      </c>
      <c r="I20" s="15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55">
        <f>E19</f>
        <v>0</v>
      </c>
      <c r="K20" s="95">
        <f>ROUNDUP((I20*J20),0)</f>
        <v>0</v>
      </c>
      <c r="L20" s="7"/>
      <c r="P20" s="146" t="s">
        <v>105</v>
      </c>
      <c r="Q20" s="147"/>
      <c r="R20" s="147">
        <v>2</v>
      </c>
      <c r="S20" s="147"/>
      <c r="T20" s="147"/>
      <c r="U20" s="147"/>
      <c r="V20" s="147"/>
      <c r="W20" s="148"/>
    </row>
    <row r="21" spans="1:23">
      <c r="A21" s="47" t="str">
        <f>Seal!A21</f>
        <v>Sealer</v>
      </c>
      <c r="B21" s="121">
        <f>E18</f>
        <v>0</v>
      </c>
      <c r="C21" s="7">
        <f>Seal!C21</f>
        <v>0.15</v>
      </c>
      <c r="D21" s="9">
        <f t="shared" ref="D21:D30" si="1">B21*C21</f>
        <v>0</v>
      </c>
      <c r="E21" s="1"/>
      <c r="F21" s="307" t="s">
        <v>617</v>
      </c>
      <c r="H21" s="653" t="s">
        <v>910</v>
      </c>
      <c r="I21" s="160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161">
        <v>0</v>
      </c>
      <c r="K21" s="162">
        <f t="shared" ref="K21:K22" si="2">ROUNDUP((I21*J21),0)</f>
        <v>0</v>
      </c>
      <c r="L21" s="7"/>
      <c r="M21" s="565" t="s">
        <v>596</v>
      </c>
      <c r="N21" s="223">
        <f>'Stnd Alts'!E292</f>
        <v>1139</v>
      </c>
      <c r="O21" s="564" t="s">
        <v>593</v>
      </c>
      <c r="P21" s="1"/>
    </row>
    <row r="22" spans="1:23">
      <c r="A22" s="47">
        <f>Seal!A22</f>
        <v>0</v>
      </c>
      <c r="B22" s="121">
        <f>Seal!B22</f>
        <v>0</v>
      </c>
      <c r="C22" s="7">
        <f>Seal!C22</f>
        <v>0</v>
      </c>
      <c r="D22" s="9">
        <f t="shared" si="1"/>
        <v>0</v>
      </c>
      <c r="E22" s="1"/>
      <c r="F22" s="1"/>
      <c r="H22" s="635" t="s">
        <v>911</v>
      </c>
      <c r="I22" s="15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55">
        <v>0</v>
      </c>
      <c r="K22" s="95">
        <f t="shared" si="2"/>
        <v>0</v>
      </c>
      <c r="L22" s="1"/>
      <c r="M22" s="569" t="s">
        <v>601</v>
      </c>
      <c r="N22" s="223">
        <f>'Stnd Alts'!E194</f>
        <v>2302</v>
      </c>
      <c r="O22" s="564" t="s">
        <v>592</v>
      </c>
      <c r="P22" s="220" t="s">
        <v>594</v>
      </c>
      <c r="Q22" s="33"/>
    </row>
    <row r="23" spans="1:23">
      <c r="A23" s="47">
        <f>Seal!A23</f>
        <v>0</v>
      </c>
      <c r="B23" s="121">
        <f>Seal!B23</f>
        <v>0</v>
      </c>
      <c r="C23" s="7">
        <f>Seal!C23</f>
        <v>0</v>
      </c>
      <c r="D23" s="9">
        <f t="shared" si="1"/>
        <v>0</v>
      </c>
      <c r="E23" s="1"/>
      <c r="F23" s="1"/>
      <c r="H23" s="1"/>
      <c r="L23" s="74"/>
      <c r="M23" s="1"/>
      <c r="N23" s="7"/>
      <c r="O23" s="54"/>
    </row>
    <row r="24" spans="1:23">
      <c r="A24" s="549" t="s">
        <v>72</v>
      </c>
      <c r="B24" s="550"/>
      <c r="C24" s="542"/>
      <c r="D24" s="545"/>
      <c r="E24" s="96" t="s">
        <v>73</v>
      </c>
      <c r="F24" s="1"/>
      <c r="H24" s="1"/>
      <c r="L24" s="74"/>
      <c r="M24" s="1"/>
      <c r="N24" s="1"/>
      <c r="O24" s="630"/>
    </row>
    <row r="25" spans="1:23">
      <c r="A25" s="421" t="s">
        <v>615</v>
      </c>
      <c r="B25" s="121"/>
      <c r="C25" s="7"/>
      <c r="D25" s="9">
        <f t="shared" si="1"/>
        <v>0</v>
      </c>
      <c r="E25" s="155" t="s">
        <v>71</v>
      </c>
      <c r="F25" s="74" t="s">
        <v>615</v>
      </c>
      <c r="G25" s="1"/>
      <c r="H25" s="1"/>
      <c r="I25" s="220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</row>
    <row r="26" spans="1:23">
      <c r="A26" s="47"/>
      <c r="B26" s="121"/>
      <c r="C26" s="7"/>
      <c r="D26" s="9">
        <f t="shared" si="1"/>
        <v>0</v>
      </c>
      <c r="E26" s="1"/>
      <c r="F26" s="1"/>
      <c r="G26" s="1"/>
      <c r="H26" s="1"/>
      <c r="L26" s="74"/>
      <c r="M26" s="1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</row>
    <row r="27" spans="1:23">
      <c r="A27" s="47"/>
      <c r="B27" s="56"/>
      <c r="C27" s="7"/>
      <c r="D27" s="9">
        <f t="shared" si="1"/>
        <v>0</v>
      </c>
      <c r="E27" s="1"/>
      <c r="F27" s="1"/>
      <c r="G27" s="1"/>
      <c r="H27" s="1"/>
      <c r="L27" s="74"/>
      <c r="M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</row>
    <row r="28" spans="1:23">
      <c r="A28" s="549" t="s">
        <v>216</v>
      </c>
      <c r="B28" s="550"/>
      <c r="C28" s="542"/>
      <c r="D28" s="545"/>
      <c r="E28" s="96" t="s">
        <v>225</v>
      </c>
      <c r="F28" s="244" t="s">
        <v>218</v>
      </c>
      <c r="G28" s="1"/>
      <c r="H28" s="1"/>
      <c r="L28" s="74"/>
      <c r="M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</row>
    <row r="29" spans="1:23">
      <c r="A29" s="1669" t="s">
        <v>705</v>
      </c>
      <c r="B29" s="1300">
        <f>ROUNDUP(IF(E29="yes",(E18/3500),0),0)</f>
        <v>0</v>
      </c>
      <c r="C29" s="629">
        <v>500</v>
      </c>
      <c r="D29" s="9">
        <f t="shared" si="1"/>
        <v>0</v>
      </c>
      <c r="E29" s="1670" t="s">
        <v>78</v>
      </c>
      <c r="F29" s="155" t="s">
        <v>71</v>
      </c>
      <c r="G29" s="1"/>
      <c r="H29" s="1"/>
      <c r="L29" s="74"/>
      <c r="M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</row>
    <row r="30" spans="1:23">
      <c r="A30" s="48"/>
      <c r="B30" s="57"/>
      <c r="C30" s="26"/>
      <c r="D30" s="27">
        <f t="shared" si="1"/>
        <v>0</v>
      </c>
      <c r="E30" s="1"/>
      <c r="F30" s="1"/>
      <c r="G30" s="1"/>
      <c r="H30" s="1"/>
      <c r="P30" s="1"/>
      <c r="Q30" s="1"/>
    </row>
    <row r="31" spans="1:23">
      <c r="A31" s="1786" t="s">
        <v>10</v>
      </c>
      <c r="B31" s="1787"/>
      <c r="C31" s="1788"/>
      <c r="D31" s="19">
        <f>ROUNDUP(SUM(D17:D30),0)</f>
        <v>0</v>
      </c>
      <c r="E31" s="1"/>
      <c r="F31" s="1"/>
      <c r="G31" s="1"/>
      <c r="H31" s="1"/>
      <c r="M31" s="1091" t="s">
        <v>672</v>
      </c>
      <c r="N31" s="1092">
        <f>B35/O31</f>
        <v>0</v>
      </c>
      <c r="O31" s="1093">
        <v>6</v>
      </c>
      <c r="P31" s="1094" t="s">
        <v>673</v>
      </c>
    </row>
    <row r="32" spans="1:23">
      <c r="A32" s="39" t="s">
        <v>16</v>
      </c>
      <c r="B32" s="40">
        <v>0.02</v>
      </c>
      <c r="C32" s="1789"/>
      <c r="D32" s="42">
        <f>ROUNDUP(D31*B32,0)</f>
        <v>0</v>
      </c>
      <c r="E32" s="1"/>
      <c r="G32" s="38"/>
      <c r="H32" s="230" t="s">
        <v>201</v>
      </c>
      <c r="I32" s="1"/>
      <c r="J32" s="76"/>
      <c r="M32" s="1091" t="s">
        <v>672</v>
      </c>
      <c r="N32" s="1092">
        <f>B35/O32</f>
        <v>0</v>
      </c>
      <c r="O32" s="1093">
        <v>5</v>
      </c>
      <c r="P32" s="1094" t="s">
        <v>673</v>
      </c>
    </row>
    <row r="33" spans="1:17">
      <c r="A33" s="10" t="s">
        <v>3</v>
      </c>
      <c r="B33" s="36"/>
      <c r="C33" s="13"/>
      <c r="D33" s="16">
        <f>SUM(D31:D32)</f>
        <v>0</v>
      </c>
      <c r="E33" s="123" t="e">
        <f>D33/B35</f>
        <v>#DIV/0!</v>
      </c>
      <c r="F33" s="124" t="s">
        <v>80</v>
      </c>
      <c r="G33" s="7"/>
      <c r="H33" s="231">
        <f>D33</f>
        <v>0</v>
      </c>
      <c r="I33" s="1"/>
      <c r="J33" s="76"/>
      <c r="M33" s="1091" t="s">
        <v>672</v>
      </c>
      <c r="N33" s="1092">
        <f>B35/O33</f>
        <v>0</v>
      </c>
      <c r="O33" s="1093">
        <v>4</v>
      </c>
      <c r="P33" s="1094" t="s">
        <v>673</v>
      </c>
    </row>
    <row r="34" spans="1:17">
      <c r="A34" s="221"/>
      <c r="B34" s="32"/>
      <c r="C34" s="7"/>
      <c r="D34" s="7"/>
      <c r="E34" s="1"/>
      <c r="G34" s="100"/>
      <c r="H34" s="1"/>
      <c r="I34" s="1"/>
      <c r="J34" s="1"/>
      <c r="M34" s="1091" t="s">
        <v>672</v>
      </c>
      <c r="N34" s="1092">
        <f>B35/O34</f>
        <v>0</v>
      </c>
      <c r="O34" s="1093">
        <v>3</v>
      </c>
      <c r="P34" s="1094" t="s">
        <v>673</v>
      </c>
    </row>
    <row r="35" spans="1:17">
      <c r="A35" s="75" t="s">
        <v>45</v>
      </c>
      <c r="B35" s="77">
        <f>E18</f>
        <v>0</v>
      </c>
      <c r="C35" s="75" t="s">
        <v>46</v>
      </c>
      <c r="D35" s="78">
        <f>E19</f>
        <v>0</v>
      </c>
      <c r="E35" s="561" t="s">
        <v>429</v>
      </c>
      <c r="F35" s="135" t="e">
        <f>D35/B35</f>
        <v>#DIV/0!</v>
      </c>
      <c r="G35" s="136" t="s">
        <v>81</v>
      </c>
      <c r="H35" s="137" t="s">
        <v>91</v>
      </c>
      <c r="I35" s="212" t="s">
        <v>159</v>
      </c>
      <c r="J35" s="76"/>
      <c r="K35" s="76"/>
      <c r="L35" s="76"/>
      <c r="M35" s="1091" t="s">
        <v>672</v>
      </c>
      <c r="N35" s="1092">
        <f>B35/O35</f>
        <v>0</v>
      </c>
      <c r="O35" s="1093">
        <v>2</v>
      </c>
      <c r="P35" s="1094" t="s">
        <v>673</v>
      </c>
    </row>
    <row r="36" spans="1:17">
      <c r="A36" s="85" t="s">
        <v>52</v>
      </c>
      <c r="B36" s="68" t="s">
        <v>42</v>
      </c>
      <c r="C36" s="68" t="s">
        <v>47</v>
      </c>
      <c r="D36" s="87" t="s">
        <v>51</v>
      </c>
      <c r="E36" s="1540" t="str">
        <f>(IF(D5="Yes","PW","TOTAL DAYS"))</f>
        <v>TOTAL DAYS</v>
      </c>
      <c r="F36" s="149" t="s">
        <v>155</v>
      </c>
      <c r="G36" s="149" t="s">
        <v>100</v>
      </c>
      <c r="H36" s="149" t="s">
        <v>41</v>
      </c>
      <c r="I36" s="149" t="s">
        <v>157</v>
      </c>
      <c r="J36" s="150" t="s">
        <v>158</v>
      </c>
      <c r="K36" s="518" t="s">
        <v>86</v>
      </c>
      <c r="L36" s="1698" t="s">
        <v>85</v>
      </c>
      <c r="M36" s="76"/>
    </row>
    <row r="37" spans="1:17">
      <c r="A37" s="1090">
        <f>Seal!A37</f>
        <v>3</v>
      </c>
      <c r="B37" s="600">
        <f>Seal!B37</f>
        <v>0</v>
      </c>
      <c r="C37" s="916">
        <f>Seal!C37</f>
        <v>32.200000000000003</v>
      </c>
      <c r="D37" s="70">
        <f>(A37*B37*C37)*IF($E$35="8 hour days",8,10)</f>
        <v>0</v>
      </c>
      <c r="E37" s="151">
        <f>ROUNDUP(SUM(F37:J37),0)</f>
        <v>0</v>
      </c>
      <c r="F37" s="152">
        <f t="shared" ref="F37:J38" si="3">ROUNDUP(Q10*$P$5,1)</f>
        <v>0</v>
      </c>
      <c r="G37" s="152">
        <f t="shared" si="3"/>
        <v>0</v>
      </c>
      <c r="H37" s="152">
        <f t="shared" si="3"/>
        <v>0</v>
      </c>
      <c r="I37" s="152">
        <f t="shared" si="3"/>
        <v>0</v>
      </c>
      <c r="J37" s="152">
        <f t="shared" si="3"/>
        <v>0</v>
      </c>
      <c r="K37" s="153" t="e">
        <f>B35/(D37/C37)</f>
        <v>#DIV/0!</v>
      </c>
      <c r="L37" s="481" t="s">
        <v>586</v>
      </c>
      <c r="M37" s="76"/>
      <c r="N37" s="1683" t="s">
        <v>226</v>
      </c>
    </row>
    <row r="38" spans="1:17">
      <c r="A38" s="1090">
        <f>Seal!A38</f>
        <v>3</v>
      </c>
      <c r="B38" s="600">
        <f>Seal!B38</f>
        <v>0</v>
      </c>
      <c r="C38" s="521">
        <f>C37</f>
        <v>32.200000000000003</v>
      </c>
      <c r="D38" s="70">
        <f>(A38*B38*C38)*IF($E$35="8 hour days",8,10)</f>
        <v>0</v>
      </c>
      <c r="E38" s="151">
        <f>ROUNDUP(SUM(F38:J38),0)</f>
        <v>0</v>
      </c>
      <c r="F38" s="152">
        <f t="shared" si="3"/>
        <v>0</v>
      </c>
      <c r="G38" s="152">
        <f t="shared" si="3"/>
        <v>0</v>
      </c>
      <c r="H38" s="152">
        <f t="shared" si="3"/>
        <v>0</v>
      </c>
      <c r="I38" s="152">
        <f t="shared" si="3"/>
        <v>0</v>
      </c>
      <c r="J38" s="152">
        <f t="shared" si="3"/>
        <v>0</v>
      </c>
      <c r="K38" s="153" t="e">
        <f>B34/(D38/C38)</f>
        <v>#DIV/0!</v>
      </c>
      <c r="L38" s="481" t="s">
        <v>586</v>
      </c>
      <c r="M38" s="76"/>
      <c r="N38" s="1684">
        <f>B35</f>
        <v>0</v>
      </c>
    </row>
    <row r="39" spans="1:17">
      <c r="A39" s="86" t="s">
        <v>54</v>
      </c>
      <c r="B39" s="67" t="s">
        <v>42</v>
      </c>
      <c r="C39" s="67" t="s">
        <v>43</v>
      </c>
      <c r="D39" s="71"/>
      <c r="E39" s="453"/>
      <c r="F39" s="575" t="s">
        <v>385</v>
      </c>
      <c r="G39" s="576" t="s">
        <v>619</v>
      </c>
      <c r="H39" s="572"/>
      <c r="I39" s="576" t="s">
        <v>620</v>
      </c>
      <c r="J39" s="573"/>
      <c r="K39" s="1699" t="s">
        <v>619</v>
      </c>
      <c r="L39" s="1700" t="s">
        <v>42</v>
      </c>
      <c r="M39" s="1699" t="s">
        <v>619</v>
      </c>
      <c r="N39" s="1701" t="s">
        <v>1109</v>
      </c>
      <c r="O39" s="1702" t="s">
        <v>1110</v>
      </c>
      <c r="P39" s="1699" t="s">
        <v>42</v>
      </c>
      <c r="Q39" s="1702" t="s">
        <v>1110</v>
      </c>
    </row>
    <row r="40" spans="1:17">
      <c r="A40" s="1089">
        <f>Seal!A40</f>
        <v>3</v>
      </c>
      <c r="B40" s="1449">
        <f>Seal!B40</f>
        <v>0.5</v>
      </c>
      <c r="C40" s="521">
        <f>C37</f>
        <v>32.200000000000003</v>
      </c>
      <c r="D40" s="70">
        <f>(A40*B40*C40)*IF($E$35="8 hour days",8,10)</f>
        <v>386.40000000000003</v>
      </c>
      <c r="E40" s="758" t="str">
        <f>Seal!E40</f>
        <v>( = 1.5 guys  x 1 day)</v>
      </c>
      <c r="F40" s="574">
        <f>B35/10000</f>
        <v>0</v>
      </c>
      <c r="G40" s="577" t="s">
        <v>621</v>
      </c>
      <c r="H40" s="578" t="s">
        <v>624</v>
      </c>
      <c r="I40" s="581" t="s">
        <v>621</v>
      </c>
      <c r="J40" s="1677" t="s">
        <v>626</v>
      </c>
      <c r="K40" s="1688" t="s">
        <v>1134</v>
      </c>
      <c r="L40" s="1689">
        <f>N38*M40</f>
        <v>0</v>
      </c>
      <c r="M40" s="1690">
        <f>((2*1)/1000)/2</f>
        <v>1E-3</v>
      </c>
      <c r="N40" s="1691" t="s">
        <v>621</v>
      </c>
      <c r="O40" s="1692">
        <f>((2*2.5)/1000)/2</f>
        <v>2.5000000000000001E-3</v>
      </c>
      <c r="P40" s="1689">
        <f>N38*O40</f>
        <v>0</v>
      </c>
      <c r="Q40" s="1692" t="s">
        <v>1134</v>
      </c>
    </row>
    <row r="41" spans="1:17">
      <c r="A41" s="86" t="s">
        <v>217</v>
      </c>
      <c r="B41" s="67" t="s">
        <v>42</v>
      </c>
      <c r="C41" s="67" t="s">
        <v>43</v>
      </c>
      <c r="D41" s="71"/>
      <c r="E41" s="453"/>
      <c r="F41" s="1523" t="s">
        <v>1026</v>
      </c>
      <c r="G41" s="69" t="s">
        <v>623</v>
      </c>
      <c r="H41" s="579" t="s">
        <v>625</v>
      </c>
      <c r="I41" s="69" t="s">
        <v>623</v>
      </c>
      <c r="J41" s="1678" t="s">
        <v>627</v>
      </c>
      <c r="K41" s="1693" t="s">
        <v>1134</v>
      </c>
      <c r="L41" s="1694">
        <f>N38*M41</f>
        <v>0</v>
      </c>
      <c r="M41" s="1695">
        <f>((2*3)/5000)/2</f>
        <v>5.9999999999999995E-4</v>
      </c>
      <c r="N41" s="1696" t="s">
        <v>623</v>
      </c>
      <c r="O41" s="1697">
        <f>((3*5)/5000)/3</f>
        <v>1E-3</v>
      </c>
      <c r="P41" s="1694">
        <f>N38*O41</f>
        <v>0</v>
      </c>
      <c r="Q41" s="1697" t="s">
        <v>1135</v>
      </c>
    </row>
    <row r="42" spans="1:17">
      <c r="A42" s="1671">
        <f>IF(F29="NO",2,4)</f>
        <v>2</v>
      </c>
      <c r="B42" s="1672">
        <f>MROUND(IF(E29="no",0,IF(E18&lt;1000,1,IF(E18&lt;2500,2,IF(E18&lt;10000,3,IF(E18&lt;15000,4,E18/3750))))),0.5)</f>
        <v>1</v>
      </c>
      <c r="C42" s="521">
        <f>C37</f>
        <v>32.200000000000003</v>
      </c>
      <c r="D42" s="1673">
        <f>(A42*B42*C42)*IF($E$35="8 hour days",8,10)</f>
        <v>515.20000000000005</v>
      </c>
      <c r="E42" s="1674" t="s">
        <v>1133</v>
      </c>
      <c r="F42" s="1524">
        <f>B35/5000</f>
        <v>0</v>
      </c>
      <c r="G42" s="533" t="s">
        <v>622</v>
      </c>
      <c r="H42" s="580" t="s">
        <v>635</v>
      </c>
      <c r="I42" s="533" t="s">
        <v>622</v>
      </c>
      <c r="J42" s="1679" t="s">
        <v>628</v>
      </c>
      <c r="K42" s="1687" t="s">
        <v>1135</v>
      </c>
      <c r="L42" s="1685">
        <f>N38*M42</f>
        <v>0</v>
      </c>
      <c r="M42" s="1681">
        <f>((3*3.5)/10000)/3</f>
        <v>3.5E-4</v>
      </c>
      <c r="N42" s="1680" t="s">
        <v>622</v>
      </c>
      <c r="O42" s="1682">
        <f>((4*7)/10000)/4</f>
        <v>6.9999999999999999E-4</v>
      </c>
      <c r="P42" s="1686">
        <f>N38*O42</f>
        <v>0</v>
      </c>
      <c r="Q42" s="1682" t="s">
        <v>1136</v>
      </c>
    </row>
    <row r="43" spans="1:17">
      <c r="A43" s="88" t="s">
        <v>55</v>
      </c>
      <c r="B43" s="67" t="s">
        <v>44</v>
      </c>
      <c r="C43" s="67"/>
      <c r="D43" s="71"/>
      <c r="E43" s="453"/>
      <c r="G43" s="1894" t="s">
        <v>630</v>
      </c>
      <c r="H43" s="1895"/>
      <c r="I43" s="1895"/>
      <c r="J43" s="1896"/>
      <c r="K43" s="1"/>
      <c r="L43" s="1"/>
      <c r="M43" s="1"/>
    </row>
    <row r="44" spans="1:17">
      <c r="A44" s="1088">
        <f>(A37*B37)+(A38*B38)+(A40*B40)+(A42*B42)</f>
        <v>3.5</v>
      </c>
      <c r="B44" s="1087">
        <f>Seal!B44</f>
        <v>0</v>
      </c>
      <c r="C44" s="916">
        <f>Seal!C44</f>
        <v>32.200000000000003</v>
      </c>
      <c r="D44" s="70">
        <f>(A44*B44*C44)</f>
        <v>0</v>
      </c>
      <c r="E44" s="758" t="str">
        <f>Seal!E44</f>
        <v>Drive Time: ?</v>
      </c>
      <c r="G44" s="585"/>
      <c r="H44" s="774"/>
      <c r="I44" s="158">
        <f>(((D45-D44)/C37)/A37)/40</f>
        <v>0.23343685300207037</v>
      </c>
      <c r="J44" s="234" t="s">
        <v>117</v>
      </c>
      <c r="K44" s="235"/>
    </row>
    <row r="45" spans="1:17">
      <c r="A45" s="226" t="s">
        <v>4</v>
      </c>
      <c r="B45" s="164"/>
      <c r="C45" s="164"/>
      <c r="D45" s="520">
        <f>ROUNDUP(SUM(D37:D44),0)</f>
        <v>902</v>
      </c>
      <c r="E45" s="123" t="e">
        <f>D45/B35</f>
        <v>#DIV/0!</v>
      </c>
      <c r="F45" s="124" t="s">
        <v>87</v>
      </c>
      <c r="G45" s="705"/>
      <c r="H45" s="1143"/>
      <c r="I45" s="222">
        <f>ROUNDUP(I44,0)</f>
        <v>1</v>
      </c>
      <c r="J45" s="236" t="s">
        <v>118</v>
      </c>
      <c r="K45" s="237"/>
    </row>
    <row r="46" spans="1:17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705"/>
      <c r="H46" s="705"/>
      <c r="I46" s="1531"/>
      <c r="J46" s="1532"/>
    </row>
    <row r="47" spans="1:17">
      <c r="A47" s="226" t="s">
        <v>145</v>
      </c>
      <c r="B47" s="164"/>
      <c r="C47" s="227">
        <f>Seal!C47</f>
        <v>0.12</v>
      </c>
      <c r="D47" s="520">
        <f>ROUNDUP((D45+D46)*C47,0)</f>
        <v>109</v>
      </c>
      <c r="E47" s="1"/>
      <c r="F47" s="1"/>
      <c r="G47" s="705"/>
      <c r="I47" s="1585" t="s">
        <v>1052</v>
      </c>
      <c r="J47" s="1586"/>
      <c r="K47" s="1587" t="s">
        <v>1063</v>
      </c>
      <c r="L47" s="1588"/>
      <c r="N47" s="76"/>
      <c r="O47" s="571" t="s">
        <v>604</v>
      </c>
    </row>
    <row r="48" spans="1:17">
      <c r="A48" s="1"/>
      <c r="B48" s="32"/>
      <c r="C48" s="7"/>
      <c r="D48" s="7"/>
      <c r="E48" s="7"/>
      <c r="F48" s="1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"/>
      <c r="O48" s="76" t="s">
        <v>62</v>
      </c>
    </row>
    <row r="49" spans="1:18">
      <c r="A49" s="5" t="s">
        <v>130</v>
      </c>
      <c r="B49" s="30" t="s">
        <v>11</v>
      </c>
      <c r="C49" s="11" t="s">
        <v>1</v>
      </c>
      <c r="D49" s="12" t="s">
        <v>51</v>
      </c>
      <c r="E49" s="1"/>
      <c r="F49" s="1"/>
      <c r="G49" s="97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"/>
      <c r="O49" s="76" t="s">
        <v>63</v>
      </c>
    </row>
    <row r="50" spans="1:18">
      <c r="A50" s="6"/>
      <c r="B50" s="37"/>
      <c r="C50" s="7"/>
      <c r="D50" s="9"/>
      <c r="E50" s="1"/>
      <c r="F50" s="307" t="s">
        <v>1249</v>
      </c>
      <c r="G50" s="583" t="s">
        <v>1250</v>
      </c>
      <c r="H50" s="93"/>
      <c r="I50" s="1580" t="s">
        <v>1051</v>
      </c>
      <c r="J50" s="1581">
        <v>0</v>
      </c>
      <c r="K50" s="1580" t="s">
        <v>1051</v>
      </c>
      <c r="L50" s="1581">
        <v>0</v>
      </c>
      <c r="N50" s="76"/>
      <c r="O50" s="76" t="s">
        <v>64</v>
      </c>
    </row>
    <row r="51" spans="1:18">
      <c r="A51" s="6" t="s">
        <v>75</v>
      </c>
      <c r="B51" s="37">
        <f>B35</f>
        <v>0</v>
      </c>
      <c r="C51" s="411">
        <f>Seal!C51</f>
        <v>0.27</v>
      </c>
      <c r="D51" s="9">
        <f>ROUNDUP(IF((B51*C51)&gt;150,(B51*C51),150),0)</f>
        <v>150</v>
      </c>
      <c r="E51" s="1"/>
      <c r="F51" s="307" t="s">
        <v>1248</v>
      </c>
      <c r="G51" s="1"/>
      <c r="H51" s="154"/>
      <c r="I51" s="864" t="s">
        <v>1070</v>
      </c>
      <c r="J51" s="1582"/>
      <c r="K51" s="864" t="s">
        <v>1072</v>
      </c>
      <c r="L51" s="1582"/>
      <c r="N51" s="76"/>
      <c r="O51" s="76" t="s">
        <v>65</v>
      </c>
    </row>
    <row r="52" spans="1:18" ht="16.2" thickBot="1">
      <c r="A52" s="6" t="str">
        <f>Seal!A52</f>
        <v>Demo Tooling (/sf)</v>
      </c>
      <c r="B52" s="37">
        <f>Seal!B52</f>
        <v>0</v>
      </c>
      <c r="C52" s="7">
        <v>0.33</v>
      </c>
      <c r="D52" s="9">
        <f t="shared" ref="D52:D54" si="4">ROUNDUP(B52*C52,0)</f>
        <v>0</v>
      </c>
      <c r="E52" s="787" t="s">
        <v>1246</v>
      </c>
      <c r="F52" s="1"/>
      <c r="G52" s="74" t="s">
        <v>173</v>
      </c>
      <c r="H52" s="154"/>
      <c r="I52" s="1583" t="s">
        <v>1082</v>
      </c>
      <c r="J52" s="1584"/>
      <c r="K52" s="1583" t="s">
        <v>1084</v>
      </c>
      <c r="L52" s="1584"/>
      <c r="N52" s="76"/>
      <c r="O52" s="76" t="s">
        <v>66</v>
      </c>
    </row>
    <row r="53" spans="1:18" ht="16.2" thickBot="1">
      <c r="A53" s="6" t="str">
        <f>Seal!A53</f>
        <v>Slurry Hardener</v>
      </c>
      <c r="B53" s="37">
        <f>Seal!B53</f>
        <v>0</v>
      </c>
      <c r="C53" s="7">
        <f>Seal!C53</f>
        <v>210</v>
      </c>
      <c r="D53" s="9">
        <f t="shared" si="4"/>
        <v>0</v>
      </c>
      <c r="E53" s="570" t="s">
        <v>618</v>
      </c>
      <c r="F53" s="1"/>
      <c r="G53" s="1"/>
      <c r="H53" s="37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"/>
      <c r="O53" s="76" t="s">
        <v>67</v>
      </c>
    </row>
    <row r="54" spans="1:18" ht="16.2" thickBot="1">
      <c r="A54" s="6" t="str">
        <f>Seal!A54</f>
        <v>Plastic (per LF)</v>
      </c>
      <c r="B54" s="37" t="b">
        <f>Seal!B54</f>
        <v>0</v>
      </c>
      <c r="C54" s="7">
        <f>Seal!C54</f>
        <v>0.25</v>
      </c>
      <c r="D54" s="9">
        <f t="shared" si="4"/>
        <v>0</v>
      </c>
      <c r="E54" s="1" t="s">
        <v>150</v>
      </c>
      <c r="F54" s="1"/>
      <c r="G54" s="1"/>
      <c r="H54" s="37"/>
      <c r="I54" s="1600"/>
      <c r="J54" s="1600" t="s">
        <v>1076</v>
      </c>
      <c r="K54" s="1594"/>
      <c r="L54" s="590" t="s">
        <v>1080</v>
      </c>
    </row>
    <row r="55" spans="1:18">
      <c r="A55" s="1570" t="s">
        <v>132</v>
      </c>
      <c r="B55" s="1571"/>
      <c r="C55" s="1572"/>
      <c r="D55" s="1573">
        <f>SUM(D50:D54)</f>
        <v>150</v>
      </c>
      <c r="E55" s="1"/>
      <c r="F55" s="1"/>
      <c r="G55" s="74"/>
      <c r="H55" s="1450" t="str">
        <f>E35</f>
        <v>8 hour days</v>
      </c>
      <c r="I55" s="714"/>
      <c r="J55" s="1561"/>
      <c r="K55" s="585"/>
      <c r="L55" s="1"/>
    </row>
    <row r="56" spans="1:18">
      <c r="A56" s="1"/>
      <c r="B56" s="32"/>
      <c r="C56" s="7"/>
      <c r="D56" s="7"/>
      <c r="E56" s="1"/>
      <c r="F56" s="1"/>
      <c r="G56" s="1409" t="s">
        <v>567</v>
      </c>
      <c r="H56" s="1410">
        <f>(((A37*B37)+(A38*B38)+(A40*B40)+(A42*B42))*IF($E$35="8 hour days",8,10))+(A44*B44)</f>
        <v>28</v>
      </c>
      <c r="I56" s="600"/>
      <c r="J56" s="605"/>
      <c r="K56" s="605"/>
      <c r="N56" s="458" t="s">
        <v>629</v>
      </c>
      <c r="O56" s="458"/>
    </row>
    <row r="57" spans="1:18">
      <c r="A57" s="5" t="s">
        <v>131</v>
      </c>
      <c r="B57" s="30" t="s">
        <v>11</v>
      </c>
      <c r="C57" s="11" t="s">
        <v>1</v>
      </c>
      <c r="D57" s="12" t="s">
        <v>51</v>
      </c>
      <c r="E57" s="1"/>
      <c r="F57" s="1"/>
      <c r="G57" s="1048" t="s">
        <v>568</v>
      </c>
      <c r="H57" s="1389">
        <f>H56/IF($E$35="8 hour days",8,10)/H58</f>
        <v>1.1666666666666667</v>
      </c>
      <c r="I57" s="629"/>
      <c r="J57" s="1562"/>
      <c r="K57" s="585"/>
      <c r="L57" s="585"/>
      <c r="N57" s="389" t="s">
        <v>390</v>
      </c>
      <c r="O57" s="389"/>
      <c r="P57" s="389"/>
      <c r="Q57" s="389"/>
    </row>
    <row r="58" spans="1:18">
      <c r="A58" s="6" t="s">
        <v>68</v>
      </c>
      <c r="B58" s="37" t="b">
        <f>IF(B4="No",((D45-D44)/C37)/8)</f>
        <v>0</v>
      </c>
      <c r="C58" s="7">
        <v>70</v>
      </c>
      <c r="D58" s="9">
        <f t="shared" ref="D58:D60" si="5">ROUNDUP(B58*C58,0)</f>
        <v>0</v>
      </c>
      <c r="E58" s="1"/>
      <c r="F58" s="1"/>
      <c r="G58" s="1444" t="s">
        <v>931</v>
      </c>
      <c r="H58" s="1445">
        <f>A37</f>
        <v>3</v>
      </c>
      <c r="I58" s="662"/>
      <c r="J58" s="1562"/>
      <c r="K58" s="585"/>
      <c r="L58" s="585"/>
      <c r="N58" s="398" t="s">
        <v>389</v>
      </c>
      <c r="O58" s="398"/>
      <c r="P58" s="398"/>
      <c r="Q58" s="398"/>
      <c r="R58" s="398"/>
    </row>
    <row r="59" spans="1:18">
      <c r="A59" s="6" t="s">
        <v>69</v>
      </c>
      <c r="B59" s="37" t="b">
        <f>B58</f>
        <v>0</v>
      </c>
      <c r="C59" s="7">
        <v>45</v>
      </c>
      <c r="D59" s="9">
        <f t="shared" si="5"/>
        <v>0</v>
      </c>
      <c r="E59" s="43"/>
      <c r="F59" s="1"/>
      <c r="G59" s="1"/>
      <c r="H59" s="93"/>
      <c r="I59" s="629"/>
      <c r="J59" s="1562"/>
      <c r="K59" s="585"/>
      <c r="L59" s="585"/>
      <c r="N59" s="458" t="s">
        <v>448</v>
      </c>
      <c r="O59" s="458"/>
      <c r="P59" s="458"/>
      <c r="Q59" s="458"/>
      <c r="R59" s="458"/>
    </row>
    <row r="60" spans="1:18">
      <c r="A60" s="6"/>
      <c r="B60" s="37"/>
      <c r="C60" s="7"/>
      <c r="D60" s="9">
        <f t="shared" si="5"/>
        <v>0</v>
      </c>
      <c r="E60" s="1"/>
      <c r="F60" s="1"/>
      <c r="G60" s="1"/>
      <c r="H60" s="37"/>
      <c r="I60" s="714"/>
      <c r="J60" s="1561"/>
      <c r="K60" s="585"/>
      <c r="L60" s="585"/>
      <c r="O60" s="458" t="s">
        <v>449</v>
      </c>
      <c r="P60" s="458"/>
      <c r="Q60" s="458"/>
      <c r="R60" s="458"/>
    </row>
    <row r="61" spans="1:18">
      <c r="A61" s="1570" t="s">
        <v>133</v>
      </c>
      <c r="B61" s="1571"/>
      <c r="C61" s="1572"/>
      <c r="D61" s="1573">
        <f>SUM(D58:D60)</f>
        <v>0</v>
      </c>
      <c r="E61" s="1"/>
      <c r="F61" s="1"/>
      <c r="G61" s="74"/>
      <c r="H61" s="80"/>
      <c r="I61" s="714"/>
      <c r="J61" s="1561"/>
      <c r="K61" s="585"/>
      <c r="L61" s="585"/>
    </row>
    <row r="62" spans="1:18">
      <c r="A62" s="1"/>
      <c r="B62" s="32"/>
      <c r="C62" s="7"/>
      <c r="D62" s="7"/>
      <c r="E62" s="1"/>
      <c r="F62" s="1"/>
      <c r="G62" s="1"/>
    </row>
    <row r="63" spans="1:18">
      <c r="A63" s="1"/>
      <c r="B63" s="32"/>
      <c r="C63" s="7"/>
      <c r="D63" s="7"/>
      <c r="E63" s="1"/>
      <c r="F63" s="1"/>
      <c r="G63" s="1"/>
    </row>
    <row r="64" spans="1:18">
      <c r="A64" s="165" t="s">
        <v>9</v>
      </c>
      <c r="B64" s="166"/>
      <c r="C64" s="404"/>
      <c r="D64" s="167">
        <f>ROUNDUP(SUM(D33,D45:D47,D55,D61),0)</f>
        <v>1161</v>
      </c>
      <c r="E64" s="393" t="e">
        <f>D64/B35</f>
        <v>#DIV/0!</v>
      </c>
      <c r="F64" s="235" t="s">
        <v>377</v>
      </c>
      <c r="G64" s="1"/>
    </row>
    <row r="65" spans="1:12">
      <c r="A65" s="1"/>
      <c r="B65" s="32"/>
      <c r="C65" s="7"/>
      <c r="D65" s="7"/>
      <c r="E65" s="1"/>
      <c r="F65" s="1"/>
      <c r="G65" s="1"/>
    </row>
    <row r="66" spans="1:12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1161</v>
      </c>
      <c r="G66" s="811" t="s">
        <v>428</v>
      </c>
      <c r="H66" s="812"/>
      <c r="I66" s="813" t="e">
        <f>F66/C81</f>
        <v>#DIV/0!</v>
      </c>
    </row>
    <row r="67" spans="1:12">
      <c r="A67" s="817" t="s">
        <v>215</v>
      </c>
      <c r="B67" s="122">
        <f>IF(D64&lt;6500,0.52,IF(D64&lt;15000,0.45,IF(D64&lt;22500,0.35,IF(D64&lt;32500,0.32,IF(D64&lt;42500,0.3,0.28)))))</f>
        <v>0.52</v>
      </c>
      <c r="C67" s="629"/>
      <c r="D67" s="9">
        <f>ROUNDUP(SUM(D64,D74,D77)/(1-B67),0)-ROUNDUP(SUM(D64,D74,D77),0)</f>
        <v>1258</v>
      </c>
      <c r="E67" s="600"/>
      <c r="F67" s="814">
        <f>(((A37*B37)+(A38*B38)+(A40*B40)+(A42*B42))*IF($E$35="8 hour days",8,10))+(A44*B44)</f>
        <v>28</v>
      </c>
      <c r="G67" s="815" t="s">
        <v>505</v>
      </c>
      <c r="H67" s="815"/>
      <c r="I67" s="585"/>
    </row>
    <row r="68" spans="1:12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1078.2857142857142</v>
      </c>
      <c r="G68" s="1447" t="s">
        <v>1036</v>
      </c>
      <c r="H68" s="809" t="str">
        <f>E35</f>
        <v>8 hour days</v>
      </c>
      <c r="I68" s="585"/>
    </row>
    <row r="69" spans="1:12">
      <c r="A69" s="628" t="s">
        <v>724</v>
      </c>
      <c r="B69" s="819">
        <v>2.7E-2</v>
      </c>
      <c r="C69" s="803"/>
      <c r="D69" s="648">
        <f>ROUNDUP(SUM(D64:D68,D71,D74,D77)*B69,0)</f>
        <v>66</v>
      </c>
      <c r="E69" s="600"/>
      <c r="F69" s="585"/>
      <c r="G69" s="585"/>
      <c r="H69" s="585"/>
      <c r="I69" s="585"/>
    </row>
    <row r="70" spans="1:12">
      <c r="A70" s="628" t="s">
        <v>135</v>
      </c>
      <c r="B70" s="241">
        <v>0.16</v>
      </c>
      <c r="C70" s="803"/>
      <c r="D70" s="648">
        <f>(ROUNDUP(SUM(D64:D69,D71,D74,D77)*B70,0))+0</f>
        <v>398</v>
      </c>
      <c r="E70" s="600"/>
      <c r="F70" s="600"/>
      <c r="G70" s="775"/>
      <c r="H70" s="585"/>
      <c r="I70" s="585"/>
    </row>
    <row r="71" spans="1:12">
      <c r="A71" s="820" t="s">
        <v>210</v>
      </c>
      <c r="B71" s="1575" t="s">
        <v>1060</v>
      </c>
      <c r="C71" s="1563"/>
      <c r="D71" s="1574">
        <v>0</v>
      </c>
      <c r="E71" s="600"/>
      <c r="F71" s="585"/>
      <c r="G71" s="585"/>
      <c r="H71" s="585"/>
      <c r="I71" s="808"/>
      <c r="J71" s="98"/>
    </row>
    <row r="72" spans="1:12">
      <c r="A72" s="600"/>
      <c r="B72" s="775"/>
      <c r="C72" s="629"/>
      <c r="D72" s="629"/>
      <c r="E72" s="600"/>
      <c r="F72" s="585"/>
      <c r="G72" s="585"/>
      <c r="H72" s="585"/>
      <c r="I72" s="808"/>
    </row>
    <row r="73" spans="1:12">
      <c r="A73" s="621" t="s">
        <v>152</v>
      </c>
      <c r="B73" s="622" t="s">
        <v>7</v>
      </c>
      <c r="C73" s="778"/>
      <c r="D73" s="12" t="s">
        <v>51</v>
      </c>
      <c r="E73" s="600"/>
      <c r="H73" s="585"/>
      <c r="I73" s="585"/>
      <c r="J73" s="1646">
        <f>(J76-J74-J75)</f>
        <v>2883</v>
      </c>
      <c r="K73" s="590"/>
    </row>
    <row r="74" spans="1:12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H74" s="585"/>
      <c r="I74" s="585"/>
      <c r="J74" s="1646"/>
      <c r="K74" s="585" t="s">
        <v>1118</v>
      </c>
    </row>
    <row r="75" spans="1:12">
      <c r="A75" s="804" t="str">
        <f>Seal!A75</f>
        <v>Kansas Remodel Tax</v>
      </c>
      <c r="B75" s="805">
        <f>Seal!B75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H75" s="585"/>
      <c r="J75" s="1647"/>
      <c r="K75" s="784" t="s">
        <v>1119</v>
      </c>
    </row>
    <row r="76" spans="1:12">
      <c r="A76" s="1565" t="s">
        <v>1054</v>
      </c>
      <c r="B76" s="1566"/>
      <c r="C76" s="1567"/>
      <c r="D76" s="1568">
        <f>SUM(D74:D75)</f>
        <v>0</v>
      </c>
      <c r="E76" s="758"/>
      <c r="H76" s="585"/>
      <c r="J76" s="1646">
        <f>D82</f>
        <v>2883</v>
      </c>
      <c r="K76" s="590" t="s">
        <v>1117</v>
      </c>
    </row>
    <row r="77" spans="1:12">
      <c r="A77" s="628" t="str">
        <f>Seal!A77</f>
        <v>Fees + Textura + ?</v>
      </c>
      <c r="B77" s="802">
        <f>Seal!B77</f>
        <v>0</v>
      </c>
      <c r="C77" s="629">
        <f>Seal!C77</f>
        <v>0</v>
      </c>
      <c r="D77" s="648">
        <f>ROUNDUP(B77*C77,0)</f>
        <v>0</v>
      </c>
      <c r="E77" s="600">
        <f>Seal!E77</f>
        <v>0</v>
      </c>
      <c r="F77" s="600"/>
      <c r="G77" s="600"/>
      <c r="H77" s="585"/>
    </row>
    <row r="78" spans="1:12">
      <c r="A78" s="635" t="s">
        <v>20</v>
      </c>
      <c r="B78" s="806">
        <f>Seal!B78</f>
        <v>0</v>
      </c>
      <c r="C78" s="636"/>
      <c r="D78" s="807">
        <f>ROUNDUP(SUM(D64,D67,D68,D69:D71,D74,D75:D77)*B78,0)</f>
        <v>0</v>
      </c>
      <c r="E78" s="600">
        <f>Seal!E78</f>
        <v>0</v>
      </c>
      <c r="F78" s="600"/>
      <c r="G78" s="600"/>
      <c r="H78" s="585"/>
    </row>
    <row r="79" spans="1:12">
      <c r="A79" s="789" t="s">
        <v>1061</v>
      </c>
      <c r="B79" s="790"/>
      <c r="C79" s="791"/>
      <c r="D79" s="792">
        <f>ROUNDUP(SUM(D77:D78),0)</f>
        <v>0</v>
      </c>
      <c r="E79" s="600"/>
      <c r="F79" s="600"/>
      <c r="G79" s="585"/>
      <c r="H79" s="585"/>
      <c r="I79" s="1"/>
      <c r="J79" s="1"/>
      <c r="K79" s="1"/>
    </row>
    <row r="80" spans="1:12">
      <c r="A80" s="1"/>
      <c r="B80" s="8"/>
      <c r="C80" s="7"/>
      <c r="D80" s="7"/>
      <c r="E80" s="1"/>
      <c r="F80" s="191" t="s">
        <v>70</v>
      </c>
      <c r="G80" s="232" t="s">
        <v>378</v>
      </c>
      <c r="H80" s="1618" t="s">
        <v>1098</v>
      </c>
      <c r="I80" s="823"/>
      <c r="J80" s="180"/>
      <c r="K80" s="1434" t="s">
        <v>211</v>
      </c>
      <c r="L80" s="1466"/>
    </row>
    <row r="81" spans="1:28" ht="16.2" thickBot="1">
      <c r="A81" s="1"/>
      <c r="B81" s="190" t="s">
        <v>45</v>
      </c>
      <c r="C81" s="99">
        <f>B35</f>
        <v>0</v>
      </c>
      <c r="D81" s="7"/>
      <c r="E81" s="38" t="s">
        <v>18</v>
      </c>
      <c r="F81" s="1627">
        <f>SUM(D67,D68,D71)</f>
        <v>1258</v>
      </c>
      <c r="G81" s="1626">
        <f>F81/F67</f>
        <v>44.928571428571431</v>
      </c>
      <c r="H81" s="1619">
        <f>SUM(D67:D71)</f>
        <v>1722</v>
      </c>
      <c r="I81" s="585"/>
      <c r="J81" s="480" t="s">
        <v>212</v>
      </c>
      <c r="K81" s="232" t="s">
        <v>213</v>
      </c>
      <c r="L81" s="232" t="s">
        <v>214</v>
      </c>
      <c r="M81" s="1"/>
    </row>
    <row r="82" spans="1:28" ht="16.2" thickBot="1">
      <c r="A82" s="186" t="s">
        <v>6</v>
      </c>
      <c r="B82" s="187"/>
      <c r="C82" s="188" t="e">
        <f>D82/C81</f>
        <v>#DIV/0!</v>
      </c>
      <c r="D82" s="832">
        <f>SUM(D64,D67:D71,D76,D79)</f>
        <v>2883</v>
      </c>
      <c r="E82" s="629">
        <f>D82-(D74+D75)</f>
        <v>2883</v>
      </c>
      <c r="F82" s="1628">
        <f>F81/(D82)</f>
        <v>0.43635102323968089</v>
      </c>
      <c r="G82" s="1626">
        <f>C37</f>
        <v>32.200000000000003</v>
      </c>
      <c r="H82" s="1620">
        <f>H81/D82</f>
        <v>0.59729448491155046</v>
      </c>
      <c r="I82" s="1625" t="s">
        <v>1101</v>
      </c>
      <c r="J82" s="242">
        <f>(H33+D55)/D82</f>
        <v>5.2029136316337148E-2</v>
      </c>
      <c r="K82" s="828">
        <f>(SUM(D45:D47)/D82)</f>
        <v>0.35067637877211238</v>
      </c>
      <c r="L82" s="242">
        <f>D61/D82</f>
        <v>0</v>
      </c>
      <c r="M82" s="1"/>
      <c r="N82" s="1"/>
    </row>
    <row r="83" spans="1:28">
      <c r="A83" s="221"/>
      <c r="B83" s="1"/>
      <c r="C83" s="7" t="e">
        <f>D83/C81</f>
        <v>#DIV/0!</v>
      </c>
      <c r="D83" s="629">
        <f>D82-D75</f>
        <v>2883</v>
      </c>
      <c r="E83" s="753" t="s">
        <v>147</v>
      </c>
      <c r="G83" s="405">
        <f>C37</f>
        <v>32.200000000000003</v>
      </c>
      <c r="H83" s="220"/>
      <c r="I83" s="1631" t="s">
        <v>1105</v>
      </c>
      <c r="J83" s="220"/>
      <c r="L83" s="1"/>
      <c r="M83" s="1"/>
      <c r="N83" s="1"/>
      <c r="O83" s="1"/>
    </row>
    <row r="84" spans="1:28">
      <c r="A84" s="221"/>
      <c r="B84" s="1"/>
      <c r="C84" s="1666" t="e">
        <f>D84/C81</f>
        <v>#DIV/0!</v>
      </c>
      <c r="D84" s="1667">
        <f>D82-Seal!D82</f>
        <v>1433</v>
      </c>
      <c r="E84" s="1668" t="s">
        <v>1111</v>
      </c>
      <c r="J84" s="1098">
        <f>SUM(D33,D55)</f>
        <v>150</v>
      </c>
      <c r="K84" s="1099">
        <f>J84/J87</f>
        <v>5.2029136316337148E-2</v>
      </c>
      <c r="L84" s="1100" t="s">
        <v>674</v>
      </c>
      <c r="M84" s="759" t="s">
        <v>675</v>
      </c>
      <c r="N84" s="1"/>
      <c r="O84" s="1"/>
    </row>
    <row r="85" spans="1:28">
      <c r="A85" s="221"/>
      <c r="B85" s="1"/>
      <c r="C85" s="445"/>
      <c r="D85" s="211"/>
      <c r="E85" s="189"/>
      <c r="J85" s="1101">
        <f>SUM(D45:D47,D61)</f>
        <v>1011</v>
      </c>
      <c r="K85" s="1102">
        <f>J85/J87</f>
        <v>0.35067637877211238</v>
      </c>
      <c r="L85" s="1103" t="s">
        <v>676</v>
      </c>
      <c r="M85" s="600"/>
      <c r="N85" s="1"/>
      <c r="O85" s="1"/>
    </row>
    <row r="86" spans="1:28">
      <c r="A86" s="1"/>
      <c r="B86" s="1"/>
      <c r="C86" s="207"/>
      <c r="D86" s="207"/>
      <c r="E86" s="189"/>
      <c r="J86" s="1104">
        <f>SUM(D67:D71,D76,D79)</f>
        <v>1722</v>
      </c>
      <c r="K86" s="1105">
        <f>J86/J87</f>
        <v>0.59729448491155046</v>
      </c>
      <c r="L86" s="1106" t="s">
        <v>678</v>
      </c>
      <c r="M86" s="600"/>
      <c r="N86" s="1"/>
      <c r="O86" s="1"/>
      <c r="P86" s="1"/>
      <c r="Q86" s="1"/>
    </row>
    <row r="87" spans="1:28">
      <c r="A87" s="1"/>
      <c r="B87" s="1"/>
      <c r="C87" s="207"/>
      <c r="D87" s="207"/>
      <c r="E87" s="189"/>
      <c r="J87" s="1104">
        <f>SUM(J84:J86)</f>
        <v>2883</v>
      </c>
      <c r="K87" s="1107">
        <f>SUM(K84:K86)</f>
        <v>1</v>
      </c>
      <c r="L87" s="1106" t="s">
        <v>2</v>
      </c>
      <c r="M87" s="585"/>
      <c r="N87" s="1"/>
      <c r="O87" s="1"/>
      <c r="P87" s="1"/>
      <c r="Q87" s="1"/>
    </row>
    <row r="88" spans="1:28">
      <c r="A88" s="103"/>
      <c r="B88" s="103"/>
      <c r="C88" s="104"/>
      <c r="D88" s="104"/>
      <c r="E88" s="53"/>
      <c r="F88" s="53"/>
      <c r="G88" s="53"/>
      <c r="H88" s="53"/>
      <c r="I88" s="53"/>
      <c r="J88" s="53"/>
      <c r="K88" s="53"/>
      <c r="L88" s="53"/>
      <c r="M88" s="64"/>
      <c r="N88" s="64"/>
      <c r="O88" s="64"/>
      <c r="P88" s="1"/>
      <c r="Q88" s="1"/>
    </row>
    <row r="89" spans="1:28">
      <c r="A89" s="103"/>
      <c r="B89" s="105"/>
      <c r="C89" s="104"/>
      <c r="D89" s="104"/>
      <c r="E89" s="53"/>
      <c r="F89" s="53"/>
      <c r="G89" s="53"/>
      <c r="H89" s="53"/>
      <c r="I89" s="53"/>
      <c r="J89" s="106"/>
      <c r="K89" s="106"/>
      <c r="L89" s="106"/>
      <c r="M89" s="64"/>
      <c r="N89" s="64"/>
      <c r="O89" s="64"/>
      <c r="P89" s="1"/>
      <c r="Q89" s="1"/>
    </row>
    <row r="90" spans="1:28">
      <c r="A90" s="53"/>
      <c r="B90" s="53"/>
      <c r="C90" s="79"/>
      <c r="D90" s="79"/>
      <c r="E90" s="53"/>
      <c r="F90" s="53"/>
      <c r="G90" s="118"/>
      <c r="H90" s="53"/>
      <c r="I90" s="53"/>
      <c r="J90" s="53"/>
      <c r="K90" s="53"/>
      <c r="L90" s="53"/>
      <c r="M90" s="64"/>
      <c r="N90" s="64"/>
      <c r="O90" s="64"/>
      <c r="P90" s="1"/>
      <c r="Q90" s="1"/>
    </row>
    <row r="91" spans="1:28">
      <c r="A91" s="3"/>
      <c r="B91" s="102"/>
      <c r="C91" s="3"/>
      <c r="D91" s="102"/>
      <c r="E91" s="64"/>
      <c r="F91" s="64"/>
      <c r="G91" s="53"/>
      <c r="H91" s="108"/>
      <c r="I91" s="53"/>
      <c r="J91" s="106"/>
      <c r="K91" s="106"/>
      <c r="L91" s="106"/>
      <c r="M91" s="64"/>
      <c r="N91" s="64"/>
      <c r="O91" s="64"/>
      <c r="P91" s="1"/>
      <c r="Q91" s="1"/>
      <c r="AA91" s="64"/>
      <c r="AB91" s="64"/>
    </row>
    <row r="92" spans="1:28">
      <c r="A92" s="53"/>
      <c r="B92" s="53"/>
      <c r="C92" s="53"/>
      <c r="D92" s="53"/>
      <c r="E92" s="106"/>
      <c r="F92" s="64"/>
      <c r="G92" s="53"/>
      <c r="H92" s="53"/>
      <c r="I92" s="53"/>
      <c r="J92" s="79"/>
      <c r="K92" s="53"/>
      <c r="L92" s="53"/>
      <c r="M92" s="64"/>
      <c r="N92" s="64"/>
      <c r="O92" s="64"/>
      <c r="P92" s="1"/>
      <c r="Q92" s="1"/>
      <c r="AA92" s="64"/>
      <c r="AB92" s="64"/>
    </row>
    <row r="93" spans="1:28">
      <c r="A93" s="53"/>
      <c r="B93" s="53"/>
      <c r="C93" s="119"/>
      <c r="D93" s="106"/>
      <c r="E93" s="106"/>
      <c r="F93" s="64"/>
      <c r="G93" s="53"/>
      <c r="H93" s="93"/>
      <c r="I93" s="79"/>
      <c r="J93" s="79"/>
      <c r="K93" s="53"/>
      <c r="L93" s="53"/>
      <c r="M93" s="64"/>
      <c r="N93" s="64"/>
      <c r="O93" s="64"/>
      <c r="P93" s="1"/>
      <c r="Q93" s="1"/>
      <c r="AA93" s="64"/>
      <c r="AB93" s="64"/>
    </row>
    <row r="94" spans="1:28" s="64" customFormat="1">
      <c r="A94" s="53"/>
      <c r="B94" s="53"/>
      <c r="C94" s="53"/>
      <c r="D94" s="53"/>
      <c r="E94" s="53"/>
      <c r="G94" s="53"/>
      <c r="H94" s="93"/>
      <c r="I94" s="79"/>
      <c r="J94" s="79"/>
      <c r="K94" s="53"/>
      <c r="L94" s="53"/>
      <c r="P94" s="53"/>
      <c r="Q94" s="53"/>
    </row>
    <row r="95" spans="1:28" s="64" customFormat="1">
      <c r="A95" s="53"/>
      <c r="B95" s="53"/>
      <c r="C95" s="119"/>
      <c r="D95" s="106"/>
      <c r="E95" s="106"/>
      <c r="G95" s="53"/>
      <c r="H95" s="93"/>
      <c r="I95" s="79"/>
      <c r="J95" s="79"/>
      <c r="K95" s="53"/>
      <c r="L95" s="53"/>
    </row>
    <row r="96" spans="1:28" s="64" customFormat="1">
      <c r="A96" s="111"/>
      <c r="B96" s="53"/>
      <c r="C96" s="53"/>
      <c r="D96" s="53"/>
      <c r="E96" s="53"/>
      <c r="G96" s="53"/>
      <c r="H96" s="93"/>
      <c r="I96" s="79"/>
      <c r="J96" s="79"/>
      <c r="K96" s="53"/>
      <c r="L96" s="53"/>
    </row>
    <row r="97" spans="1:12" s="64" customFormat="1">
      <c r="A97" s="53"/>
      <c r="B97" s="53"/>
      <c r="C97" s="119"/>
      <c r="D97" s="106"/>
      <c r="E97" s="106"/>
      <c r="G97" s="53"/>
      <c r="H97" s="93"/>
      <c r="I97" s="79"/>
      <c r="J97" s="79"/>
      <c r="K97" s="53"/>
      <c r="L97" s="53"/>
    </row>
    <row r="98" spans="1:12" s="64" customFormat="1">
      <c r="A98" s="387"/>
      <c r="B98" s="53"/>
      <c r="C98" s="53"/>
      <c r="D98" s="109"/>
      <c r="E98" s="109"/>
      <c r="F98" s="53"/>
      <c r="G98" s="103"/>
      <c r="H98" s="103"/>
      <c r="I98" s="104"/>
      <c r="J98" s="104"/>
    </row>
    <row r="99" spans="1:12" s="64" customFormat="1">
      <c r="A99" s="388"/>
      <c r="B99" s="53"/>
      <c r="C99" s="79"/>
      <c r="D99" s="79"/>
      <c r="E99" s="79"/>
      <c r="F99" s="53"/>
      <c r="G99" s="53"/>
      <c r="H99" s="53"/>
    </row>
    <row r="100" spans="1:12" s="64" customFormat="1">
      <c r="A100" s="389"/>
      <c r="B100" s="53"/>
      <c r="C100" s="53"/>
      <c r="D100" s="79"/>
      <c r="E100" s="53"/>
      <c r="F100" s="53"/>
      <c r="G100" s="53"/>
      <c r="H100" s="53"/>
      <c r="K100" s="53"/>
      <c r="L100" s="53"/>
    </row>
    <row r="101" spans="1:12" s="64" customFormat="1">
      <c r="A101" s="390"/>
      <c r="B101" s="93"/>
      <c r="C101" s="79"/>
      <c r="D101" s="79"/>
      <c r="E101" s="53"/>
      <c r="F101" s="53"/>
      <c r="G101" s="102"/>
      <c r="H101" s="93"/>
      <c r="I101" s="53"/>
      <c r="J101" s="79"/>
      <c r="K101" s="53"/>
      <c r="L101" s="53"/>
    </row>
    <row r="102" spans="1:12" s="64" customFormat="1">
      <c r="A102" s="391"/>
      <c r="B102" s="93"/>
      <c r="C102" s="79"/>
      <c r="D102" s="79"/>
      <c r="E102" s="53"/>
      <c r="F102" s="53"/>
      <c r="G102" s="53"/>
      <c r="H102" s="93"/>
      <c r="I102" s="79"/>
      <c r="J102" s="79"/>
      <c r="K102" s="53"/>
      <c r="L102" s="53"/>
    </row>
    <row r="103" spans="1:12" s="64" customFormat="1">
      <c r="A103" s="392"/>
      <c r="B103" s="93"/>
      <c r="C103" s="79"/>
      <c r="D103" s="79"/>
      <c r="E103" s="53"/>
      <c r="F103" s="53"/>
      <c r="G103" s="53"/>
      <c r="H103" s="93"/>
      <c r="I103" s="79"/>
      <c r="J103" s="79"/>
      <c r="K103" s="53"/>
      <c r="L103" s="53"/>
    </row>
    <row r="104" spans="1:12" s="64" customFormat="1">
      <c r="A104" s="449"/>
      <c r="B104" s="93"/>
      <c r="C104" s="79"/>
      <c r="D104" s="79"/>
      <c r="E104" s="111"/>
      <c r="F104" s="53"/>
      <c r="G104" s="53"/>
      <c r="H104" s="93"/>
      <c r="I104" s="79"/>
      <c r="J104" s="79"/>
      <c r="K104" s="53"/>
      <c r="L104" s="53"/>
    </row>
    <row r="105" spans="1:12" s="64" customFormat="1">
      <c r="A105" s="544"/>
      <c r="B105" s="93"/>
      <c r="C105" s="79"/>
      <c r="D105" s="79"/>
      <c r="E105" s="111"/>
      <c r="F105" s="53"/>
      <c r="G105" s="53"/>
      <c r="H105" s="93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79"/>
      <c r="J109" s="79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104"/>
      <c r="J110" s="104"/>
      <c r="K110" s="53"/>
      <c r="L110" s="53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  <c r="I111" s="53"/>
      <c r="K111" s="106"/>
      <c r="L111" s="106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</row>
    <row r="124" spans="1:9" s="64" customFormat="1">
      <c r="A124" s="53"/>
      <c r="B124" s="113"/>
      <c r="C124" s="79"/>
      <c r="D124" s="79"/>
      <c r="E124" s="53"/>
      <c r="F124" s="53"/>
      <c r="G124" s="53"/>
      <c r="I124" s="114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/>
    <row r="130" spans="1:17" s="64" customFormat="1">
      <c r="A130" s="53"/>
      <c r="B130" s="53"/>
      <c r="C130" s="53"/>
      <c r="D130" s="53"/>
      <c r="G130" s="53"/>
      <c r="H130" s="53"/>
      <c r="I130" s="53"/>
      <c r="J130" s="66"/>
      <c r="K130" s="66"/>
      <c r="L130" s="66"/>
      <c r="M130" s="53"/>
      <c r="N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66"/>
      <c r="J131" s="66"/>
      <c r="K131" s="66"/>
      <c r="L131" s="66"/>
      <c r="M131" s="53"/>
      <c r="N131" s="53"/>
      <c r="O131" s="53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K132" s="66"/>
      <c r="L132" s="66"/>
      <c r="M132" s="53"/>
      <c r="N132" s="79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I133" s="117"/>
      <c r="J133" s="66"/>
      <c r="L133" s="66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53"/>
      <c r="N134" s="102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79"/>
      <c r="N135" s="53"/>
      <c r="O135" s="79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53"/>
      <c r="Q138" s="53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L141" s="53"/>
      <c r="M141" s="53"/>
      <c r="N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O142" s="53"/>
      <c r="P142" s="79"/>
      <c r="Q142" s="79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53"/>
      <c r="K143" s="53"/>
      <c r="L143" s="53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106"/>
      <c r="K144" s="106"/>
      <c r="L144" s="106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53"/>
      <c r="K145" s="53"/>
      <c r="L145" s="53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106"/>
      <c r="K146" s="106"/>
      <c r="L146" s="106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53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  <c r="P149" s="53"/>
      <c r="Q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79"/>
      <c r="J152" s="79"/>
      <c r="K152" s="53"/>
      <c r="L152" s="53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  <c r="I153" s="104"/>
      <c r="J153" s="104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53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79"/>
      <c r="J164" s="79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104"/>
      <c r="J165" s="104"/>
      <c r="K165" s="53"/>
      <c r="L165" s="53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  <c r="I166" s="53"/>
      <c r="K166" s="106"/>
      <c r="L166" s="106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</row>
    <row r="180" spans="1:15" s="64" customFormat="1">
      <c r="A180" s="53"/>
      <c r="B180" s="113"/>
      <c r="C180" s="79"/>
      <c r="D180" s="79"/>
      <c r="E180" s="53"/>
      <c r="F180" s="53"/>
      <c r="G180" s="53"/>
      <c r="I180" s="114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/>
    <row r="186" spans="1:15" s="64" customFormat="1">
      <c r="A186" s="53"/>
      <c r="B186" s="53"/>
      <c r="C186" s="53"/>
      <c r="D186" s="53"/>
      <c r="G186" s="53"/>
      <c r="H186" s="53"/>
      <c r="I186" s="53"/>
      <c r="J186" s="66"/>
      <c r="K186" s="66"/>
      <c r="L186" s="66"/>
      <c r="M186" s="53"/>
      <c r="N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66"/>
      <c r="J187" s="66"/>
      <c r="K187" s="66"/>
      <c r="L187" s="66"/>
      <c r="M187" s="53"/>
      <c r="N187" s="53"/>
      <c r="O187" s="53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K188" s="66"/>
      <c r="L188" s="66"/>
      <c r="M188" s="53"/>
      <c r="N188" s="79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I189" s="117"/>
      <c r="J189" s="66"/>
      <c r="L189" s="66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53"/>
      <c r="N190" s="102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79"/>
      <c r="N191" s="53"/>
      <c r="O191" s="79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53"/>
      <c r="Q194" s="53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L197" s="53"/>
      <c r="M197" s="53"/>
      <c r="N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O198" s="53"/>
      <c r="P198" s="79"/>
      <c r="Q198" s="79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53"/>
      <c r="K199" s="53"/>
      <c r="L199" s="53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106"/>
      <c r="K200" s="106"/>
      <c r="L200" s="106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53"/>
      <c r="K201" s="53"/>
      <c r="L201" s="53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106"/>
      <c r="K202" s="106"/>
      <c r="L202" s="106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53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  <c r="P205" s="53"/>
      <c r="Q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79"/>
      <c r="J208" s="79"/>
      <c r="K208" s="53"/>
      <c r="L208" s="53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  <c r="I209" s="104"/>
      <c r="J209" s="104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53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79"/>
      <c r="J220" s="79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104"/>
      <c r="J221" s="104"/>
      <c r="K221" s="53"/>
      <c r="L221" s="53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  <c r="I222" s="53"/>
      <c r="K222" s="106"/>
      <c r="L222" s="106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</row>
    <row r="236" spans="1:9" s="64" customFormat="1">
      <c r="A236" s="53"/>
      <c r="B236" s="113"/>
      <c r="C236" s="79"/>
      <c r="D236" s="79"/>
      <c r="E236" s="53"/>
      <c r="F236" s="53"/>
      <c r="G236" s="53"/>
      <c r="I236" s="114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</row>
    <row r="242" spans="1:17" s="64" customFormat="1">
      <c r="A242" s="53"/>
      <c r="B242" s="53"/>
      <c r="C242" s="53"/>
      <c r="D242" s="53"/>
      <c r="G242" s="53"/>
      <c r="H242" s="53"/>
      <c r="I242" s="53"/>
      <c r="J242" s="66"/>
      <c r="K242" s="66"/>
      <c r="L242" s="66"/>
      <c r="M242" s="53"/>
      <c r="N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66"/>
      <c r="J243" s="66"/>
      <c r="K243" s="66"/>
      <c r="L243" s="66"/>
      <c r="M243" s="53"/>
      <c r="N243" s="53"/>
      <c r="O243" s="53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K244" s="66"/>
      <c r="L244" s="66"/>
      <c r="M244" s="53"/>
      <c r="N244" s="79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I245" s="117"/>
      <c r="J245" s="66"/>
      <c r="L245" s="66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53"/>
      <c r="N246" s="102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79"/>
      <c r="N247" s="53"/>
      <c r="O247" s="79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53"/>
      <c r="Q250" s="53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L253" s="53"/>
      <c r="M253" s="53"/>
      <c r="N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O254" s="53"/>
      <c r="P254" s="79"/>
      <c r="Q254" s="79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53"/>
      <c r="K255" s="53"/>
      <c r="L255" s="53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106"/>
      <c r="K256" s="106"/>
      <c r="L256" s="106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53"/>
      <c r="K257" s="53"/>
      <c r="L257" s="53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106"/>
      <c r="K258" s="106"/>
      <c r="L258" s="106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53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  <c r="P261" s="53"/>
      <c r="Q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79"/>
      <c r="J264" s="79"/>
      <c r="K264" s="53"/>
      <c r="L264" s="53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  <c r="I265" s="104"/>
      <c r="J265" s="104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53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79"/>
      <c r="J276" s="79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104"/>
      <c r="J277" s="104"/>
      <c r="K277" s="53"/>
      <c r="L277" s="53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  <c r="I278" s="53"/>
      <c r="K278" s="106"/>
      <c r="L278" s="106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</row>
    <row r="292" spans="1:15" s="64" customFormat="1">
      <c r="A292" s="53"/>
      <c r="B292" s="113"/>
      <c r="C292" s="79"/>
      <c r="D292" s="79"/>
      <c r="E292" s="53"/>
      <c r="F292" s="53"/>
      <c r="G292" s="53"/>
      <c r="I292" s="114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</row>
    <row r="298" spans="1:15" s="64" customFormat="1">
      <c r="A298" s="53"/>
      <c r="B298" s="53"/>
      <c r="C298" s="53"/>
      <c r="D298" s="53"/>
      <c r="G298" s="53"/>
      <c r="H298" s="53"/>
      <c r="I298" s="53"/>
      <c r="J298" s="66"/>
      <c r="K298" s="66"/>
      <c r="L298" s="66"/>
      <c r="M298" s="53"/>
      <c r="N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66"/>
      <c r="J299" s="66"/>
      <c r="K299" s="66"/>
      <c r="L299" s="66"/>
      <c r="M299" s="53"/>
      <c r="N299" s="53"/>
      <c r="O299" s="53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K300" s="66"/>
      <c r="L300" s="66"/>
      <c r="M300" s="53"/>
      <c r="N300" s="79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I301" s="117"/>
      <c r="J301" s="66"/>
      <c r="L301" s="66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53"/>
      <c r="N302" s="102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79"/>
      <c r="N303" s="53"/>
      <c r="O303" s="79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53"/>
      <c r="Q306" s="53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L309" s="53"/>
      <c r="M309" s="53"/>
      <c r="N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O310" s="53"/>
      <c r="P310" s="79"/>
      <c r="Q310" s="79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53"/>
      <c r="K311" s="53"/>
      <c r="L311" s="53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106"/>
      <c r="K312" s="106"/>
      <c r="L312" s="106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53"/>
      <c r="K313" s="53"/>
      <c r="L313" s="53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106"/>
      <c r="K314" s="106"/>
      <c r="L314" s="106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53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  <c r="P317" s="53"/>
      <c r="Q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79"/>
      <c r="J320" s="79"/>
      <c r="K320" s="53"/>
      <c r="L320" s="53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  <c r="I321" s="104"/>
      <c r="J321" s="104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53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79"/>
      <c r="J332" s="79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104"/>
      <c r="J333" s="104"/>
      <c r="K333" s="53"/>
      <c r="L333" s="53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  <c r="I334" s="53"/>
      <c r="K334" s="106"/>
      <c r="L334" s="106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</row>
    <row r="348" spans="1:9" s="64" customFormat="1">
      <c r="A348" s="53"/>
      <c r="B348" s="113"/>
      <c r="C348" s="79"/>
      <c r="D348" s="79"/>
      <c r="E348" s="53"/>
      <c r="F348" s="53"/>
      <c r="G348" s="53"/>
      <c r="I348" s="114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</row>
    <row r="354" spans="1:17" s="64" customFormat="1">
      <c r="A354" s="53"/>
      <c r="B354" s="53"/>
      <c r="C354" s="53"/>
      <c r="D354" s="53"/>
      <c r="G354" s="53"/>
      <c r="H354" s="53"/>
      <c r="I354" s="53"/>
      <c r="J354" s="66"/>
      <c r="K354" s="66"/>
      <c r="L354" s="66"/>
      <c r="M354" s="53"/>
      <c r="N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66"/>
      <c r="J355" s="66"/>
      <c r="K355" s="66"/>
      <c r="L355" s="66"/>
      <c r="M355" s="53"/>
      <c r="N355" s="53"/>
      <c r="O355" s="53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K356" s="66"/>
      <c r="L356" s="66"/>
      <c r="M356" s="53"/>
      <c r="N356" s="79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I357" s="117"/>
      <c r="J357" s="66"/>
      <c r="L357" s="66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53"/>
      <c r="N358" s="102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79"/>
      <c r="N359" s="53"/>
      <c r="O359" s="79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53"/>
      <c r="Q362" s="53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L365" s="53"/>
      <c r="M365" s="53"/>
      <c r="N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O366" s="53"/>
      <c r="P366" s="79"/>
      <c r="Q366" s="79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53"/>
      <c r="K367" s="53"/>
      <c r="L367" s="53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106"/>
      <c r="K368" s="106"/>
      <c r="L368" s="106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53"/>
      <c r="K369" s="53"/>
      <c r="L369" s="53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106"/>
      <c r="K370" s="106"/>
      <c r="L370" s="106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53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  <c r="P373" s="53"/>
      <c r="Q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79"/>
      <c r="J376" s="79"/>
      <c r="K376" s="53"/>
      <c r="L376" s="53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  <c r="I377" s="104"/>
      <c r="J377" s="104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53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79"/>
      <c r="J388" s="79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104"/>
      <c r="J389" s="104"/>
      <c r="K389" s="53"/>
      <c r="L389" s="53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  <c r="I390" s="53"/>
      <c r="K390" s="106"/>
      <c r="L390" s="106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</row>
    <row r="404" spans="1:28" s="64" customFormat="1">
      <c r="A404" s="53"/>
      <c r="B404" s="113"/>
      <c r="C404" s="79"/>
      <c r="D404" s="79"/>
      <c r="E404" s="53"/>
      <c r="F404" s="53"/>
      <c r="G404" s="53"/>
      <c r="I404" s="114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/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 s="64" customFormat="1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16:28">
      <c r="P417" s="64"/>
      <c r="Q417" s="64"/>
      <c r="R417" s="64"/>
      <c r="S417" s="64"/>
      <c r="T417" s="64"/>
      <c r="U417" s="64"/>
      <c r="V417" s="64"/>
      <c r="AA417" s="64"/>
      <c r="AB417" s="64"/>
    </row>
    <row r="418" spans="16:28">
      <c r="AA418" s="64"/>
      <c r="AB418" s="64"/>
    </row>
    <row r="419" spans="16:28">
      <c r="AA419" s="64"/>
      <c r="AB419" s="64"/>
    </row>
    <row r="420" spans="16:28">
      <c r="AA420" s="64"/>
      <c r="AB420" s="64"/>
    </row>
    <row r="421" spans="16:28">
      <c r="AA421" s="64"/>
      <c r="AB421" s="64"/>
    </row>
    <row r="422" spans="16:28">
      <c r="AA422" s="64"/>
      <c r="AB422" s="64"/>
    </row>
    <row r="423" spans="16:28">
      <c r="AA423" s="64"/>
      <c r="AB423" s="64"/>
    </row>
    <row r="424" spans="16:28">
      <c r="AA424" s="64"/>
      <c r="AB424" s="64"/>
    </row>
    <row r="425" spans="16:28">
      <c r="AA425" s="64"/>
      <c r="AB425" s="64"/>
    </row>
    <row r="426" spans="16:28">
      <c r="AA426" s="64"/>
      <c r="AB426" s="64"/>
    </row>
    <row r="427" spans="16:28">
      <c r="AA427" s="64"/>
      <c r="AB427" s="64"/>
    </row>
    <row r="428" spans="16:28">
      <c r="AA428" s="64"/>
      <c r="AB428" s="64"/>
    </row>
    <row r="429" spans="16:28">
      <c r="AA429" s="64"/>
      <c r="AB429" s="64"/>
    </row>
    <row r="430" spans="16:28">
      <c r="AA430" s="64"/>
      <c r="AB430" s="64"/>
    </row>
    <row r="431" spans="16:28">
      <c r="AA431" s="64"/>
      <c r="AB431" s="64"/>
    </row>
    <row r="432" spans="16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  <row r="499" spans="27:28">
      <c r="AA499" s="64"/>
      <c r="AB499" s="64"/>
    </row>
  </sheetData>
  <mergeCells count="3">
    <mergeCell ref="P4:V4"/>
    <mergeCell ref="V6:W6"/>
    <mergeCell ref="G43:J43"/>
  </mergeCells>
  <conditionalFormatting sqref="A75:B75">
    <cfRule type="expression" dxfId="196" priority="1">
      <formula>$D$6="yes"</formula>
    </cfRule>
  </conditionalFormatting>
  <conditionalFormatting sqref="D5">
    <cfRule type="cellIs" dxfId="195" priority="4" operator="equal">
      <formula>"Yes"</formula>
    </cfRule>
  </conditionalFormatting>
  <conditionalFormatting sqref="D6">
    <cfRule type="containsText" dxfId="194" priority="7" operator="containsText" text="Yes">
      <formula>NOT(ISERROR(SEARCH("Yes",D6)))</formula>
    </cfRule>
  </conditionalFormatting>
  <conditionalFormatting sqref="D14">
    <cfRule type="containsText" dxfId="193" priority="12" operator="containsText" text="owner">
      <formula>NOT(ISERROR(SEARCH("owner",D14)))</formula>
    </cfRule>
  </conditionalFormatting>
  <conditionalFormatting sqref="D75">
    <cfRule type="expression" dxfId="192" priority="2">
      <formula>$D$6="yes"</formula>
    </cfRule>
  </conditionalFormatting>
  <conditionalFormatting sqref="E35">
    <cfRule type="containsText" dxfId="191" priority="5" operator="containsText" text="10 hour days">
      <formula>NOT(ISERROR(SEARCH("10 hour days",E35)))</formula>
    </cfRule>
    <cfRule type="containsText" dxfId="190" priority="6" operator="containsText" text="8 hour days">
      <formula>NOT(ISERROR(SEARCH("8 hour days",E35)))</formula>
    </cfRule>
  </conditionalFormatting>
  <conditionalFormatting sqref="E36">
    <cfRule type="cellIs" dxfId="189" priority="3" stopIfTrue="1" operator="equal">
      <formula>"PW"</formula>
    </cfRule>
  </conditionalFormatting>
  <conditionalFormatting sqref="F35">
    <cfRule type="cellIs" dxfId="188" priority="8" operator="lessThan">
      <formula>0.1</formula>
    </cfRule>
    <cfRule type="cellIs" dxfId="187" priority="9" operator="greaterThan">
      <formula>0.2</formula>
    </cfRule>
    <cfRule type="cellIs" dxfId="186" priority="10" operator="greaterThan">
      <formula>0.25</formula>
    </cfRule>
    <cfRule type="cellIs" dxfId="185" priority="11" operator="lessThan">
      <formula>0.15</formula>
    </cfRule>
  </conditionalFormatting>
  <hyperlinks>
    <hyperlink ref="A75" r:id="rId1" display="Kansas Remodel Tax" xr:uid="{525A2BD6-A3A6-144E-9D48-B83A8BD217DD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54F31788-4B6C-9349-93FC-BD1AA1F7CAE1}">
          <x14:formula1>
            <xm:f>validation!$N$3:$N$4</xm:f>
          </x14:formula1>
          <xm:sqref>E29:F29 D5:D6 E25 B4:B6</xm:sqref>
        </x14:dataValidation>
        <x14:dataValidation type="list" allowBlank="1" showInputMessage="1" showErrorMessage="1" xr:uid="{B06B3C1C-A2C4-6B4D-88F2-88E34FAEE148}">
          <x14:formula1>
            <xm:f>validation!$G$6:$G$9</xm:f>
          </x14:formula1>
          <xm:sqref>F36 Q6:Q9</xm:sqref>
        </x14:dataValidation>
        <x14:dataValidation type="list" allowBlank="1" showInputMessage="1" showErrorMessage="1" xr:uid="{85BAF4D0-385A-DD43-BD6A-91E21D3D729A}">
          <x14:formula1>
            <xm:f>validation!$J$6:$J$8</xm:f>
          </x14:formula1>
          <xm:sqref>H36 S6:S9</xm:sqref>
        </x14:dataValidation>
        <x14:dataValidation type="list" allowBlank="1" showInputMessage="1" showErrorMessage="1" xr:uid="{46348310-20E1-F048-8401-E7069FF095DE}">
          <x14:formula1>
            <xm:f>validation!$K$6:$K$8</xm:f>
          </x14:formula1>
          <xm:sqref>I36 T6:T9</xm:sqref>
        </x14:dataValidation>
        <x14:dataValidation type="list" allowBlank="1" showInputMessage="1" showErrorMessage="1" xr:uid="{7EE1E54F-14F3-7E49-A589-69CA0594905B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7BD0698F-A9F3-144F-996B-2248375EFE30}">
          <x14:formula1>
            <xm:f>validation!$H$6:$H$8</xm:f>
          </x14:formula1>
          <xm:sqref>G36 R6:R9</xm:sqref>
        </x14:dataValidation>
        <x14:dataValidation type="list" allowBlank="1" showInputMessage="1" showErrorMessage="1" xr:uid="{A459A546-57A3-4941-AAA4-8AA64E22FCD0}">
          <x14:formula1>
            <xm:f>validation!$B$16:$B$22</xm:f>
          </x14:formula1>
          <xm:sqref>L37:L38</xm:sqref>
        </x14:dataValidation>
        <x14:dataValidation type="list" allowBlank="1" showInputMessage="1" showErrorMessage="1" xr:uid="{A5DF3C6E-37D9-0B41-9E4A-2109F77F4B99}">
          <x14:formula1>
            <xm:f>validation!$N$7:$N$8</xm:f>
          </x14:formula1>
          <xm:sqref>E35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L590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296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18" width="13.796875" customWidth="1"/>
    <col min="19" max="19" width="13.69921875" customWidth="1"/>
    <col min="20" max="20" width="13.796875" customWidth="1"/>
    <col min="21" max="21" width="9.19921875" customWidth="1"/>
    <col min="22" max="22" width="16.296875" customWidth="1"/>
    <col min="23" max="23" width="9.796875" customWidth="1"/>
    <col min="24" max="24" width="13.69921875" customWidth="1"/>
    <col min="25" max="25" width="3.296875" customWidth="1"/>
    <col min="26" max="26" width="15.69921875" bestFit="1" customWidth="1"/>
    <col min="27" max="27" width="22.5" bestFit="1" customWidth="1"/>
    <col min="28" max="28" width="11.5" bestFit="1" customWidth="1"/>
    <col min="36" max="36" width="21.69921875" bestFit="1" customWidth="1"/>
    <col min="39" max="39" width="19" bestFit="1" customWidth="1"/>
    <col min="42" max="42" width="22.5" bestFit="1" customWidth="1"/>
    <col min="45" max="45" width="22.5" bestFit="1" customWidth="1"/>
    <col min="48" max="48" width="11.69921875" bestFit="1" customWidth="1"/>
    <col min="49" max="49" width="2.296875" customWidth="1"/>
    <col min="50" max="50" width="2.796875" customWidth="1"/>
    <col min="51" max="51" width="11.69921875" bestFit="1" customWidth="1"/>
    <col min="52" max="52" width="3" customWidth="1"/>
    <col min="53" max="53" width="3.296875" customWidth="1"/>
    <col min="54" max="54" width="11.69921875" bestFit="1" customWidth="1"/>
    <col min="55" max="56" width="2.19921875" customWidth="1"/>
    <col min="57" max="57" width="9" bestFit="1" customWidth="1"/>
    <col min="58" max="58" width="14.796875" bestFit="1" customWidth="1"/>
    <col min="59" max="59" width="9" bestFit="1" customWidth="1"/>
    <col min="60" max="60" width="2.796875" customWidth="1"/>
    <col min="61" max="61" width="12.5" bestFit="1" customWidth="1"/>
    <col min="62" max="62" width="7.69921875" bestFit="1" customWidth="1"/>
    <col min="63" max="63" width="3.296875" customWidth="1"/>
    <col min="64" max="64" width="13.69921875" bestFit="1" customWidth="1"/>
    <col min="65" max="65" width="9" bestFit="1" customWidth="1"/>
    <col min="66" max="66" width="3.296875" customWidth="1"/>
    <col min="67" max="67" width="15.69921875" bestFit="1" customWidth="1"/>
    <col min="78" max="78" width="21.69921875" bestFit="1" customWidth="1"/>
    <col min="81" max="81" width="19" bestFit="1" customWidth="1"/>
    <col min="84" max="84" width="22.5" bestFit="1" customWidth="1"/>
    <col min="87" max="87" width="22.5" bestFit="1" customWidth="1"/>
    <col min="90" max="90" width="11.69921875" bestFit="1" customWidth="1"/>
    <col min="91" max="91" width="2.296875" customWidth="1"/>
    <col min="92" max="92" width="2.796875" customWidth="1"/>
    <col min="93" max="93" width="11.69921875" bestFit="1" customWidth="1"/>
    <col min="94" max="94" width="3" customWidth="1"/>
    <col min="95" max="95" width="3.296875" customWidth="1"/>
    <col min="96" max="96" width="11.69921875" bestFit="1" customWidth="1"/>
    <col min="97" max="98" width="2.19921875" customWidth="1"/>
    <col min="99" max="99" width="9" bestFit="1" customWidth="1"/>
    <col min="100" max="100" width="14.796875" bestFit="1" customWidth="1"/>
    <col min="101" max="101" width="9" bestFit="1" customWidth="1"/>
    <col min="102" max="102" width="2.796875" customWidth="1"/>
    <col min="103" max="103" width="12.5" bestFit="1" customWidth="1"/>
    <col min="104" max="104" width="7.69921875" bestFit="1" customWidth="1"/>
    <col min="105" max="105" width="3.296875" customWidth="1"/>
    <col min="106" max="106" width="13.69921875" bestFit="1" customWidth="1"/>
    <col min="107" max="107" width="9" bestFit="1" customWidth="1"/>
    <col min="108" max="108" width="3.296875" customWidth="1"/>
    <col min="109" max="109" width="15.69921875" bestFit="1" customWidth="1"/>
  </cols>
  <sheetData>
    <row r="1" spans="1:104" s="585" customFormat="1">
      <c r="A1" s="584" t="s">
        <v>221</v>
      </c>
      <c r="B1" s="585">
        <f>Epoxy!B1</f>
        <v>0</v>
      </c>
      <c r="G1" s="586" t="s">
        <v>471</v>
      </c>
      <c r="L1" s="1068" t="s">
        <v>659</v>
      </c>
      <c r="M1" s="718"/>
    </row>
    <row r="2" spans="1:104" s="585" customFormat="1">
      <c r="A2" s="584" t="s">
        <v>220</v>
      </c>
      <c r="B2" s="587">
        <f>Epoxy!B2</f>
        <v>0</v>
      </c>
      <c r="C2" s="587"/>
      <c r="D2" s="587"/>
      <c r="G2" s="588"/>
      <c r="L2" s="1069">
        <v>3</v>
      </c>
      <c r="M2" s="1070" t="s">
        <v>658</v>
      </c>
    </row>
    <row r="3" spans="1:104" s="585" customFormat="1">
      <c r="A3" s="584" t="s">
        <v>207</v>
      </c>
      <c r="B3" s="585">
        <f>Epoxy!B3</f>
        <v>0</v>
      </c>
      <c r="G3" s="588"/>
      <c r="L3" s="777">
        <v>3.25</v>
      </c>
      <c r="M3" s="590" t="s">
        <v>661</v>
      </c>
      <c r="N3" s="590" t="s">
        <v>663</v>
      </c>
    </row>
    <row r="4" spans="1:104" s="585" customFormat="1">
      <c r="A4" s="1637" t="s">
        <v>76</v>
      </c>
      <c r="B4" s="585" t="str">
        <f>Epoxy!B4</f>
        <v>Yes</v>
      </c>
      <c r="C4" s="590" t="s">
        <v>202</v>
      </c>
      <c r="D4" s="591"/>
      <c r="F4" s="592"/>
      <c r="G4" s="588"/>
      <c r="H4" s="593"/>
      <c r="I4" s="594"/>
      <c r="J4" s="594"/>
      <c r="K4" s="594"/>
      <c r="L4" s="1071">
        <v>2.75</v>
      </c>
      <c r="M4" s="1072" t="s">
        <v>662</v>
      </c>
      <c r="N4" s="674" t="s">
        <v>660</v>
      </c>
      <c r="AJ4" s="595">
        <v>1000</v>
      </c>
      <c r="AK4" s="595"/>
      <c r="AL4" s="595"/>
      <c r="AM4" s="595">
        <f>AJ4</f>
        <v>1000</v>
      </c>
      <c r="AN4" s="595"/>
      <c r="AO4" s="595"/>
      <c r="AP4" s="595">
        <f>AJ4+AM4</f>
        <v>2000</v>
      </c>
      <c r="AQ4" s="595"/>
      <c r="AR4" s="595"/>
      <c r="AS4" s="595">
        <f>AP4</f>
        <v>2000</v>
      </c>
      <c r="AT4" s="596" t="e">
        <f>IF(AJ4&lt;=#REF!,#REF!,IF(AJ4&lt;=#REF!,#REF!,IF(AJ4&lt;=#REF!,#REF!,IF(AJ4&lt;=#REF!,#REF!,IF(AJ4&lt;=#REF!,#REF!,IF(AJ4&lt;=#REF!,#REF!,IF(AJ4&lt;=#REF!,#REF!,0.05)))))))</f>
        <v>#REF!</v>
      </c>
      <c r="AU4" s="595" t="e">
        <f>AT4*AJ4</f>
        <v>#REF!</v>
      </c>
      <c r="AV4" s="596"/>
      <c r="AW4" s="596" t="e">
        <f>IF(AM4&lt;=#REF!,#REF!,IF(AM4&lt;=#REF!,#REF!,IF(AM4&lt;=#REF!,#REF!,IF(AM4&lt;=#REF!,#REF!,IF(AM4&lt;=#REF!,#REF!,IF(AM4&lt;=#REF!,#REF!,IF(AM4&lt;=#REF!,#REF!,0.05)))))))</f>
        <v>#REF!</v>
      </c>
      <c r="AX4" s="595" t="e">
        <f>AW4*AM4</f>
        <v>#REF!</v>
      </c>
      <c r="AY4" s="596"/>
      <c r="AZ4" s="596" t="e">
        <f>IF(AP4&lt;=#REF!,#REF!,IF(AP4&lt;=#REF!,#REF!,IF(AP4&lt;=#REF!,#REF!,IF(AP4&lt;=#REF!,#REF!,IF(AP4&lt;=#REF!,#REF!,IF(AP4&lt;=#REF!,#REF!,IF(AP4&lt;=#REF!,#REF!,0.05)))))))</f>
        <v>#REF!</v>
      </c>
      <c r="BA4" s="595" t="e">
        <f>AZ4*SUM(AX4,AU4,AP4)</f>
        <v>#REF!</v>
      </c>
      <c r="BB4" s="596"/>
      <c r="BC4" s="597" t="e">
        <f>IF(AS4&lt;=#REF!,#REF!,IF(AS4&lt;=#REF!,#REF!,IF(AS4&lt;=#REF!,#REF!,IF(AS4&lt;=#REF!,#REF!,IF(AS4&lt;=#REF!,#REF!,IF(AS4&lt;=#REF!,#REF!,IF(AS4&lt;=#REF!,#REF!,0.05)))))))</f>
        <v>#REF!</v>
      </c>
      <c r="BD4" s="595" t="e">
        <f>BC4*AS4</f>
        <v>#REF!</v>
      </c>
      <c r="BF4" s="598" t="e">
        <f>0.07*SUM(AP4,AU4,AX4,BA4,BD4)</f>
        <v>#REF!</v>
      </c>
      <c r="BH4" s="598" t="e">
        <f>SUM(BF4,BD4,BA4,AX4,AU4,AP4)</f>
        <v>#REF!</v>
      </c>
      <c r="BI4" s="599" t="e">
        <f>SUM(BD4,BA4,AX4,AU4)</f>
        <v>#REF!</v>
      </c>
      <c r="BJ4" s="596" t="e">
        <f>BI4/BH4</f>
        <v>#REF!</v>
      </c>
      <c r="BM4" s="596">
        <v>0.1</v>
      </c>
      <c r="BN4" s="595">
        <v>5000</v>
      </c>
      <c r="BP4" s="596">
        <v>0.35</v>
      </c>
      <c r="BQ4" s="595">
        <v>2000</v>
      </c>
      <c r="BR4" s="595"/>
      <c r="BS4" s="596">
        <v>0.28000000000000003</v>
      </c>
      <c r="BT4" s="595">
        <v>9000</v>
      </c>
      <c r="BV4" s="597">
        <v>0</v>
      </c>
      <c r="BW4" s="595">
        <v>9000</v>
      </c>
      <c r="BZ4" s="595">
        <v>1000</v>
      </c>
      <c r="CA4" s="595"/>
      <c r="CB4" s="595"/>
      <c r="CC4" s="595">
        <f>BZ4</f>
        <v>1000</v>
      </c>
      <c r="CD4" s="595"/>
      <c r="CE4" s="595"/>
      <c r="CF4" s="595">
        <f>BZ4+CC4</f>
        <v>2000</v>
      </c>
      <c r="CG4" s="595"/>
      <c r="CH4" s="595"/>
      <c r="CI4" s="595">
        <f>CF4</f>
        <v>2000</v>
      </c>
      <c r="CJ4" s="596">
        <f t="shared" ref="CJ4:CJ26" si="0">IF(BZ4&lt;=BN$4,BM$4,IF(BZ4&lt;=BN$5,BM$5,IF(BZ4&lt;=BN$6,BM$6,IF(BZ4&lt;=BN$7,BM$7,IF(BZ4&lt;=BN$12,BM$12,IF(BZ4&lt;=BN$13,BM$13,IF(BZ4&lt;=BN$14,BM$14,0.05)))))))</f>
        <v>0.1</v>
      </c>
      <c r="CK4" s="595">
        <f>CJ4*BZ4</f>
        <v>100</v>
      </c>
      <c r="CL4" s="596"/>
      <c r="CM4" s="596">
        <f t="shared" ref="CM4:CM26" si="1">IF(CC4&lt;=BQ$4,BP$4,IF(CC4&lt;=BQ$5,BP$5,IF(CC4&lt;=BQ$6,BP$6,IF(CC4&lt;=BQ$7,BP$7,IF(CC4&lt;=BQ$12,BP$12,IF(CC4&lt;=BQ$13,BP$13,IF(CC4&lt;=BQ$14,BP$14,0.05)))))))</f>
        <v>0.35</v>
      </c>
      <c r="CN4" s="595">
        <f>CM4*CC4</f>
        <v>350</v>
      </c>
      <c r="CO4" s="596"/>
      <c r="CP4" s="596">
        <f t="shared" ref="CP4:CP26" si="2">IF(CF4&lt;=BT$4,BS$4,IF(CF4&lt;=BT$5,BS$5,IF(CF4&lt;=BT$6,BS$6,IF(CF4&lt;=BT$7,BS$7,IF(CF4&lt;=BT$12,BS$12,IF(CF4&lt;=BT$13,BS$13,IF(CF4&lt;=BT$14,BS$14,0.05)))))))</f>
        <v>0.28000000000000003</v>
      </c>
      <c r="CQ4" s="595">
        <f>CP4*SUM(CN4,CK4,CF4)</f>
        <v>686.00000000000011</v>
      </c>
      <c r="CR4" s="596"/>
      <c r="CS4" s="597">
        <f t="shared" ref="CS4:CS26" si="3">IF(CI4&lt;=BW$4,BV$4,IF(CI4&lt;=BW$5,BV$5,IF(CI4&lt;=BW$6,BV$6,IF(CI4&lt;=BW$7,BV$7,IF(CI4&lt;=BW$12,BV$12,IF(CI4&lt;=BW$13,BV$13,IF(CI4&lt;=BW$14,BV$14,0.05)))))))</f>
        <v>0</v>
      </c>
      <c r="CT4" s="595">
        <f>CS4*CI4</f>
        <v>0</v>
      </c>
      <c r="CV4" s="598">
        <f>0.07*SUM(CF4,CK4,CN4,CQ4,CT4)</f>
        <v>219.52</v>
      </c>
      <c r="CX4" s="598">
        <f>SUM(CV4,CT4,CQ4,CN4,CK4,CF4)</f>
        <v>3355.52</v>
      </c>
      <c r="CY4" s="599">
        <f>SUM(CT4,CQ4,CN4,CK4)</f>
        <v>1136</v>
      </c>
      <c r="CZ4" s="596">
        <f>CY4/CX4</f>
        <v>0.33854663360671372</v>
      </c>
    </row>
    <row r="5" spans="1:104" s="585" customFormat="1">
      <c r="A5" s="589" t="s">
        <v>149</v>
      </c>
      <c r="B5" s="585" t="s">
        <v>71</v>
      </c>
      <c r="C5" s="1010" t="s">
        <v>1029</v>
      </c>
      <c r="D5" s="591" t="str">
        <f>Epoxy!D5</f>
        <v>No</v>
      </c>
      <c r="E5" s="1728">
        <f>Epoxy!E5</f>
        <v>0</v>
      </c>
      <c r="F5" s="592"/>
      <c r="G5" s="588"/>
      <c r="H5" s="593"/>
      <c r="I5" s="594"/>
      <c r="J5" s="594"/>
      <c r="K5" s="594"/>
      <c r="L5" s="594"/>
      <c r="M5" s="594"/>
      <c r="AJ5" s="595">
        <v>2000</v>
      </c>
      <c r="AK5" s="595"/>
      <c r="AL5" s="595"/>
      <c r="AM5" s="595">
        <f t="shared" ref="AM5:AY49" si="4">AJ5</f>
        <v>2000</v>
      </c>
      <c r="AN5" s="595"/>
      <c r="AO5" s="595"/>
      <c r="AP5" s="595">
        <f t="shared" ref="AP5:BB33" si="5">AJ5+AM5</f>
        <v>4000</v>
      </c>
      <c r="AQ5" s="595"/>
      <c r="AR5" s="595"/>
      <c r="AS5" s="595">
        <f t="shared" ref="AS5:BE33" si="6">AP5</f>
        <v>4000</v>
      </c>
      <c r="AT5" s="596" t="e">
        <f>IF(AJ5&lt;=#REF!,#REF!,IF(AJ5&lt;=#REF!,#REF!,IF(AJ5&lt;=#REF!,#REF!,IF(AJ5&lt;=#REF!,#REF!,IF(AJ5&lt;=#REF!,#REF!,IF(AJ5&lt;=#REF!,#REF!,IF(AJ5&lt;=#REF!,#REF!,0.05)))))))</f>
        <v>#REF!</v>
      </c>
      <c r="AU5" s="595" t="e">
        <f t="shared" ref="AU5:BG33" si="7">AT5*AJ5</f>
        <v>#REF!</v>
      </c>
      <c r="AV5" s="596"/>
      <c r="AW5" s="596" t="e">
        <f>IF(AM5&lt;=#REF!,#REF!,IF(AM5&lt;=#REF!,#REF!,IF(AM5&lt;=#REF!,#REF!,IF(AM5&lt;=#REF!,#REF!,IF(AM5&lt;=#REF!,#REF!,IF(AM5&lt;=#REF!,#REF!,IF(AM5&lt;=#REF!,#REF!,0.05)))))))</f>
        <v>#REF!</v>
      </c>
      <c r="AX5" s="595" t="e">
        <f t="shared" ref="AX5:BJ33" si="8">AW5*AM5</f>
        <v>#REF!</v>
      </c>
      <c r="AY5" s="596"/>
      <c r="AZ5" s="596" t="e">
        <f>IF(AP5&lt;=#REF!,#REF!,IF(AP5&lt;=#REF!,#REF!,IF(AP5&lt;=#REF!,#REF!,IF(AP5&lt;=#REF!,#REF!,IF(AP5&lt;=#REF!,#REF!,IF(AP5&lt;=#REF!,#REF!,IF(AP5&lt;=#REF!,#REF!,0.05)))))))</f>
        <v>#REF!</v>
      </c>
      <c r="BA5" s="595" t="e">
        <f t="shared" ref="BA5:BM33" si="9">AZ5*SUM(AX5,AU5,AP5)</f>
        <v>#REF!</v>
      </c>
      <c r="BB5" s="596"/>
      <c r="BC5" s="597" t="e">
        <f>IF(AS5&lt;=#REF!,#REF!,IF(AS5&lt;=#REF!,#REF!,IF(AS5&lt;=#REF!,#REF!,IF(AS5&lt;=#REF!,#REF!,IF(AS5&lt;=#REF!,#REF!,IF(AS5&lt;=#REF!,#REF!,IF(AS5&lt;=#REF!,#REF!,0.05)))))))</f>
        <v>#REF!</v>
      </c>
      <c r="BD5" s="595" t="e">
        <f t="shared" ref="BD5:BP33" si="10">BC5*AS5</f>
        <v>#REF!</v>
      </c>
      <c r="BF5" s="598" t="e">
        <f t="shared" ref="BF5:BR33" si="11">0.07*SUM(AP5,AU5,AX5,BA5,BD5)</f>
        <v>#REF!</v>
      </c>
      <c r="BH5" s="598" t="e">
        <f t="shared" ref="BH5:BT33" si="12">SUM(BF5,BD5,BA5,AX5,AU5,AP5)</f>
        <v>#REF!</v>
      </c>
      <c r="BI5" s="599" t="e">
        <f t="shared" ref="BI5:BU33" si="13">SUM(BD5,BA5,AX5,AU5)</f>
        <v>#REF!</v>
      </c>
      <c r="BJ5" s="596" t="e">
        <f t="shared" ref="BJ5:BV33" si="14">BI5/BH5</f>
        <v>#REF!</v>
      </c>
      <c r="BM5" s="596">
        <v>0.05</v>
      </c>
      <c r="BN5" s="595">
        <v>1000000000</v>
      </c>
      <c r="BP5" s="596">
        <v>0.3</v>
      </c>
      <c r="BQ5" s="595">
        <v>3000</v>
      </c>
      <c r="BR5" s="595"/>
      <c r="BS5" s="596">
        <v>0.24</v>
      </c>
      <c r="BT5" s="595">
        <v>14000</v>
      </c>
      <c r="BV5" s="597">
        <v>-0.04</v>
      </c>
      <c r="BW5" s="595">
        <v>14000</v>
      </c>
      <c r="BZ5" s="595">
        <v>2000</v>
      </c>
      <c r="CA5" s="595"/>
      <c r="CB5" s="595"/>
      <c r="CC5" s="595">
        <f t="shared" ref="CC5:CO49" si="15">BZ5</f>
        <v>2000</v>
      </c>
      <c r="CD5" s="595"/>
      <c r="CE5" s="595"/>
      <c r="CF5" s="595">
        <f t="shared" ref="CF5:CR49" si="16">BZ5+CC5</f>
        <v>4000</v>
      </c>
      <c r="CG5" s="595"/>
      <c r="CH5" s="595"/>
      <c r="CI5" s="595">
        <f t="shared" ref="CI5:CU49" si="17">CF5</f>
        <v>4000</v>
      </c>
      <c r="CJ5" s="596">
        <f t="shared" si="0"/>
        <v>0.1</v>
      </c>
      <c r="CK5" s="595">
        <f t="shared" ref="CK5:CW49" si="18">CJ5*BZ5</f>
        <v>200</v>
      </c>
      <c r="CL5" s="596"/>
      <c r="CM5" s="596">
        <f t="shared" si="1"/>
        <v>0.35</v>
      </c>
      <c r="CN5" s="595">
        <f t="shared" ref="CN5:CZ49" si="19">CM5*CC5</f>
        <v>700</v>
      </c>
      <c r="CO5" s="596"/>
      <c r="CP5" s="596">
        <f t="shared" si="2"/>
        <v>0.28000000000000003</v>
      </c>
      <c r="CQ5" s="595">
        <f t="shared" ref="CQ5:DC49" si="20">CP5*SUM(CN5,CK5,CF5)</f>
        <v>1372.0000000000002</v>
      </c>
      <c r="CR5" s="596"/>
      <c r="CS5" s="597">
        <f t="shared" si="3"/>
        <v>0</v>
      </c>
      <c r="CT5" s="595">
        <f t="shared" ref="CT5:DF49" si="21">CS5*CI5</f>
        <v>0</v>
      </c>
      <c r="CV5" s="598">
        <f t="shared" ref="CV5:DH49" si="22">0.07*SUM(CF5,CK5,CN5,CQ5,CT5)</f>
        <v>439.04</v>
      </c>
      <c r="CX5" s="598">
        <f t="shared" ref="CX5:DJ49" si="23">SUM(CV5,CT5,CQ5,CN5,CK5,CF5)</f>
        <v>6711.04</v>
      </c>
      <c r="CY5" s="599">
        <f t="shared" ref="CY5:DK49" si="24">SUM(CT5,CQ5,CN5,CK5)</f>
        <v>2272</v>
      </c>
      <c r="CZ5" s="596">
        <f t="shared" ref="CZ5:DL49" si="25">CY5/CX5</f>
        <v>0.33854663360671372</v>
      </c>
    </row>
    <row r="6" spans="1:104" s="585" customFormat="1">
      <c r="A6" s="589" t="s">
        <v>79</v>
      </c>
      <c r="B6" s="585" t="str">
        <f>Epoxy!B6</f>
        <v>Yes</v>
      </c>
      <c r="C6" s="1539" t="s">
        <v>119</v>
      </c>
      <c r="D6" s="591" t="str">
        <f>Epoxy!D6</f>
        <v>No</v>
      </c>
      <c r="E6" s="1728">
        <f>Epoxy!E6</f>
        <v>0</v>
      </c>
      <c r="F6" s="592"/>
      <c r="G6" s="588"/>
      <c r="H6" s="593"/>
      <c r="I6" s="594"/>
      <c r="J6" s="594"/>
      <c r="K6" s="594"/>
      <c r="L6" s="594"/>
      <c r="M6" s="594"/>
      <c r="AJ6" s="595">
        <v>3000</v>
      </c>
      <c r="AK6" s="595"/>
      <c r="AL6" s="595"/>
      <c r="AM6" s="595">
        <f t="shared" si="4"/>
        <v>3000</v>
      </c>
      <c r="AN6" s="595"/>
      <c r="AO6" s="595"/>
      <c r="AP6" s="595">
        <f t="shared" si="5"/>
        <v>6000</v>
      </c>
      <c r="AQ6" s="595"/>
      <c r="AR6" s="595"/>
      <c r="AS6" s="595">
        <f t="shared" si="6"/>
        <v>6000</v>
      </c>
      <c r="AT6" s="596" t="e">
        <f>IF(AJ6&lt;=#REF!,#REF!,IF(AJ6&lt;=#REF!,#REF!,IF(AJ6&lt;=#REF!,#REF!,IF(AJ6&lt;=#REF!,#REF!,IF(AJ6&lt;=#REF!,#REF!,IF(AJ6&lt;=#REF!,#REF!,IF(AJ6&lt;=#REF!,#REF!,0.05)))))))</f>
        <v>#REF!</v>
      </c>
      <c r="AU6" s="595" t="e">
        <f t="shared" si="7"/>
        <v>#REF!</v>
      </c>
      <c r="AV6" s="596"/>
      <c r="AW6" s="596" t="e">
        <f>IF(AM6&lt;=#REF!,#REF!,IF(AM6&lt;=#REF!,#REF!,IF(AM6&lt;=#REF!,#REF!,IF(AM6&lt;=#REF!,#REF!,IF(AM6&lt;=#REF!,#REF!,IF(AM6&lt;=#REF!,#REF!,IF(AM6&lt;=#REF!,#REF!,0.05)))))))</f>
        <v>#REF!</v>
      </c>
      <c r="AX6" s="595" t="e">
        <f t="shared" si="8"/>
        <v>#REF!</v>
      </c>
      <c r="AY6" s="596"/>
      <c r="AZ6" s="596" t="e">
        <f>IF(AP6&lt;=#REF!,#REF!,IF(AP6&lt;=#REF!,#REF!,IF(AP6&lt;=#REF!,#REF!,IF(AP6&lt;=#REF!,#REF!,IF(AP6&lt;=#REF!,#REF!,IF(AP6&lt;=#REF!,#REF!,IF(AP6&lt;=#REF!,#REF!,0.05)))))))</f>
        <v>#REF!</v>
      </c>
      <c r="BA6" s="595" t="e">
        <f t="shared" si="9"/>
        <v>#REF!</v>
      </c>
      <c r="BB6" s="596"/>
      <c r="BC6" s="597" t="e">
        <f>IF(AS6&lt;=#REF!,#REF!,IF(AS6&lt;=#REF!,#REF!,IF(AS6&lt;=#REF!,#REF!,IF(AS6&lt;=#REF!,#REF!,IF(AS6&lt;=#REF!,#REF!,IF(AS6&lt;=#REF!,#REF!,IF(AS6&lt;=#REF!,#REF!,0.05)))))))</f>
        <v>#REF!</v>
      </c>
      <c r="BD6" s="595" t="e">
        <f t="shared" si="10"/>
        <v>#REF!</v>
      </c>
      <c r="BF6" s="598" t="e">
        <f t="shared" si="11"/>
        <v>#REF!</v>
      </c>
      <c r="BH6" s="598" t="e">
        <f t="shared" si="12"/>
        <v>#REF!</v>
      </c>
      <c r="BI6" s="599" t="e">
        <f t="shared" si="13"/>
        <v>#REF!</v>
      </c>
      <c r="BJ6" s="596" t="e">
        <f t="shared" si="14"/>
        <v>#REF!</v>
      </c>
      <c r="BM6" s="596">
        <v>0.05</v>
      </c>
      <c r="BN6" s="595">
        <v>1000000000</v>
      </c>
      <c r="BP6" s="596">
        <v>0.2</v>
      </c>
      <c r="BQ6" s="595">
        <v>4000</v>
      </c>
      <c r="BR6" s="595"/>
      <c r="BS6" s="596">
        <v>0.22</v>
      </c>
      <c r="BT6" s="595">
        <v>19000</v>
      </c>
      <c r="BV6" s="597">
        <v>-0.05</v>
      </c>
      <c r="BW6" s="595">
        <v>19000</v>
      </c>
      <c r="BZ6" s="595">
        <v>3000</v>
      </c>
      <c r="CA6" s="595"/>
      <c r="CB6" s="595"/>
      <c r="CC6" s="595">
        <f t="shared" si="15"/>
        <v>3000</v>
      </c>
      <c r="CD6" s="595"/>
      <c r="CE6" s="595"/>
      <c r="CF6" s="595">
        <f t="shared" si="16"/>
        <v>6000</v>
      </c>
      <c r="CG6" s="595"/>
      <c r="CH6" s="595"/>
      <c r="CI6" s="595">
        <f t="shared" si="17"/>
        <v>6000</v>
      </c>
      <c r="CJ6" s="596">
        <f t="shared" si="0"/>
        <v>0.1</v>
      </c>
      <c r="CK6" s="595">
        <f t="shared" si="18"/>
        <v>300</v>
      </c>
      <c r="CL6" s="596"/>
      <c r="CM6" s="596">
        <f t="shared" si="1"/>
        <v>0.3</v>
      </c>
      <c r="CN6" s="595">
        <f t="shared" si="19"/>
        <v>900</v>
      </c>
      <c r="CO6" s="596"/>
      <c r="CP6" s="596">
        <f t="shared" si="2"/>
        <v>0.28000000000000003</v>
      </c>
      <c r="CQ6" s="595">
        <f t="shared" si="20"/>
        <v>2016.0000000000002</v>
      </c>
      <c r="CR6" s="596"/>
      <c r="CS6" s="597">
        <f t="shared" si="3"/>
        <v>0</v>
      </c>
      <c r="CT6" s="595">
        <f t="shared" si="21"/>
        <v>0</v>
      </c>
      <c r="CV6" s="598">
        <f t="shared" si="22"/>
        <v>645.12000000000012</v>
      </c>
      <c r="CX6" s="598">
        <f t="shared" si="23"/>
        <v>9861.1200000000008</v>
      </c>
      <c r="CY6" s="599">
        <f t="shared" si="24"/>
        <v>3216</v>
      </c>
      <c r="CZ6" s="596">
        <f t="shared" si="25"/>
        <v>0.32612928348909653</v>
      </c>
    </row>
    <row r="7" spans="1:104" s="585" customFormat="1">
      <c r="A7" s="589" t="s">
        <v>222</v>
      </c>
      <c r="B7" s="587">
        <f>Epoxy!B7</f>
        <v>0</v>
      </c>
      <c r="C7" s="591"/>
      <c r="D7" s="600"/>
      <c r="F7" s="593"/>
      <c r="G7" s="588"/>
      <c r="H7" s="593"/>
      <c r="I7" s="594"/>
      <c r="J7" s="594"/>
      <c r="K7" s="594"/>
      <c r="L7" s="594"/>
      <c r="M7" s="594"/>
      <c r="AJ7" s="595">
        <v>4000</v>
      </c>
      <c r="AK7" s="595"/>
      <c r="AL7" s="595"/>
      <c r="AM7" s="595">
        <f t="shared" si="4"/>
        <v>4000</v>
      </c>
      <c r="AN7" s="595"/>
      <c r="AO7" s="595"/>
      <c r="AP7" s="595">
        <f t="shared" si="5"/>
        <v>8000</v>
      </c>
      <c r="AQ7" s="595"/>
      <c r="AR7" s="595"/>
      <c r="AS7" s="595">
        <f t="shared" si="6"/>
        <v>8000</v>
      </c>
      <c r="AT7" s="596" t="e">
        <f>IF(AJ7&lt;=#REF!,#REF!,IF(AJ7&lt;=#REF!,#REF!,IF(AJ7&lt;=#REF!,#REF!,IF(AJ7&lt;=#REF!,#REF!,IF(AJ7&lt;=#REF!,#REF!,IF(AJ7&lt;=#REF!,#REF!,IF(AJ7&lt;=#REF!,#REF!,0.05)))))))</f>
        <v>#REF!</v>
      </c>
      <c r="AU7" s="595" t="e">
        <f t="shared" si="7"/>
        <v>#REF!</v>
      </c>
      <c r="AV7" s="596"/>
      <c r="AW7" s="596" t="e">
        <f>IF(AM7&lt;=#REF!,#REF!,IF(AM7&lt;=#REF!,#REF!,IF(AM7&lt;=#REF!,#REF!,IF(AM7&lt;=#REF!,#REF!,IF(AM7&lt;=#REF!,#REF!,IF(AM7&lt;=#REF!,#REF!,IF(AM7&lt;=#REF!,#REF!,0.05)))))))</f>
        <v>#REF!</v>
      </c>
      <c r="AX7" s="595" t="e">
        <f t="shared" si="8"/>
        <v>#REF!</v>
      </c>
      <c r="AY7" s="596"/>
      <c r="AZ7" s="596" t="e">
        <f>IF(AP7&lt;=#REF!,#REF!,IF(AP7&lt;=#REF!,#REF!,IF(AP7&lt;=#REF!,#REF!,IF(AP7&lt;=#REF!,#REF!,IF(AP7&lt;=#REF!,#REF!,IF(AP7&lt;=#REF!,#REF!,IF(AP7&lt;=#REF!,#REF!,0.05)))))))</f>
        <v>#REF!</v>
      </c>
      <c r="BA7" s="595" t="e">
        <f t="shared" si="9"/>
        <v>#REF!</v>
      </c>
      <c r="BB7" s="596"/>
      <c r="BC7" s="597" t="e">
        <f>IF(AS7&lt;=#REF!,#REF!,IF(AS7&lt;=#REF!,#REF!,IF(AS7&lt;=#REF!,#REF!,IF(AS7&lt;=#REF!,#REF!,IF(AS7&lt;=#REF!,#REF!,IF(AS7&lt;=#REF!,#REF!,IF(AS7&lt;=#REF!,#REF!,0.05)))))))</f>
        <v>#REF!</v>
      </c>
      <c r="BD7" s="595" t="e">
        <f t="shared" si="10"/>
        <v>#REF!</v>
      </c>
      <c r="BF7" s="598" t="e">
        <f t="shared" si="11"/>
        <v>#REF!</v>
      </c>
      <c r="BH7" s="598" t="e">
        <f t="shared" si="12"/>
        <v>#REF!</v>
      </c>
      <c r="BI7" s="599" t="e">
        <f t="shared" si="13"/>
        <v>#REF!</v>
      </c>
      <c r="BJ7" s="596" t="e">
        <f t="shared" si="14"/>
        <v>#REF!</v>
      </c>
      <c r="BM7" s="596">
        <v>0.05</v>
      </c>
      <c r="BN7" s="595">
        <v>1000000000</v>
      </c>
      <c r="BP7" s="596">
        <v>0.1</v>
      </c>
      <c r="BQ7" s="595">
        <v>7000</v>
      </c>
      <c r="BR7" s="595"/>
      <c r="BS7" s="596">
        <v>0.2</v>
      </c>
      <c r="BT7" s="595">
        <v>24000</v>
      </c>
      <c r="BV7" s="597">
        <v>-0.05</v>
      </c>
      <c r="BW7" s="595">
        <v>34000</v>
      </c>
      <c r="BZ7" s="595">
        <v>4000</v>
      </c>
      <c r="CA7" s="595"/>
      <c r="CB7" s="595"/>
      <c r="CC7" s="595">
        <f t="shared" si="15"/>
        <v>4000</v>
      </c>
      <c r="CD7" s="595"/>
      <c r="CE7" s="595"/>
      <c r="CF7" s="595">
        <f t="shared" si="16"/>
        <v>8000</v>
      </c>
      <c r="CG7" s="595"/>
      <c r="CH7" s="595"/>
      <c r="CI7" s="595">
        <f t="shared" si="17"/>
        <v>8000</v>
      </c>
      <c r="CJ7" s="596">
        <f t="shared" si="0"/>
        <v>0.1</v>
      </c>
      <c r="CK7" s="595">
        <f t="shared" si="18"/>
        <v>400</v>
      </c>
      <c r="CL7" s="596"/>
      <c r="CM7" s="596">
        <f t="shared" si="1"/>
        <v>0.2</v>
      </c>
      <c r="CN7" s="595">
        <f t="shared" si="19"/>
        <v>800</v>
      </c>
      <c r="CO7" s="596"/>
      <c r="CP7" s="596">
        <f t="shared" si="2"/>
        <v>0.28000000000000003</v>
      </c>
      <c r="CQ7" s="595">
        <f t="shared" si="20"/>
        <v>2576.0000000000005</v>
      </c>
      <c r="CR7" s="596"/>
      <c r="CS7" s="597">
        <f t="shared" si="3"/>
        <v>0</v>
      </c>
      <c r="CT7" s="595">
        <f t="shared" si="21"/>
        <v>0</v>
      </c>
      <c r="CV7" s="598">
        <f t="shared" si="22"/>
        <v>824.32</v>
      </c>
      <c r="CX7" s="598">
        <f t="shared" si="23"/>
        <v>12600.32</v>
      </c>
      <c r="CY7" s="599">
        <f t="shared" si="24"/>
        <v>3776.0000000000005</v>
      </c>
      <c r="CZ7" s="596">
        <f t="shared" si="25"/>
        <v>0.29967492889069486</v>
      </c>
    </row>
    <row r="8" spans="1:104" s="585" customFormat="1">
      <c r="A8" s="602" t="s">
        <v>223</v>
      </c>
      <c r="B8" s="603">
        <f>Epoxy!B8</f>
        <v>0</v>
      </c>
      <c r="C8" s="591"/>
      <c r="D8" s="600"/>
      <c r="E8" s="1469"/>
      <c r="F8" s="593"/>
      <c r="G8" s="588"/>
      <c r="H8" s="593"/>
      <c r="I8" s="594"/>
      <c r="J8" s="604"/>
      <c r="K8" s="604"/>
      <c r="L8" s="594"/>
      <c r="M8" s="594"/>
      <c r="AJ8" s="595"/>
      <c r="AK8" s="595"/>
      <c r="AL8" s="595"/>
      <c r="AM8" s="595"/>
      <c r="AN8" s="595"/>
      <c r="AO8" s="595"/>
      <c r="AP8" s="595"/>
      <c r="AQ8" s="595"/>
      <c r="AR8" s="595"/>
      <c r="AS8" s="595"/>
      <c r="AT8" s="596"/>
      <c r="AU8" s="595"/>
      <c r="AV8" s="596"/>
      <c r="AW8" s="596"/>
      <c r="AX8" s="595"/>
      <c r="AY8" s="596"/>
      <c r="AZ8" s="596"/>
      <c r="BA8" s="595"/>
      <c r="BB8" s="596"/>
      <c r="BC8" s="597"/>
      <c r="BD8" s="595"/>
      <c r="BF8" s="598"/>
      <c r="BH8" s="598"/>
      <c r="BI8" s="599"/>
      <c r="BJ8" s="596"/>
      <c r="BM8" s="596"/>
      <c r="BN8" s="595"/>
      <c r="BP8" s="596"/>
      <c r="BQ8" s="595"/>
      <c r="BR8" s="595"/>
      <c r="BS8" s="596"/>
      <c r="BT8" s="595"/>
      <c r="BV8" s="597"/>
      <c r="BW8" s="595"/>
      <c r="BZ8" s="595"/>
      <c r="CA8" s="595"/>
      <c r="CB8" s="595"/>
      <c r="CC8" s="595"/>
      <c r="CD8" s="595"/>
      <c r="CE8" s="595"/>
      <c r="CF8" s="595"/>
      <c r="CG8" s="595"/>
      <c r="CH8" s="595"/>
      <c r="CI8" s="595"/>
      <c r="CJ8" s="596"/>
      <c r="CK8" s="595"/>
      <c r="CL8" s="596"/>
      <c r="CM8" s="596"/>
      <c r="CN8" s="595"/>
      <c r="CO8" s="596"/>
      <c r="CP8" s="596"/>
      <c r="CQ8" s="595"/>
      <c r="CR8" s="596"/>
      <c r="CS8" s="597"/>
      <c r="CT8" s="595"/>
      <c r="CV8" s="598"/>
      <c r="CX8" s="598"/>
      <c r="CY8" s="599"/>
      <c r="CZ8" s="596"/>
    </row>
    <row r="9" spans="1:104" s="585" customFormat="1">
      <c r="A9" s="602" t="s">
        <v>224</v>
      </c>
      <c r="B9" s="587">
        <f>Epoxy!B9</f>
        <v>0</v>
      </c>
      <c r="C9" s="591"/>
      <c r="D9" s="600"/>
      <c r="E9" s="601"/>
      <c r="F9" s="593"/>
      <c r="G9" s="605"/>
      <c r="H9" s="593"/>
      <c r="I9" s="604"/>
      <c r="J9" s="604"/>
      <c r="K9" s="604"/>
      <c r="L9" s="604"/>
      <c r="M9" s="604"/>
      <c r="AJ9" s="595"/>
      <c r="AK9" s="595"/>
      <c r="AL9" s="595"/>
      <c r="AM9" s="595"/>
      <c r="AN9" s="595"/>
      <c r="AO9" s="595"/>
      <c r="AP9" s="595"/>
      <c r="AQ9" s="595"/>
      <c r="AR9" s="595"/>
      <c r="AS9" s="595"/>
      <c r="AT9" s="596"/>
      <c r="AU9" s="595"/>
      <c r="AV9" s="596"/>
      <c r="AW9" s="596"/>
      <c r="AX9" s="595"/>
      <c r="AY9" s="596"/>
      <c r="AZ9" s="596"/>
      <c r="BA9" s="595"/>
      <c r="BB9" s="596"/>
      <c r="BC9" s="597"/>
      <c r="BD9" s="595"/>
      <c r="BF9" s="598"/>
      <c r="BH9" s="598"/>
      <c r="BI9" s="599"/>
      <c r="BJ9" s="596"/>
      <c r="BM9" s="596"/>
      <c r="BN9" s="595"/>
      <c r="BP9" s="596"/>
      <c r="BQ9" s="595"/>
      <c r="BR9" s="595"/>
      <c r="BS9" s="596"/>
      <c r="BT9" s="595"/>
      <c r="BV9" s="597"/>
      <c r="BW9" s="595"/>
      <c r="BZ9" s="595"/>
      <c r="CA9" s="595"/>
      <c r="CB9" s="595"/>
      <c r="CC9" s="595"/>
      <c r="CD9" s="595"/>
      <c r="CE9" s="595"/>
      <c r="CF9" s="595"/>
      <c r="CG9" s="595"/>
      <c r="CH9" s="595"/>
      <c r="CI9" s="595"/>
      <c r="CJ9" s="596"/>
      <c r="CK9" s="595"/>
      <c r="CL9" s="596"/>
      <c r="CM9" s="596"/>
      <c r="CN9" s="595"/>
      <c r="CO9" s="596"/>
      <c r="CP9" s="596"/>
      <c r="CQ9" s="595"/>
      <c r="CR9" s="596"/>
      <c r="CS9" s="597"/>
      <c r="CT9" s="595"/>
      <c r="CV9" s="598"/>
      <c r="CX9" s="598"/>
      <c r="CY9" s="599"/>
      <c r="CZ9" s="596"/>
    </row>
    <row r="10" spans="1:104" s="585" customFormat="1">
      <c r="A10" s="606" t="s">
        <v>203</v>
      </c>
      <c r="B10" s="603">
        <f>Epoxy!B10</f>
        <v>0</v>
      </c>
      <c r="C10" s="591"/>
      <c r="D10" s="600"/>
      <c r="E10" s="601"/>
      <c r="F10" s="593"/>
      <c r="G10" s="607"/>
      <c r="H10" s="593"/>
      <c r="I10" s="604"/>
      <c r="J10" s="604"/>
      <c r="K10" s="604"/>
      <c r="L10" s="604"/>
      <c r="M10" s="604"/>
      <c r="AJ10" s="595"/>
      <c r="AK10" s="595"/>
      <c r="AL10" s="595"/>
      <c r="AM10" s="595"/>
      <c r="AN10" s="595"/>
      <c r="AO10" s="595"/>
      <c r="AP10" s="595"/>
      <c r="AQ10" s="595"/>
      <c r="AR10" s="595"/>
      <c r="AS10" s="595"/>
      <c r="AT10" s="596"/>
      <c r="AU10" s="595"/>
      <c r="AV10" s="596"/>
      <c r="AW10" s="596"/>
      <c r="AX10" s="595"/>
      <c r="AY10" s="596"/>
      <c r="AZ10" s="596"/>
      <c r="BA10" s="595"/>
      <c r="BB10" s="596"/>
      <c r="BC10" s="597"/>
      <c r="BD10" s="595"/>
      <c r="BF10" s="598"/>
      <c r="BH10" s="598"/>
      <c r="BI10" s="599"/>
      <c r="BJ10" s="596"/>
      <c r="BM10" s="596"/>
      <c r="BN10" s="595"/>
      <c r="BP10" s="596"/>
      <c r="BQ10" s="595"/>
      <c r="BR10" s="595"/>
      <c r="BS10" s="596"/>
      <c r="BT10" s="595"/>
      <c r="BV10" s="597"/>
      <c r="BW10" s="595"/>
      <c r="BZ10" s="595"/>
      <c r="CA10" s="595"/>
      <c r="CB10" s="595"/>
      <c r="CC10" s="595"/>
      <c r="CD10" s="595"/>
      <c r="CE10" s="595"/>
      <c r="CF10" s="595"/>
      <c r="CG10" s="595"/>
      <c r="CH10" s="595"/>
      <c r="CI10" s="595"/>
      <c r="CJ10" s="596"/>
      <c r="CK10" s="595"/>
      <c r="CL10" s="596"/>
      <c r="CM10" s="596"/>
      <c r="CN10" s="595"/>
      <c r="CO10" s="596"/>
      <c r="CP10" s="596"/>
      <c r="CQ10" s="595"/>
      <c r="CR10" s="596"/>
      <c r="CS10" s="597"/>
      <c r="CT10" s="595"/>
      <c r="CV10" s="598"/>
      <c r="CX10" s="598"/>
      <c r="CY10" s="599"/>
      <c r="CZ10" s="596"/>
    </row>
    <row r="11" spans="1:104" s="585" customFormat="1">
      <c r="A11" s="1423"/>
      <c r="B11" s="603"/>
      <c r="C11" s="591"/>
      <c r="D11" s="600"/>
      <c r="E11" s="601"/>
      <c r="F11" s="593"/>
      <c r="G11" s="607"/>
      <c r="H11" s="593"/>
      <c r="I11" s="604"/>
      <c r="J11" s="604"/>
      <c r="K11" s="604"/>
      <c r="L11" s="604"/>
      <c r="M11" s="604"/>
      <c r="AJ11" s="595"/>
      <c r="AK11" s="595"/>
      <c r="AL11" s="595"/>
      <c r="AM11" s="595"/>
      <c r="AN11" s="595"/>
      <c r="AO11" s="595"/>
      <c r="AP11" s="595"/>
      <c r="AQ11" s="595"/>
      <c r="AR11" s="595"/>
      <c r="AS11" s="595"/>
      <c r="AT11" s="596"/>
      <c r="AU11" s="595"/>
      <c r="AV11" s="596"/>
      <c r="AW11" s="596"/>
      <c r="AX11" s="595"/>
      <c r="AY11" s="596"/>
      <c r="AZ11" s="596"/>
      <c r="BA11" s="595"/>
      <c r="BB11" s="596"/>
      <c r="BC11" s="597"/>
      <c r="BD11" s="595"/>
      <c r="BF11" s="598"/>
      <c r="BH11" s="598"/>
      <c r="BI11" s="599"/>
      <c r="BJ11" s="596"/>
      <c r="BM11" s="596"/>
      <c r="BN11" s="595"/>
      <c r="BP11" s="596"/>
      <c r="BQ11" s="595"/>
      <c r="BR11" s="595"/>
      <c r="BS11" s="596"/>
      <c r="BT11" s="595"/>
      <c r="BV11" s="597"/>
      <c r="BW11" s="595"/>
      <c r="BZ11" s="595"/>
      <c r="CA11" s="595"/>
      <c r="CB11" s="595"/>
      <c r="CC11" s="595"/>
      <c r="CD11" s="595"/>
      <c r="CE11" s="595"/>
      <c r="CF11" s="595"/>
      <c r="CG11" s="595"/>
      <c r="CH11" s="595"/>
      <c r="CI11" s="595"/>
      <c r="CJ11" s="596"/>
      <c r="CK11" s="595"/>
      <c r="CL11" s="596"/>
      <c r="CM11" s="596"/>
      <c r="CN11" s="595"/>
      <c r="CO11" s="596"/>
      <c r="CP11" s="596"/>
      <c r="CQ11" s="595"/>
      <c r="CR11" s="596"/>
      <c r="CS11" s="597"/>
      <c r="CT11" s="595"/>
      <c r="CV11" s="598"/>
      <c r="CX11" s="598"/>
      <c r="CY11" s="599"/>
      <c r="CZ11" s="596"/>
    </row>
    <row r="12" spans="1:104" s="585" customFormat="1">
      <c r="A12" s="608" t="s">
        <v>502</v>
      </c>
      <c r="B12" s="603"/>
      <c r="C12" s="591"/>
      <c r="D12" s="600"/>
      <c r="E12" s="601"/>
      <c r="F12" s="593"/>
      <c r="G12" s="607"/>
      <c r="H12" s="593"/>
      <c r="I12" s="604"/>
      <c r="J12" s="604"/>
      <c r="K12" s="604"/>
      <c r="L12" s="604"/>
      <c r="M12" s="604"/>
      <c r="AJ12" s="595">
        <v>5000</v>
      </c>
      <c r="AK12" s="595"/>
      <c r="AL12" s="595"/>
      <c r="AM12" s="595">
        <f t="shared" si="4"/>
        <v>5000</v>
      </c>
      <c r="AN12" s="595"/>
      <c r="AO12" s="595"/>
      <c r="AP12" s="595">
        <f t="shared" si="5"/>
        <v>10000</v>
      </c>
      <c r="AQ12" s="595"/>
      <c r="AR12" s="595"/>
      <c r="AS12" s="595">
        <f t="shared" si="6"/>
        <v>10000</v>
      </c>
      <c r="AT12" s="596" t="e">
        <f>IF(AJ12&lt;=#REF!,#REF!,IF(AJ12&lt;=#REF!,#REF!,IF(AJ12&lt;=#REF!,#REF!,IF(AJ12&lt;=#REF!,#REF!,IF(AJ12&lt;=#REF!,#REF!,IF(AJ12&lt;=#REF!,#REF!,IF(AJ12&lt;=#REF!,#REF!,0.05)))))))</f>
        <v>#REF!</v>
      </c>
      <c r="AU12" s="595" t="e">
        <f t="shared" si="7"/>
        <v>#REF!</v>
      </c>
      <c r="AV12" s="596"/>
      <c r="AW12" s="596" t="e">
        <f>IF(AM12&lt;=#REF!,#REF!,IF(AM12&lt;=#REF!,#REF!,IF(AM12&lt;=#REF!,#REF!,IF(AM12&lt;=#REF!,#REF!,IF(AM12&lt;=#REF!,#REF!,IF(AM12&lt;=#REF!,#REF!,IF(AM12&lt;=#REF!,#REF!,0.05)))))))</f>
        <v>#REF!</v>
      </c>
      <c r="AX12" s="595" t="e">
        <f t="shared" si="8"/>
        <v>#REF!</v>
      </c>
      <c r="AY12" s="596"/>
      <c r="AZ12" s="596" t="e">
        <f>IF(AP12&lt;=#REF!,#REF!,IF(AP12&lt;=#REF!,#REF!,IF(AP12&lt;=#REF!,#REF!,IF(AP12&lt;=#REF!,#REF!,IF(AP12&lt;=#REF!,#REF!,IF(AP12&lt;=#REF!,#REF!,IF(AP12&lt;=#REF!,#REF!,0.05)))))))</f>
        <v>#REF!</v>
      </c>
      <c r="BA12" s="595" t="e">
        <f t="shared" si="9"/>
        <v>#REF!</v>
      </c>
      <c r="BB12" s="596"/>
      <c r="BC12" s="597" t="e">
        <f>IF(AS12&lt;=#REF!,#REF!,IF(AS12&lt;=#REF!,#REF!,IF(AS12&lt;=#REF!,#REF!,IF(AS12&lt;=#REF!,#REF!,IF(AS12&lt;=#REF!,#REF!,IF(AS12&lt;=#REF!,#REF!,IF(AS12&lt;=#REF!,#REF!,0.05)))))))</f>
        <v>#REF!</v>
      </c>
      <c r="BD12" s="595" t="e">
        <f t="shared" si="10"/>
        <v>#REF!</v>
      </c>
      <c r="BF12" s="598" t="e">
        <f t="shared" si="11"/>
        <v>#REF!</v>
      </c>
      <c r="BH12" s="598" t="e">
        <f t="shared" si="12"/>
        <v>#REF!</v>
      </c>
      <c r="BI12" s="599" t="e">
        <f t="shared" si="13"/>
        <v>#REF!</v>
      </c>
      <c r="BJ12" s="596" t="e">
        <f t="shared" si="14"/>
        <v>#REF!</v>
      </c>
      <c r="BM12" s="596">
        <v>0.05</v>
      </c>
      <c r="BN12" s="595">
        <v>1000000000</v>
      </c>
      <c r="BP12" s="596">
        <v>0.05</v>
      </c>
      <c r="BQ12" s="595">
        <v>10000</v>
      </c>
      <c r="BR12" s="595"/>
      <c r="BS12" s="596">
        <v>0.18</v>
      </c>
      <c r="BT12" s="595">
        <v>1000000000</v>
      </c>
      <c r="BV12" s="597">
        <v>-5.5E-2</v>
      </c>
      <c r="BW12" s="595">
        <v>44000</v>
      </c>
      <c r="BZ12" s="595">
        <v>5000</v>
      </c>
      <c r="CA12" s="595"/>
      <c r="CB12" s="595"/>
      <c r="CC12" s="595">
        <f t="shared" si="15"/>
        <v>5000</v>
      </c>
      <c r="CD12" s="595"/>
      <c r="CE12" s="595"/>
      <c r="CF12" s="595">
        <f t="shared" si="16"/>
        <v>10000</v>
      </c>
      <c r="CG12" s="595"/>
      <c r="CH12" s="595"/>
      <c r="CI12" s="595">
        <f t="shared" si="17"/>
        <v>10000</v>
      </c>
      <c r="CJ12" s="596">
        <f t="shared" si="0"/>
        <v>0.1</v>
      </c>
      <c r="CK12" s="595">
        <f t="shared" si="18"/>
        <v>500</v>
      </c>
      <c r="CL12" s="596"/>
      <c r="CM12" s="596">
        <f t="shared" si="1"/>
        <v>0.1</v>
      </c>
      <c r="CN12" s="595">
        <f t="shared" si="19"/>
        <v>500</v>
      </c>
      <c r="CO12" s="596"/>
      <c r="CP12" s="596">
        <f t="shared" si="2"/>
        <v>0.24</v>
      </c>
      <c r="CQ12" s="595">
        <f t="shared" si="20"/>
        <v>2640</v>
      </c>
      <c r="CR12" s="596"/>
      <c r="CS12" s="597">
        <f t="shared" si="3"/>
        <v>-0.04</v>
      </c>
      <c r="CT12" s="595">
        <f t="shared" si="21"/>
        <v>-400</v>
      </c>
      <c r="CV12" s="598">
        <f t="shared" si="22"/>
        <v>926.80000000000007</v>
      </c>
      <c r="CX12" s="598">
        <f t="shared" si="23"/>
        <v>14166.8</v>
      </c>
      <c r="CY12" s="599">
        <f t="shared" si="24"/>
        <v>3240</v>
      </c>
      <c r="CZ12" s="596">
        <f t="shared" si="25"/>
        <v>0.22870372984724852</v>
      </c>
    </row>
    <row r="13" spans="1:104" s="585" customFormat="1">
      <c r="A13" s="608" t="s">
        <v>468</v>
      </c>
      <c r="B13" s="603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604"/>
      <c r="AJ13" s="595">
        <v>6000</v>
      </c>
      <c r="AK13" s="595"/>
      <c r="AL13" s="595"/>
      <c r="AM13" s="595">
        <f t="shared" si="4"/>
        <v>6000</v>
      </c>
      <c r="AN13" s="595"/>
      <c r="AO13" s="595"/>
      <c r="AP13" s="595">
        <f t="shared" si="5"/>
        <v>12000</v>
      </c>
      <c r="AQ13" s="595"/>
      <c r="AR13" s="595"/>
      <c r="AS13" s="595">
        <f t="shared" si="6"/>
        <v>12000</v>
      </c>
      <c r="AT13" s="596" t="e">
        <f>IF(AJ13&lt;=#REF!,#REF!,IF(AJ13&lt;=#REF!,#REF!,IF(AJ13&lt;=#REF!,#REF!,IF(AJ13&lt;=#REF!,#REF!,IF(AJ13&lt;=#REF!,#REF!,IF(AJ13&lt;=#REF!,#REF!,IF(AJ13&lt;=#REF!,#REF!,0.05)))))))</f>
        <v>#REF!</v>
      </c>
      <c r="AU13" s="595" t="e">
        <f t="shared" si="7"/>
        <v>#REF!</v>
      </c>
      <c r="AV13" s="596"/>
      <c r="AW13" s="596" t="e">
        <f>IF(AM13&lt;=#REF!,#REF!,IF(AM13&lt;=#REF!,#REF!,IF(AM13&lt;=#REF!,#REF!,IF(AM13&lt;=#REF!,#REF!,IF(AM13&lt;=#REF!,#REF!,IF(AM13&lt;=#REF!,#REF!,IF(AM13&lt;=#REF!,#REF!,0.05)))))))</f>
        <v>#REF!</v>
      </c>
      <c r="AX13" s="595" t="e">
        <f t="shared" si="8"/>
        <v>#REF!</v>
      </c>
      <c r="AY13" s="596"/>
      <c r="AZ13" s="596" t="e">
        <f>IF(AP13&lt;=#REF!,#REF!,IF(AP13&lt;=#REF!,#REF!,IF(AP13&lt;=#REF!,#REF!,IF(AP13&lt;=#REF!,#REF!,IF(AP13&lt;=#REF!,#REF!,IF(AP13&lt;=#REF!,#REF!,IF(AP13&lt;=#REF!,#REF!,0.05)))))))</f>
        <v>#REF!</v>
      </c>
      <c r="BA13" s="595" t="e">
        <f t="shared" si="9"/>
        <v>#REF!</v>
      </c>
      <c r="BB13" s="596"/>
      <c r="BC13" s="597" t="e">
        <f>IF(AS13&lt;=#REF!,#REF!,IF(AS13&lt;=#REF!,#REF!,IF(AS13&lt;=#REF!,#REF!,IF(AS13&lt;=#REF!,#REF!,IF(AS13&lt;=#REF!,#REF!,IF(AS13&lt;=#REF!,#REF!,IF(AS13&lt;=#REF!,#REF!,0.05)))))))</f>
        <v>#REF!</v>
      </c>
      <c r="BD13" s="595" t="e">
        <f t="shared" si="10"/>
        <v>#REF!</v>
      </c>
      <c r="BF13" s="598" t="e">
        <f t="shared" si="11"/>
        <v>#REF!</v>
      </c>
      <c r="BH13" s="598" t="e">
        <f t="shared" si="12"/>
        <v>#REF!</v>
      </c>
      <c r="BI13" s="599" t="e">
        <f t="shared" si="13"/>
        <v>#REF!</v>
      </c>
      <c r="BJ13" s="596" t="e">
        <f t="shared" si="14"/>
        <v>#REF!</v>
      </c>
      <c r="BM13" s="596">
        <v>0.05</v>
      </c>
      <c r="BN13" s="595">
        <v>1000000000</v>
      </c>
      <c r="BP13" s="596">
        <v>0.03</v>
      </c>
      <c r="BQ13" s="595">
        <v>1000000000</v>
      </c>
      <c r="BR13" s="595"/>
      <c r="BS13" s="596">
        <v>0.18</v>
      </c>
      <c r="BT13" s="595">
        <v>1000000000</v>
      </c>
      <c r="BV13" s="597">
        <v>-0.06</v>
      </c>
      <c r="BW13" s="595">
        <v>1000000000</v>
      </c>
      <c r="BZ13" s="595">
        <v>6000</v>
      </c>
      <c r="CA13" s="595"/>
      <c r="CB13" s="595"/>
      <c r="CC13" s="595">
        <f t="shared" si="15"/>
        <v>6000</v>
      </c>
      <c r="CD13" s="595"/>
      <c r="CE13" s="595"/>
      <c r="CF13" s="595">
        <f t="shared" si="16"/>
        <v>12000</v>
      </c>
      <c r="CG13" s="595"/>
      <c r="CH13" s="595"/>
      <c r="CI13" s="595">
        <f t="shared" si="17"/>
        <v>12000</v>
      </c>
      <c r="CJ13" s="596">
        <f t="shared" si="0"/>
        <v>0.05</v>
      </c>
      <c r="CK13" s="595">
        <f t="shared" si="18"/>
        <v>300</v>
      </c>
      <c r="CL13" s="596"/>
      <c r="CM13" s="596">
        <f t="shared" si="1"/>
        <v>0.1</v>
      </c>
      <c r="CN13" s="595">
        <f t="shared" si="19"/>
        <v>600</v>
      </c>
      <c r="CO13" s="596"/>
      <c r="CP13" s="596">
        <f t="shared" si="2"/>
        <v>0.24</v>
      </c>
      <c r="CQ13" s="595">
        <f t="shared" si="20"/>
        <v>3096</v>
      </c>
      <c r="CR13" s="596"/>
      <c r="CS13" s="597">
        <f t="shared" si="3"/>
        <v>-0.04</v>
      </c>
      <c r="CT13" s="595">
        <f t="shared" si="21"/>
        <v>-480</v>
      </c>
      <c r="CV13" s="598">
        <f t="shared" si="22"/>
        <v>1086.1200000000001</v>
      </c>
      <c r="CX13" s="598">
        <f t="shared" si="23"/>
        <v>16602.12</v>
      </c>
      <c r="CY13" s="599">
        <f t="shared" si="24"/>
        <v>3516</v>
      </c>
      <c r="CZ13" s="596">
        <f t="shared" si="25"/>
        <v>0.21178018228997261</v>
      </c>
    </row>
    <row r="14" spans="1:104" s="585" customFormat="1">
      <c r="A14" s="608" t="s">
        <v>1140</v>
      </c>
      <c r="B14" s="600"/>
      <c r="C14" s="591"/>
      <c r="D14" s="600"/>
      <c r="E14" s="609"/>
      <c r="F14" s="593"/>
      <c r="G14" s="607"/>
      <c r="H14" s="593"/>
      <c r="I14" s="604"/>
      <c r="J14" s="604"/>
      <c r="K14" s="604"/>
      <c r="L14" s="604"/>
      <c r="M14" s="604"/>
      <c r="AJ14" s="595">
        <v>7000</v>
      </c>
      <c r="AK14" s="595"/>
      <c r="AL14" s="595"/>
      <c r="AM14" s="595">
        <f t="shared" si="4"/>
        <v>7000</v>
      </c>
      <c r="AN14" s="595"/>
      <c r="AO14" s="595"/>
      <c r="AP14" s="595">
        <f t="shared" si="5"/>
        <v>14000</v>
      </c>
      <c r="AQ14" s="595"/>
      <c r="AR14" s="595"/>
      <c r="AS14" s="595">
        <f t="shared" si="6"/>
        <v>14000</v>
      </c>
      <c r="AT14" s="596" t="e">
        <f>IF(AJ14&lt;=#REF!,#REF!,IF(AJ14&lt;=#REF!,#REF!,IF(AJ14&lt;=#REF!,#REF!,IF(AJ14&lt;=#REF!,#REF!,IF(AJ14&lt;=#REF!,#REF!,IF(AJ14&lt;=#REF!,#REF!,IF(AJ14&lt;=#REF!,#REF!,0.05)))))))</f>
        <v>#REF!</v>
      </c>
      <c r="AU14" s="595" t="e">
        <f t="shared" si="7"/>
        <v>#REF!</v>
      </c>
      <c r="AV14" s="596"/>
      <c r="AW14" s="596" t="e">
        <f>IF(AM14&lt;=#REF!,#REF!,IF(AM14&lt;=#REF!,#REF!,IF(AM14&lt;=#REF!,#REF!,IF(AM14&lt;=#REF!,#REF!,IF(AM14&lt;=#REF!,#REF!,IF(AM14&lt;=#REF!,#REF!,IF(AM14&lt;=#REF!,#REF!,0.05)))))))</f>
        <v>#REF!</v>
      </c>
      <c r="AX14" s="595" t="e">
        <f t="shared" si="8"/>
        <v>#REF!</v>
      </c>
      <c r="AY14" s="596"/>
      <c r="AZ14" s="596" t="e">
        <f>IF(AP14&lt;=#REF!,#REF!,IF(AP14&lt;=#REF!,#REF!,IF(AP14&lt;=#REF!,#REF!,IF(AP14&lt;=#REF!,#REF!,IF(AP14&lt;=#REF!,#REF!,IF(AP14&lt;=#REF!,#REF!,IF(AP14&lt;=#REF!,#REF!,0.05)))))))</f>
        <v>#REF!</v>
      </c>
      <c r="BA14" s="595" t="e">
        <f t="shared" si="9"/>
        <v>#REF!</v>
      </c>
      <c r="BB14" s="596"/>
      <c r="BC14" s="597" t="e">
        <f>IF(AS14&lt;=#REF!,#REF!,IF(AS14&lt;=#REF!,#REF!,IF(AS14&lt;=#REF!,#REF!,IF(AS14&lt;=#REF!,#REF!,IF(AS14&lt;=#REF!,#REF!,IF(AS14&lt;=#REF!,#REF!,IF(AS14&lt;=#REF!,#REF!,0.05)))))))</f>
        <v>#REF!</v>
      </c>
      <c r="BD14" s="595" t="e">
        <f t="shared" si="10"/>
        <v>#REF!</v>
      </c>
      <c r="BF14" s="598" t="e">
        <f t="shared" si="11"/>
        <v>#REF!</v>
      </c>
      <c r="BH14" s="598" t="e">
        <f t="shared" si="12"/>
        <v>#REF!</v>
      </c>
      <c r="BI14" s="599" t="e">
        <f t="shared" si="13"/>
        <v>#REF!</v>
      </c>
      <c r="BJ14" s="596" t="e">
        <f t="shared" si="14"/>
        <v>#REF!</v>
      </c>
      <c r="BM14" s="596">
        <v>0.05</v>
      </c>
      <c r="BN14" s="595">
        <v>1000000000</v>
      </c>
      <c r="BP14" s="596">
        <v>0.03</v>
      </c>
      <c r="BQ14" s="595">
        <v>1000000000</v>
      </c>
      <c r="BR14" s="595"/>
      <c r="BS14" s="596">
        <v>0.18</v>
      </c>
      <c r="BT14" s="595">
        <v>1000000000</v>
      </c>
      <c r="BV14" s="597">
        <v>0</v>
      </c>
      <c r="BW14" s="595">
        <v>1000000000</v>
      </c>
      <c r="BZ14" s="595">
        <v>7000</v>
      </c>
      <c r="CA14" s="595"/>
      <c r="CB14" s="595"/>
      <c r="CC14" s="595">
        <f t="shared" si="15"/>
        <v>7000</v>
      </c>
      <c r="CD14" s="595"/>
      <c r="CE14" s="595"/>
      <c r="CF14" s="595">
        <f t="shared" si="16"/>
        <v>14000</v>
      </c>
      <c r="CG14" s="595"/>
      <c r="CH14" s="595"/>
      <c r="CI14" s="595">
        <f t="shared" si="17"/>
        <v>14000</v>
      </c>
      <c r="CJ14" s="596">
        <f t="shared" si="0"/>
        <v>0.05</v>
      </c>
      <c r="CK14" s="595">
        <f t="shared" si="18"/>
        <v>350</v>
      </c>
      <c r="CL14" s="596"/>
      <c r="CM14" s="596">
        <f t="shared" si="1"/>
        <v>0.1</v>
      </c>
      <c r="CN14" s="595">
        <f t="shared" si="19"/>
        <v>700</v>
      </c>
      <c r="CO14" s="596"/>
      <c r="CP14" s="596">
        <f t="shared" si="2"/>
        <v>0.24</v>
      </c>
      <c r="CQ14" s="595">
        <f t="shared" si="20"/>
        <v>3612</v>
      </c>
      <c r="CR14" s="596"/>
      <c r="CS14" s="597">
        <f t="shared" si="3"/>
        <v>-0.04</v>
      </c>
      <c r="CT14" s="595">
        <f t="shared" si="21"/>
        <v>-560</v>
      </c>
      <c r="CV14" s="598">
        <f t="shared" si="22"/>
        <v>1267.1400000000001</v>
      </c>
      <c r="CX14" s="598">
        <f t="shared" si="23"/>
        <v>19369.14</v>
      </c>
      <c r="CY14" s="599">
        <f t="shared" si="24"/>
        <v>4102</v>
      </c>
      <c r="CZ14" s="596">
        <f t="shared" si="25"/>
        <v>0.21178018228997261</v>
      </c>
    </row>
    <row r="15" spans="1:104" s="585" customFormat="1" ht="16.2" thickBot="1">
      <c r="A15" s="608"/>
      <c r="B15" s="600"/>
      <c r="C15" s="591"/>
      <c r="D15" s="600"/>
      <c r="E15" s="609"/>
      <c r="F15" s="593"/>
      <c r="G15" s="610"/>
      <c r="H15" s="593"/>
      <c r="I15" s="605"/>
      <c r="J15" s="604"/>
      <c r="K15" s="604"/>
      <c r="L15" s="611"/>
      <c r="M15" s="611"/>
      <c r="AJ15" s="595">
        <v>8000</v>
      </c>
      <c r="AK15" s="595"/>
      <c r="AL15" s="595"/>
      <c r="AM15" s="595">
        <f t="shared" si="4"/>
        <v>8000</v>
      </c>
      <c r="AN15" s="595"/>
      <c r="AO15" s="595"/>
      <c r="AP15" s="595">
        <f t="shared" si="5"/>
        <v>16000</v>
      </c>
      <c r="AQ15" s="595"/>
      <c r="AR15" s="595"/>
      <c r="AS15" s="595">
        <f t="shared" si="6"/>
        <v>16000</v>
      </c>
      <c r="AT15" s="596" t="e">
        <f>IF(AJ15&lt;=#REF!,#REF!,IF(AJ15&lt;=#REF!,#REF!,IF(AJ15&lt;=#REF!,#REF!,IF(AJ15&lt;=#REF!,#REF!,IF(AJ15&lt;=#REF!,#REF!,IF(AJ15&lt;=#REF!,#REF!,IF(AJ15&lt;=#REF!,#REF!,0.05)))))))</f>
        <v>#REF!</v>
      </c>
      <c r="AU15" s="595" t="e">
        <f t="shared" si="7"/>
        <v>#REF!</v>
      </c>
      <c r="AV15" s="596"/>
      <c r="AW15" s="596" t="e">
        <f>IF(AM15&lt;=#REF!,#REF!,IF(AM15&lt;=#REF!,#REF!,IF(AM15&lt;=#REF!,#REF!,IF(AM15&lt;=#REF!,#REF!,IF(AM15&lt;=#REF!,#REF!,IF(AM15&lt;=#REF!,#REF!,IF(AM15&lt;=#REF!,#REF!,0.05)))))))</f>
        <v>#REF!</v>
      </c>
      <c r="AX15" s="595" t="e">
        <f t="shared" si="8"/>
        <v>#REF!</v>
      </c>
      <c r="AY15" s="596"/>
      <c r="AZ15" s="596" t="e">
        <f>IF(AP15&lt;=#REF!,#REF!,IF(AP15&lt;=#REF!,#REF!,IF(AP15&lt;=#REF!,#REF!,IF(AP15&lt;=#REF!,#REF!,IF(AP15&lt;=#REF!,#REF!,IF(AP15&lt;=#REF!,#REF!,IF(AP15&lt;=#REF!,#REF!,0.05)))))))</f>
        <v>#REF!</v>
      </c>
      <c r="BA15" s="595" t="e">
        <f t="shared" si="9"/>
        <v>#REF!</v>
      </c>
      <c r="BB15" s="596"/>
      <c r="BC15" s="597" t="e">
        <f>IF(AS15&lt;=#REF!,#REF!,IF(AS15&lt;=#REF!,#REF!,IF(AS15&lt;=#REF!,#REF!,IF(AS15&lt;=#REF!,#REF!,IF(AS15&lt;=#REF!,#REF!,IF(AS15&lt;=#REF!,#REF!,IF(AS15&lt;=#REF!,#REF!,0.05)))))))</f>
        <v>#REF!</v>
      </c>
      <c r="BD15" s="595" t="e">
        <f t="shared" si="10"/>
        <v>#REF!</v>
      </c>
      <c r="BF15" s="598" t="e">
        <f t="shared" si="11"/>
        <v>#REF!</v>
      </c>
      <c r="BH15" s="598" t="e">
        <f t="shared" si="12"/>
        <v>#REF!</v>
      </c>
      <c r="BI15" s="599" t="e">
        <f t="shared" si="13"/>
        <v>#REF!</v>
      </c>
      <c r="BJ15" s="596" t="e">
        <f t="shared" si="14"/>
        <v>#REF!</v>
      </c>
      <c r="BZ15" s="595">
        <v>8000</v>
      </c>
      <c r="CA15" s="595"/>
      <c r="CB15" s="595"/>
      <c r="CC15" s="595">
        <f t="shared" si="15"/>
        <v>8000</v>
      </c>
      <c r="CD15" s="595"/>
      <c r="CE15" s="595"/>
      <c r="CF15" s="595">
        <f t="shared" si="16"/>
        <v>16000</v>
      </c>
      <c r="CG15" s="595"/>
      <c r="CH15" s="595"/>
      <c r="CI15" s="595">
        <f t="shared" si="17"/>
        <v>16000</v>
      </c>
      <c r="CJ15" s="596">
        <f t="shared" si="0"/>
        <v>0.05</v>
      </c>
      <c r="CK15" s="595">
        <f t="shared" si="18"/>
        <v>400</v>
      </c>
      <c r="CL15" s="596"/>
      <c r="CM15" s="596">
        <f t="shared" si="1"/>
        <v>0.05</v>
      </c>
      <c r="CN15" s="595">
        <f t="shared" si="19"/>
        <v>400</v>
      </c>
      <c r="CO15" s="596"/>
      <c r="CP15" s="596">
        <f t="shared" si="2"/>
        <v>0.22</v>
      </c>
      <c r="CQ15" s="595">
        <f t="shared" si="20"/>
        <v>3696</v>
      </c>
      <c r="CR15" s="596"/>
      <c r="CS15" s="597">
        <f t="shared" si="3"/>
        <v>-0.05</v>
      </c>
      <c r="CT15" s="595">
        <f t="shared" si="21"/>
        <v>-800</v>
      </c>
      <c r="CV15" s="598">
        <f t="shared" si="22"/>
        <v>1378.72</v>
      </c>
      <c r="CX15" s="598">
        <f t="shared" si="23"/>
        <v>21074.720000000001</v>
      </c>
      <c r="CY15" s="599">
        <f t="shared" si="24"/>
        <v>3696</v>
      </c>
      <c r="CZ15" s="596">
        <f t="shared" si="25"/>
        <v>0.17537599550551561</v>
      </c>
    </row>
    <row r="16" spans="1:104" s="585" customFormat="1" ht="16.2" thickBot="1">
      <c r="A16" s="612" t="s">
        <v>60</v>
      </c>
      <c r="B16" s="613">
        <f>D85</f>
        <v>11029</v>
      </c>
      <c r="C16" s="614" t="s">
        <v>61</v>
      </c>
      <c r="D16" s="615" t="e">
        <f>C85</f>
        <v>#DIV/0!</v>
      </c>
      <c r="E16" s="593"/>
      <c r="F16" s="593"/>
      <c r="G16" s="593"/>
      <c r="H16" s="593"/>
      <c r="I16" s="605"/>
      <c r="J16" s="604"/>
      <c r="K16" s="604"/>
      <c r="M16" s="605"/>
      <c r="N16" s="600"/>
      <c r="O16" s="600"/>
      <c r="P16" s="600"/>
      <c r="AJ16" s="595">
        <v>9000</v>
      </c>
      <c r="AK16" s="595"/>
      <c r="AL16" s="595"/>
      <c r="AM16" s="595">
        <f t="shared" si="4"/>
        <v>9000</v>
      </c>
      <c r="AN16" s="595"/>
      <c r="AO16" s="595"/>
      <c r="AP16" s="595">
        <f t="shared" si="5"/>
        <v>18000</v>
      </c>
      <c r="AQ16" s="595"/>
      <c r="AR16" s="595"/>
      <c r="AS16" s="595">
        <f t="shared" si="6"/>
        <v>18000</v>
      </c>
      <c r="AT16" s="596" t="e">
        <f>IF(AJ16&lt;=#REF!,#REF!,IF(AJ16&lt;=#REF!,#REF!,IF(AJ16&lt;=#REF!,#REF!,IF(AJ16&lt;=#REF!,#REF!,IF(AJ16&lt;=#REF!,#REF!,IF(AJ16&lt;=#REF!,#REF!,IF(AJ16&lt;=#REF!,#REF!,0.05)))))))</f>
        <v>#REF!</v>
      </c>
      <c r="AU16" s="595" t="e">
        <f t="shared" si="7"/>
        <v>#REF!</v>
      </c>
      <c r="AV16" s="596"/>
      <c r="AW16" s="596" t="e">
        <f>IF(AM16&lt;=#REF!,#REF!,IF(AM16&lt;=#REF!,#REF!,IF(AM16&lt;=#REF!,#REF!,IF(AM16&lt;=#REF!,#REF!,IF(AM16&lt;=#REF!,#REF!,IF(AM16&lt;=#REF!,#REF!,IF(AM16&lt;=#REF!,#REF!,0.05)))))))</f>
        <v>#REF!</v>
      </c>
      <c r="AX16" s="595" t="e">
        <f t="shared" si="8"/>
        <v>#REF!</v>
      </c>
      <c r="AY16" s="596"/>
      <c r="AZ16" s="596" t="e">
        <f>IF(AP16&lt;=#REF!,#REF!,IF(AP16&lt;=#REF!,#REF!,IF(AP16&lt;=#REF!,#REF!,IF(AP16&lt;=#REF!,#REF!,IF(AP16&lt;=#REF!,#REF!,IF(AP16&lt;=#REF!,#REF!,IF(AP16&lt;=#REF!,#REF!,0.05)))))))</f>
        <v>#REF!</v>
      </c>
      <c r="BA16" s="595" t="e">
        <f t="shared" si="9"/>
        <v>#REF!</v>
      </c>
      <c r="BB16" s="596"/>
      <c r="BC16" s="597" t="e">
        <f>IF(AS16&lt;=#REF!,#REF!,IF(AS16&lt;=#REF!,#REF!,IF(AS16&lt;=#REF!,#REF!,IF(AS16&lt;=#REF!,#REF!,IF(AS16&lt;=#REF!,#REF!,IF(AS16&lt;=#REF!,#REF!,IF(AS16&lt;=#REF!,#REF!,0.05)))))))</f>
        <v>#REF!</v>
      </c>
      <c r="BD16" s="595" t="e">
        <f t="shared" si="10"/>
        <v>#REF!</v>
      </c>
      <c r="BF16" s="598" t="e">
        <f t="shared" si="11"/>
        <v>#REF!</v>
      </c>
      <c r="BH16" s="598" t="e">
        <f t="shared" si="12"/>
        <v>#REF!</v>
      </c>
      <c r="BI16" s="599" t="e">
        <f t="shared" si="13"/>
        <v>#REF!</v>
      </c>
      <c r="BJ16" s="596" t="e">
        <f t="shared" si="14"/>
        <v>#REF!</v>
      </c>
      <c r="BZ16" s="595">
        <v>9000</v>
      </c>
      <c r="CA16" s="595"/>
      <c r="CB16" s="595"/>
      <c r="CC16" s="595">
        <f t="shared" si="15"/>
        <v>9000</v>
      </c>
      <c r="CD16" s="595"/>
      <c r="CE16" s="595"/>
      <c r="CF16" s="595">
        <f t="shared" si="16"/>
        <v>18000</v>
      </c>
      <c r="CG16" s="595"/>
      <c r="CH16" s="595"/>
      <c r="CI16" s="595">
        <f t="shared" si="17"/>
        <v>18000</v>
      </c>
      <c r="CJ16" s="596">
        <f t="shared" si="0"/>
        <v>0.05</v>
      </c>
      <c r="CK16" s="595">
        <f t="shared" si="18"/>
        <v>450</v>
      </c>
      <c r="CL16" s="596"/>
      <c r="CM16" s="596">
        <f t="shared" si="1"/>
        <v>0.05</v>
      </c>
      <c r="CN16" s="595">
        <f t="shared" si="19"/>
        <v>450</v>
      </c>
      <c r="CO16" s="596"/>
      <c r="CP16" s="596">
        <f t="shared" si="2"/>
        <v>0.22</v>
      </c>
      <c r="CQ16" s="595">
        <f t="shared" si="20"/>
        <v>4158</v>
      </c>
      <c r="CR16" s="596"/>
      <c r="CS16" s="597">
        <f t="shared" si="3"/>
        <v>-0.05</v>
      </c>
      <c r="CT16" s="595">
        <f t="shared" si="21"/>
        <v>-900</v>
      </c>
      <c r="CV16" s="598">
        <f t="shared" si="22"/>
        <v>1551.0600000000002</v>
      </c>
      <c r="CX16" s="598">
        <f t="shared" si="23"/>
        <v>23709.06</v>
      </c>
      <c r="CY16" s="599">
        <f t="shared" si="24"/>
        <v>4158</v>
      </c>
      <c r="CZ16" s="596">
        <f t="shared" si="25"/>
        <v>0.17537599550551561</v>
      </c>
    </row>
    <row r="17" spans="1:116" s="585" customFormat="1">
      <c r="A17" s="616" t="s">
        <v>14</v>
      </c>
      <c r="B17" s="617" t="s">
        <v>11</v>
      </c>
      <c r="C17" s="617" t="s">
        <v>1</v>
      </c>
      <c r="D17" s="618" t="s">
        <v>2</v>
      </c>
      <c r="E17" s="619"/>
      <c r="F17" s="593"/>
      <c r="H17" s="621" t="s">
        <v>25</v>
      </c>
      <c r="I17" s="1388" t="s">
        <v>906</v>
      </c>
      <c r="J17" s="1388" t="s">
        <v>907</v>
      </c>
      <c r="K17" s="623" t="s">
        <v>26</v>
      </c>
      <c r="Q17" s="590"/>
      <c r="AJ17" s="595">
        <v>10000</v>
      </c>
      <c r="AK17" s="595"/>
      <c r="AL17" s="595"/>
      <c r="AM17" s="595">
        <f t="shared" si="4"/>
        <v>10000</v>
      </c>
      <c r="AN17" s="595"/>
      <c r="AO17" s="595"/>
      <c r="AP17" s="595">
        <f t="shared" si="5"/>
        <v>20000</v>
      </c>
      <c r="AQ17" s="595"/>
      <c r="AR17" s="595"/>
      <c r="AS17" s="595">
        <f t="shared" si="6"/>
        <v>20000</v>
      </c>
      <c r="AT17" s="596" t="e">
        <f>IF(AJ17&lt;=#REF!,#REF!,IF(AJ17&lt;=#REF!,#REF!,IF(AJ17&lt;=#REF!,#REF!,IF(AJ17&lt;=#REF!,#REF!,IF(AJ17&lt;=#REF!,#REF!,IF(AJ17&lt;=#REF!,#REF!,IF(AJ17&lt;=#REF!,#REF!,0.05)))))))</f>
        <v>#REF!</v>
      </c>
      <c r="AU17" s="595" t="e">
        <f t="shared" si="7"/>
        <v>#REF!</v>
      </c>
      <c r="AV17" s="596"/>
      <c r="AW17" s="596" t="e">
        <f>IF(AM17&lt;=#REF!,#REF!,IF(AM17&lt;=#REF!,#REF!,IF(AM17&lt;=#REF!,#REF!,IF(AM17&lt;=#REF!,#REF!,IF(AM17&lt;=#REF!,#REF!,IF(AM17&lt;=#REF!,#REF!,IF(AM17&lt;=#REF!,#REF!,0.05)))))))</f>
        <v>#REF!</v>
      </c>
      <c r="AX17" s="595" t="e">
        <f t="shared" si="8"/>
        <v>#REF!</v>
      </c>
      <c r="AY17" s="596"/>
      <c r="AZ17" s="596" t="e">
        <f>IF(AP17&lt;=#REF!,#REF!,IF(AP17&lt;=#REF!,#REF!,IF(AP17&lt;=#REF!,#REF!,IF(AP17&lt;=#REF!,#REF!,IF(AP17&lt;=#REF!,#REF!,IF(AP17&lt;=#REF!,#REF!,IF(AP17&lt;=#REF!,#REF!,0.05)))))))</f>
        <v>#REF!</v>
      </c>
      <c r="BA17" s="595" t="e">
        <f t="shared" si="9"/>
        <v>#REF!</v>
      </c>
      <c r="BB17" s="596"/>
      <c r="BC17" s="597" t="e">
        <f>IF(AS17&lt;=#REF!,#REF!,IF(AS17&lt;=#REF!,#REF!,IF(AS17&lt;=#REF!,#REF!,IF(AS17&lt;=#REF!,#REF!,IF(AS17&lt;=#REF!,#REF!,IF(AS17&lt;=#REF!,#REF!,IF(AS17&lt;=#REF!,#REF!,0.05)))))))</f>
        <v>#REF!</v>
      </c>
      <c r="BD17" s="595" t="e">
        <f t="shared" si="10"/>
        <v>#REF!</v>
      </c>
      <c r="BF17" s="598" t="e">
        <f t="shared" si="11"/>
        <v>#REF!</v>
      </c>
      <c r="BH17" s="598" t="e">
        <f t="shared" si="12"/>
        <v>#REF!</v>
      </c>
      <c r="BI17" s="599" t="e">
        <f t="shared" si="13"/>
        <v>#REF!</v>
      </c>
      <c r="BJ17" s="596" t="e">
        <f t="shared" si="14"/>
        <v>#REF!</v>
      </c>
      <c r="BZ17" s="595">
        <v>10000</v>
      </c>
      <c r="CA17" s="595"/>
      <c r="CB17" s="595"/>
      <c r="CC17" s="595">
        <f t="shared" si="15"/>
        <v>10000</v>
      </c>
      <c r="CD17" s="595"/>
      <c r="CE17" s="595"/>
      <c r="CF17" s="595">
        <f t="shared" si="16"/>
        <v>20000</v>
      </c>
      <c r="CG17" s="595"/>
      <c r="CH17" s="595"/>
      <c r="CI17" s="595">
        <f t="shared" si="17"/>
        <v>20000</v>
      </c>
      <c r="CJ17" s="596">
        <f t="shared" si="0"/>
        <v>0.05</v>
      </c>
      <c r="CK17" s="595">
        <f t="shared" si="18"/>
        <v>500</v>
      </c>
      <c r="CL17" s="596"/>
      <c r="CM17" s="596">
        <f t="shared" si="1"/>
        <v>0.05</v>
      </c>
      <c r="CN17" s="595">
        <f t="shared" si="19"/>
        <v>500</v>
      </c>
      <c r="CO17" s="596"/>
      <c r="CP17" s="596">
        <f t="shared" si="2"/>
        <v>0.2</v>
      </c>
      <c r="CQ17" s="595">
        <f t="shared" si="20"/>
        <v>4200</v>
      </c>
      <c r="CR17" s="596"/>
      <c r="CS17" s="597">
        <f t="shared" si="3"/>
        <v>-0.05</v>
      </c>
      <c r="CT17" s="595">
        <f t="shared" si="21"/>
        <v>-1000</v>
      </c>
      <c r="CV17" s="598">
        <f t="shared" si="22"/>
        <v>1694.0000000000002</v>
      </c>
      <c r="CX17" s="598">
        <f t="shared" si="23"/>
        <v>25894</v>
      </c>
      <c r="CY17" s="599">
        <f t="shared" si="24"/>
        <v>4200</v>
      </c>
      <c r="CZ17" s="596">
        <f t="shared" si="25"/>
        <v>0.16219973739090138</v>
      </c>
    </row>
    <row r="18" spans="1:116" s="585" customFormat="1">
      <c r="A18" s="624"/>
      <c r="B18" s="625">
        <f>E20</f>
        <v>0</v>
      </c>
      <c r="C18" s="626">
        <v>0.1</v>
      </c>
      <c r="D18" s="627">
        <f t="shared" ref="D18:D19" si="26">B18*C18</f>
        <v>0</v>
      </c>
      <c r="E18" s="600"/>
      <c r="F18" s="600"/>
      <c r="H18" s="628" t="s">
        <v>22</v>
      </c>
      <c r="I18" s="629">
        <f>IF(J18&lt;=1000,validation!$R$4,IF(J18&lt;1500,validation!$R$6,IF(J18&lt;2000,validation!$R$8,IF(J18&lt;2500,validation!$R$10,IF(J18&lt;=3000,validation!$R$12,IF(J18&lt;3500,validation!$R$14,IF(J18&lt;4000,validation!$R$16,IF(J18&lt;5000,validation!$R$18,validation!$R$20))))))))</f>
        <v>1.5169999999999999</v>
      </c>
      <c r="J18" s="630">
        <f>B42</f>
        <v>0</v>
      </c>
      <c r="K18" s="631">
        <f>ROUNDUP((I18*J18),0)</f>
        <v>0</v>
      </c>
      <c r="L18" s="632" t="s">
        <v>48</v>
      </c>
      <c r="M18" s="633" t="s">
        <v>209</v>
      </c>
      <c r="Q18" s="590"/>
      <c r="AJ18" s="595">
        <v>11000</v>
      </c>
      <c r="AK18" s="595"/>
      <c r="AL18" s="595"/>
      <c r="AM18" s="595">
        <f t="shared" si="4"/>
        <v>11000</v>
      </c>
      <c r="AN18" s="595"/>
      <c r="AO18" s="595"/>
      <c r="AP18" s="595">
        <f t="shared" si="5"/>
        <v>22000</v>
      </c>
      <c r="AQ18" s="595"/>
      <c r="AR18" s="595"/>
      <c r="AS18" s="595">
        <f t="shared" si="6"/>
        <v>22000</v>
      </c>
      <c r="AT18" s="596" t="e">
        <f>IF(AJ18&lt;=#REF!,#REF!,IF(AJ18&lt;=#REF!,#REF!,IF(AJ18&lt;=#REF!,#REF!,IF(AJ18&lt;=#REF!,#REF!,IF(AJ18&lt;=#REF!,#REF!,IF(AJ18&lt;=#REF!,#REF!,IF(AJ18&lt;=#REF!,#REF!,0.05)))))))</f>
        <v>#REF!</v>
      </c>
      <c r="AU18" s="595" t="e">
        <f t="shared" si="7"/>
        <v>#REF!</v>
      </c>
      <c r="AV18" s="596"/>
      <c r="AW18" s="596" t="e">
        <f>IF(AM18&lt;=#REF!,#REF!,IF(AM18&lt;=#REF!,#REF!,IF(AM18&lt;=#REF!,#REF!,IF(AM18&lt;=#REF!,#REF!,IF(AM18&lt;=#REF!,#REF!,IF(AM18&lt;=#REF!,#REF!,IF(AM18&lt;=#REF!,#REF!,0.05)))))))</f>
        <v>#REF!</v>
      </c>
      <c r="AX18" s="595" t="e">
        <f t="shared" si="8"/>
        <v>#REF!</v>
      </c>
      <c r="AY18" s="596"/>
      <c r="AZ18" s="596" t="e">
        <f>IF(AP18&lt;=#REF!,#REF!,IF(AP18&lt;=#REF!,#REF!,IF(AP18&lt;=#REF!,#REF!,IF(AP18&lt;=#REF!,#REF!,IF(AP18&lt;=#REF!,#REF!,IF(AP18&lt;=#REF!,#REF!,IF(AP18&lt;=#REF!,#REF!,0.05)))))))</f>
        <v>#REF!</v>
      </c>
      <c r="BA18" s="595" t="e">
        <f t="shared" si="9"/>
        <v>#REF!</v>
      </c>
      <c r="BB18" s="596"/>
      <c r="BC18" s="597" t="e">
        <f>IF(AS18&lt;=#REF!,#REF!,IF(AS18&lt;=#REF!,#REF!,IF(AS18&lt;=#REF!,#REF!,IF(AS18&lt;=#REF!,#REF!,IF(AS18&lt;=#REF!,#REF!,IF(AS18&lt;=#REF!,#REF!,IF(AS18&lt;=#REF!,#REF!,0.05)))))))</f>
        <v>#REF!</v>
      </c>
      <c r="BD18" s="595" t="e">
        <f t="shared" si="10"/>
        <v>#REF!</v>
      </c>
      <c r="BF18" s="598" t="e">
        <f t="shared" si="11"/>
        <v>#REF!</v>
      </c>
      <c r="BH18" s="598" t="e">
        <f t="shared" si="12"/>
        <v>#REF!</v>
      </c>
      <c r="BI18" s="599" t="e">
        <f t="shared" si="13"/>
        <v>#REF!</v>
      </c>
      <c r="BJ18" s="596" t="e">
        <f t="shared" si="14"/>
        <v>#REF!</v>
      </c>
      <c r="BZ18" s="595">
        <v>11000</v>
      </c>
      <c r="CA18" s="595"/>
      <c r="CB18" s="595"/>
      <c r="CC18" s="595">
        <f t="shared" si="15"/>
        <v>11000</v>
      </c>
      <c r="CD18" s="595"/>
      <c r="CE18" s="595"/>
      <c r="CF18" s="595">
        <f t="shared" si="16"/>
        <v>22000</v>
      </c>
      <c r="CG18" s="595"/>
      <c r="CH18" s="595"/>
      <c r="CI18" s="595">
        <f t="shared" si="17"/>
        <v>22000</v>
      </c>
      <c r="CJ18" s="596">
        <f t="shared" si="0"/>
        <v>0.05</v>
      </c>
      <c r="CK18" s="595">
        <f t="shared" si="18"/>
        <v>550</v>
      </c>
      <c r="CL18" s="596"/>
      <c r="CM18" s="596">
        <f t="shared" si="1"/>
        <v>0.03</v>
      </c>
      <c r="CN18" s="595">
        <f t="shared" si="19"/>
        <v>330</v>
      </c>
      <c r="CO18" s="596"/>
      <c r="CP18" s="596">
        <f t="shared" si="2"/>
        <v>0.2</v>
      </c>
      <c r="CQ18" s="595">
        <f t="shared" si="20"/>
        <v>4576</v>
      </c>
      <c r="CR18" s="596"/>
      <c r="CS18" s="597">
        <f t="shared" si="3"/>
        <v>-0.05</v>
      </c>
      <c r="CT18" s="595">
        <f t="shared" si="21"/>
        <v>-1100</v>
      </c>
      <c r="CV18" s="598">
        <f t="shared" si="22"/>
        <v>1844.92</v>
      </c>
      <c r="CX18" s="598">
        <f t="shared" si="23"/>
        <v>28200.92</v>
      </c>
      <c r="CY18" s="599">
        <f t="shared" si="24"/>
        <v>4356</v>
      </c>
      <c r="CZ18" s="596">
        <f t="shared" si="25"/>
        <v>0.15446304588644627</v>
      </c>
    </row>
    <row r="19" spans="1:116" s="585" customFormat="1">
      <c r="A19" s="624"/>
      <c r="B19" s="634"/>
      <c r="C19" s="626"/>
      <c r="D19" s="627">
        <f t="shared" si="26"/>
        <v>0</v>
      </c>
      <c r="E19" s="600"/>
      <c r="F19" s="600"/>
      <c r="H19" s="635" t="s">
        <v>39</v>
      </c>
      <c r="I19" s="636">
        <f>IF(J19&lt;=1000,validation!$U$4,IF(J19&lt;1500,validation!$U$6,IF(J19&lt;2000,validation!$U$8,IF(J19&lt;2500,validation!$U$10,IF(J19&lt;=3000,validation!$U$12,IF(J19&lt;3500,validation!$U$14,IF(J19&lt;4000,validation!$U$16,IF(J19&lt;5000,validation!$U$18,validation!$U$20))))))))</f>
        <v>1.6160000000000001</v>
      </c>
      <c r="J19" s="637">
        <f>B42</f>
        <v>0</v>
      </c>
      <c r="K19" s="638">
        <f>ROUNDUP((I19*J19),0)</f>
        <v>0</v>
      </c>
      <c r="L19" s="639">
        <f>0.2*J19</f>
        <v>0</v>
      </c>
      <c r="M19" s="640" t="e">
        <f>K19/L19</f>
        <v>#DIV/0!</v>
      </c>
      <c r="N19" s="590" t="s">
        <v>208</v>
      </c>
      <c r="AJ19" s="595">
        <v>12000</v>
      </c>
      <c r="AK19" s="595"/>
      <c r="AL19" s="595"/>
      <c r="AM19" s="595">
        <f t="shared" si="4"/>
        <v>12000</v>
      </c>
      <c r="AN19" s="595"/>
      <c r="AO19" s="595"/>
      <c r="AP19" s="595">
        <f t="shared" si="5"/>
        <v>24000</v>
      </c>
      <c r="AQ19" s="595"/>
      <c r="AR19" s="595"/>
      <c r="AS19" s="595">
        <f t="shared" si="6"/>
        <v>24000</v>
      </c>
      <c r="AT19" s="596" t="e">
        <f>IF(AJ19&lt;=#REF!,#REF!,IF(AJ19&lt;=#REF!,#REF!,IF(AJ19&lt;=#REF!,#REF!,IF(AJ19&lt;=#REF!,#REF!,IF(AJ19&lt;=#REF!,#REF!,IF(AJ19&lt;=#REF!,#REF!,IF(AJ19&lt;=#REF!,#REF!,0.05)))))))</f>
        <v>#REF!</v>
      </c>
      <c r="AU19" s="595" t="e">
        <f t="shared" si="7"/>
        <v>#REF!</v>
      </c>
      <c r="AV19" s="596"/>
      <c r="AW19" s="596" t="e">
        <f>IF(AM19&lt;=#REF!,#REF!,IF(AM19&lt;=#REF!,#REF!,IF(AM19&lt;=#REF!,#REF!,IF(AM19&lt;=#REF!,#REF!,IF(AM19&lt;=#REF!,#REF!,IF(AM19&lt;=#REF!,#REF!,IF(AM19&lt;=#REF!,#REF!,0.05)))))))</f>
        <v>#REF!</v>
      </c>
      <c r="AX19" s="595" t="e">
        <f t="shared" si="8"/>
        <v>#REF!</v>
      </c>
      <c r="AY19" s="596"/>
      <c r="AZ19" s="596" t="e">
        <f>IF(AP19&lt;=#REF!,#REF!,IF(AP19&lt;=#REF!,#REF!,IF(AP19&lt;=#REF!,#REF!,IF(AP19&lt;=#REF!,#REF!,IF(AP19&lt;=#REF!,#REF!,IF(AP19&lt;=#REF!,#REF!,IF(AP19&lt;=#REF!,#REF!,0.05)))))))</f>
        <v>#REF!</v>
      </c>
      <c r="BA19" s="595" t="e">
        <f t="shared" si="9"/>
        <v>#REF!</v>
      </c>
      <c r="BB19" s="596"/>
      <c r="BC19" s="597" t="e">
        <f>IF(AS19&lt;=#REF!,#REF!,IF(AS19&lt;=#REF!,#REF!,IF(AS19&lt;=#REF!,#REF!,IF(AS19&lt;=#REF!,#REF!,IF(AS19&lt;=#REF!,#REF!,IF(AS19&lt;=#REF!,#REF!,IF(AS19&lt;=#REF!,#REF!,0.05)))))))</f>
        <v>#REF!</v>
      </c>
      <c r="BD19" s="595" t="e">
        <f t="shared" si="10"/>
        <v>#REF!</v>
      </c>
      <c r="BF19" s="598" t="e">
        <f t="shared" si="11"/>
        <v>#REF!</v>
      </c>
      <c r="BH19" s="598" t="e">
        <f t="shared" si="12"/>
        <v>#REF!</v>
      </c>
      <c r="BI19" s="599" t="e">
        <f t="shared" si="13"/>
        <v>#REF!</v>
      </c>
      <c r="BJ19" s="596" t="e">
        <f t="shared" si="14"/>
        <v>#REF!</v>
      </c>
      <c r="BZ19" s="595">
        <v>12000</v>
      </c>
      <c r="CA19" s="595"/>
      <c r="CB19" s="595"/>
      <c r="CC19" s="595">
        <f t="shared" si="15"/>
        <v>12000</v>
      </c>
      <c r="CD19" s="595"/>
      <c r="CE19" s="595"/>
      <c r="CF19" s="595">
        <f t="shared" si="16"/>
        <v>24000</v>
      </c>
      <c r="CG19" s="595"/>
      <c r="CH19" s="595"/>
      <c r="CI19" s="595">
        <f t="shared" si="17"/>
        <v>24000</v>
      </c>
      <c r="CJ19" s="596">
        <f t="shared" si="0"/>
        <v>0.05</v>
      </c>
      <c r="CK19" s="595">
        <f t="shared" si="18"/>
        <v>600</v>
      </c>
      <c r="CL19" s="596"/>
      <c r="CM19" s="596">
        <f t="shared" si="1"/>
        <v>0.03</v>
      </c>
      <c r="CN19" s="595">
        <f t="shared" si="19"/>
        <v>360</v>
      </c>
      <c r="CO19" s="596"/>
      <c r="CP19" s="596">
        <f t="shared" si="2"/>
        <v>0.2</v>
      </c>
      <c r="CQ19" s="595">
        <f t="shared" si="20"/>
        <v>4992</v>
      </c>
      <c r="CR19" s="596"/>
      <c r="CS19" s="597">
        <f t="shared" si="3"/>
        <v>-0.05</v>
      </c>
      <c r="CT19" s="595">
        <f t="shared" si="21"/>
        <v>-1200</v>
      </c>
      <c r="CV19" s="598">
        <f t="shared" si="22"/>
        <v>2012.64</v>
      </c>
      <c r="CX19" s="598">
        <f t="shared" si="23"/>
        <v>30764.639999999999</v>
      </c>
      <c r="CY19" s="599">
        <f t="shared" si="24"/>
        <v>4752</v>
      </c>
      <c r="CZ19" s="596">
        <f t="shared" si="25"/>
        <v>0.15446304588644627</v>
      </c>
    </row>
    <row r="20" spans="1:116" s="585" customFormat="1">
      <c r="A20" s="641" t="s">
        <v>206</v>
      </c>
      <c r="B20" s="642"/>
      <c r="C20" s="643"/>
      <c r="D20" s="644"/>
      <c r="E20" s="645">
        <v>0</v>
      </c>
      <c r="F20" s="646" t="s">
        <v>27</v>
      </c>
      <c r="H20" s="628" t="s">
        <v>908</v>
      </c>
      <c r="I20" s="629">
        <f>IF(J20&lt;=100,validation!$R$24,IF(J20&lt;150,validation!$R$26,IF(J20&lt;200,validation!$R$28,IF(J20&lt;250,validation!$R$30,IF(J20&lt;=300,validation!$R$32,IF(J20&lt;350,validation!$R$34,IF(J20&lt;400,validation!$R$36,IF(J20&lt;500,validation!$R$38,validation!$R$40))))))))</f>
        <v>6.18</v>
      </c>
      <c r="J20" s="630">
        <f>E32</f>
        <v>0</v>
      </c>
      <c r="K20" s="631">
        <f>ROUNDUP((I20*J20),0)</f>
        <v>0</v>
      </c>
      <c r="P20" s="629"/>
      <c r="AJ20" s="595">
        <v>13000</v>
      </c>
      <c r="AK20" s="595"/>
      <c r="AL20" s="595"/>
      <c r="AM20" s="595">
        <f t="shared" si="4"/>
        <v>13000</v>
      </c>
      <c r="AN20" s="595"/>
      <c r="AO20" s="595"/>
      <c r="AP20" s="595">
        <f t="shared" si="5"/>
        <v>26000</v>
      </c>
      <c r="AQ20" s="595"/>
      <c r="AR20" s="595"/>
      <c r="AS20" s="595">
        <f t="shared" si="6"/>
        <v>26000</v>
      </c>
      <c r="AT20" s="596" t="e">
        <f>IF(AJ20&lt;=#REF!,#REF!,IF(AJ20&lt;=#REF!,#REF!,IF(AJ20&lt;=#REF!,#REF!,IF(AJ20&lt;=#REF!,#REF!,IF(AJ20&lt;=#REF!,#REF!,IF(AJ20&lt;=#REF!,#REF!,IF(AJ20&lt;=#REF!,#REF!,0.05)))))))</f>
        <v>#REF!</v>
      </c>
      <c r="AU20" s="595" t="e">
        <f t="shared" si="7"/>
        <v>#REF!</v>
      </c>
      <c r="AV20" s="596"/>
      <c r="AW20" s="596" t="e">
        <f>IF(AM20&lt;=#REF!,#REF!,IF(AM20&lt;=#REF!,#REF!,IF(AM20&lt;=#REF!,#REF!,IF(AM20&lt;=#REF!,#REF!,IF(AM20&lt;=#REF!,#REF!,IF(AM20&lt;=#REF!,#REF!,IF(AM20&lt;=#REF!,#REF!,0.05)))))))</f>
        <v>#REF!</v>
      </c>
      <c r="AX20" s="595" t="e">
        <f t="shared" si="8"/>
        <v>#REF!</v>
      </c>
      <c r="AY20" s="596"/>
      <c r="AZ20" s="596" t="e">
        <f>IF(AP20&lt;=#REF!,#REF!,IF(AP20&lt;=#REF!,#REF!,IF(AP20&lt;=#REF!,#REF!,IF(AP20&lt;=#REF!,#REF!,IF(AP20&lt;=#REF!,#REF!,IF(AP20&lt;=#REF!,#REF!,IF(AP20&lt;=#REF!,#REF!,0.05)))))))</f>
        <v>#REF!</v>
      </c>
      <c r="BA20" s="595" t="e">
        <f t="shared" si="9"/>
        <v>#REF!</v>
      </c>
      <c r="BB20" s="596"/>
      <c r="BC20" s="597" t="e">
        <f>IF(AS20&lt;=#REF!,#REF!,IF(AS20&lt;=#REF!,#REF!,IF(AS20&lt;=#REF!,#REF!,IF(AS20&lt;=#REF!,#REF!,IF(AS20&lt;=#REF!,#REF!,IF(AS20&lt;=#REF!,#REF!,IF(AS20&lt;=#REF!,#REF!,0.05)))))))</f>
        <v>#REF!</v>
      </c>
      <c r="BD20" s="595" t="e">
        <f t="shared" si="10"/>
        <v>#REF!</v>
      </c>
      <c r="BF20" s="598" t="e">
        <f t="shared" si="11"/>
        <v>#REF!</v>
      </c>
      <c r="BH20" s="598" t="e">
        <f t="shared" si="12"/>
        <v>#REF!</v>
      </c>
      <c r="BI20" s="599" t="e">
        <f t="shared" si="13"/>
        <v>#REF!</v>
      </c>
      <c r="BJ20" s="596" t="e">
        <f t="shared" si="14"/>
        <v>#REF!</v>
      </c>
      <c r="BZ20" s="595">
        <v>13000</v>
      </c>
      <c r="CA20" s="595"/>
      <c r="CB20" s="595"/>
      <c r="CC20" s="595">
        <f t="shared" si="15"/>
        <v>13000</v>
      </c>
      <c r="CD20" s="595"/>
      <c r="CE20" s="595"/>
      <c r="CF20" s="595">
        <f t="shared" si="16"/>
        <v>26000</v>
      </c>
      <c r="CG20" s="595"/>
      <c r="CH20" s="595"/>
      <c r="CI20" s="595">
        <f t="shared" si="17"/>
        <v>26000</v>
      </c>
      <c r="CJ20" s="596">
        <f t="shared" si="0"/>
        <v>0.05</v>
      </c>
      <c r="CK20" s="595">
        <f t="shared" si="18"/>
        <v>650</v>
      </c>
      <c r="CL20" s="596"/>
      <c r="CM20" s="596">
        <f t="shared" si="1"/>
        <v>0.03</v>
      </c>
      <c r="CN20" s="595">
        <f t="shared" si="19"/>
        <v>390</v>
      </c>
      <c r="CO20" s="596"/>
      <c r="CP20" s="596">
        <f t="shared" si="2"/>
        <v>0.18</v>
      </c>
      <c r="CQ20" s="595">
        <f t="shared" si="20"/>
        <v>4867.2</v>
      </c>
      <c r="CR20" s="596"/>
      <c r="CS20" s="597">
        <f t="shared" si="3"/>
        <v>-0.05</v>
      </c>
      <c r="CT20" s="595">
        <f t="shared" si="21"/>
        <v>-1300</v>
      </c>
      <c r="CV20" s="598">
        <f t="shared" si="22"/>
        <v>2142.5040000000004</v>
      </c>
      <c r="CX20" s="598">
        <f t="shared" si="23"/>
        <v>32749.703999999998</v>
      </c>
      <c r="CY20" s="599">
        <f t="shared" si="24"/>
        <v>4607.2</v>
      </c>
      <c r="CZ20" s="596">
        <f t="shared" si="25"/>
        <v>0.14067913407705915</v>
      </c>
    </row>
    <row r="21" spans="1:116" s="585" customFormat="1">
      <c r="A21" s="647"/>
      <c r="B21" s="634"/>
      <c r="C21" s="629"/>
      <c r="D21" s="648">
        <f>B21*C21</f>
        <v>0</v>
      </c>
      <c r="E21" s="649"/>
      <c r="F21" s="600"/>
      <c r="H21" s="635" t="s">
        <v>909</v>
      </c>
      <c r="I21" s="636">
        <f>IF(J20&lt;=100,validation!$U$24,IF(J20&lt;150,validation!$U$26,IF(J20&lt;200,validation!$U$28,IF(J20&lt;250,validation!$U$30,IF(J20&lt;=300,validation!$U$32,IF(J20&lt;350,validation!$U$34,IF(J20&lt;400,validation!$U$36,IF(J20&lt;500,validation!$U$38,validation!$U$40))))))))</f>
        <v>7.44</v>
      </c>
      <c r="J21" s="637">
        <f>E32</f>
        <v>0</v>
      </c>
      <c r="K21" s="638">
        <f>ROUNDUP((I21*J21),0)</f>
        <v>0</v>
      </c>
      <c r="M21" s="650" t="s">
        <v>595</v>
      </c>
      <c r="N21" s="651">
        <f>'Stnd Alts'!E243</f>
        <v>4329</v>
      </c>
      <c r="O21" s="652" t="s">
        <v>593</v>
      </c>
      <c r="P21" s="600"/>
      <c r="AJ21" s="595">
        <v>14000</v>
      </c>
      <c r="AK21" s="595"/>
      <c r="AL21" s="595"/>
      <c r="AM21" s="595">
        <f t="shared" si="4"/>
        <v>14000</v>
      </c>
      <c r="AN21" s="595"/>
      <c r="AO21" s="595"/>
      <c r="AP21" s="595">
        <f t="shared" si="5"/>
        <v>28000</v>
      </c>
      <c r="AQ21" s="595"/>
      <c r="AR21" s="595"/>
      <c r="AS21" s="595">
        <f t="shared" si="6"/>
        <v>28000</v>
      </c>
      <c r="AT21" s="596" t="e">
        <f>IF(AJ21&lt;=#REF!,#REF!,IF(AJ21&lt;=#REF!,#REF!,IF(AJ21&lt;=#REF!,#REF!,IF(AJ21&lt;=#REF!,#REF!,IF(AJ21&lt;=#REF!,#REF!,IF(AJ21&lt;=#REF!,#REF!,IF(AJ21&lt;=#REF!,#REF!,0.05)))))))</f>
        <v>#REF!</v>
      </c>
      <c r="AU21" s="595" t="e">
        <f t="shared" si="7"/>
        <v>#REF!</v>
      </c>
      <c r="AV21" s="596"/>
      <c r="AW21" s="596" t="e">
        <f>IF(AM21&lt;=#REF!,#REF!,IF(AM21&lt;=#REF!,#REF!,IF(AM21&lt;=#REF!,#REF!,IF(AM21&lt;=#REF!,#REF!,IF(AM21&lt;=#REF!,#REF!,IF(AM21&lt;=#REF!,#REF!,IF(AM21&lt;=#REF!,#REF!,0.05)))))))</f>
        <v>#REF!</v>
      </c>
      <c r="AX21" s="595" t="e">
        <f t="shared" si="8"/>
        <v>#REF!</v>
      </c>
      <c r="AY21" s="596"/>
      <c r="AZ21" s="596" t="e">
        <f>IF(AP21&lt;=#REF!,#REF!,IF(AP21&lt;=#REF!,#REF!,IF(AP21&lt;=#REF!,#REF!,IF(AP21&lt;=#REF!,#REF!,IF(AP21&lt;=#REF!,#REF!,IF(AP21&lt;=#REF!,#REF!,IF(AP21&lt;=#REF!,#REF!,0.05)))))))</f>
        <v>#REF!</v>
      </c>
      <c r="BA21" s="595" t="e">
        <f t="shared" si="9"/>
        <v>#REF!</v>
      </c>
      <c r="BB21" s="596"/>
      <c r="BC21" s="597" t="e">
        <f>IF(AS21&lt;=#REF!,#REF!,IF(AS21&lt;=#REF!,#REF!,IF(AS21&lt;=#REF!,#REF!,IF(AS21&lt;=#REF!,#REF!,IF(AS21&lt;=#REF!,#REF!,IF(AS21&lt;=#REF!,#REF!,IF(AS21&lt;=#REF!,#REF!,0.05)))))))</f>
        <v>#REF!</v>
      </c>
      <c r="BD21" s="595" t="e">
        <f t="shared" si="10"/>
        <v>#REF!</v>
      </c>
      <c r="BF21" s="598" t="e">
        <f t="shared" si="11"/>
        <v>#REF!</v>
      </c>
      <c r="BH21" s="598" t="e">
        <f t="shared" si="12"/>
        <v>#REF!</v>
      </c>
      <c r="BI21" s="599" t="e">
        <f t="shared" si="13"/>
        <v>#REF!</v>
      </c>
      <c r="BJ21" s="596" t="e">
        <f t="shared" si="14"/>
        <v>#REF!</v>
      </c>
      <c r="BZ21" s="595">
        <v>14000</v>
      </c>
      <c r="CA21" s="595"/>
      <c r="CB21" s="595"/>
      <c r="CC21" s="595">
        <f t="shared" si="15"/>
        <v>14000</v>
      </c>
      <c r="CD21" s="595"/>
      <c r="CE21" s="595"/>
      <c r="CF21" s="595">
        <f t="shared" si="16"/>
        <v>28000</v>
      </c>
      <c r="CG21" s="595"/>
      <c r="CH21" s="595"/>
      <c r="CI21" s="595">
        <f t="shared" si="17"/>
        <v>28000</v>
      </c>
      <c r="CJ21" s="596">
        <f t="shared" si="0"/>
        <v>0.05</v>
      </c>
      <c r="CK21" s="595">
        <f t="shared" si="18"/>
        <v>700</v>
      </c>
      <c r="CL21" s="596"/>
      <c r="CM21" s="596">
        <f t="shared" si="1"/>
        <v>0.03</v>
      </c>
      <c r="CN21" s="595">
        <f t="shared" si="19"/>
        <v>420</v>
      </c>
      <c r="CO21" s="596"/>
      <c r="CP21" s="596">
        <f t="shared" si="2"/>
        <v>0.18</v>
      </c>
      <c r="CQ21" s="595">
        <f t="shared" si="20"/>
        <v>5241.5999999999995</v>
      </c>
      <c r="CR21" s="596"/>
      <c r="CS21" s="597">
        <f t="shared" si="3"/>
        <v>-0.05</v>
      </c>
      <c r="CT21" s="595">
        <f t="shared" si="21"/>
        <v>-1400</v>
      </c>
      <c r="CV21" s="598">
        <f t="shared" si="22"/>
        <v>2307.3119999999999</v>
      </c>
      <c r="CX21" s="598">
        <f t="shared" si="23"/>
        <v>35268.911999999997</v>
      </c>
      <c r="CY21" s="599">
        <f t="shared" si="24"/>
        <v>4961.5999999999995</v>
      </c>
      <c r="CZ21" s="596">
        <f t="shared" si="25"/>
        <v>0.14067913407705915</v>
      </c>
    </row>
    <row r="22" spans="1:116" s="585" customFormat="1">
      <c r="A22" s="647"/>
      <c r="B22" s="634"/>
      <c r="C22" s="629"/>
      <c r="D22" s="648">
        <f t="shared" ref="D22:D36" si="27">B22*C22</f>
        <v>0</v>
      </c>
      <c r="E22" s="649"/>
      <c r="F22" s="600"/>
      <c r="G22" s="600"/>
      <c r="H22" s="653" t="s">
        <v>910</v>
      </c>
      <c r="I22" s="654">
        <f>IF(J22&lt;=100,validation!$R$44,IF(J22&lt;150,validation!$R$46,IF(J22&lt;200,validation!$R$48,IF(J22&lt;250,validation!$R$50,IF(J22&lt;=300,validation!$R$52,IF(J22&lt;350,validation!$R$54,IF(J22&lt;400,validation!$R$56,IF(J22&lt;500,validation!$R$58,validation!$R$60))))))))</f>
        <v>17.71</v>
      </c>
      <c r="J22" s="655">
        <v>0</v>
      </c>
      <c r="K22" s="656">
        <f t="shared" ref="K22:K23" si="28">ROUNDUP((I22*J22),0)</f>
        <v>0</v>
      </c>
      <c r="M22" s="657" t="s">
        <v>601</v>
      </c>
      <c r="N22" s="651">
        <f>'Stnd Alts'!E145</f>
        <v>5035</v>
      </c>
      <c r="O22" s="652" t="s">
        <v>592</v>
      </c>
      <c r="P22" s="590" t="s">
        <v>594</v>
      </c>
      <c r="AJ22" s="595">
        <v>15000</v>
      </c>
      <c r="AK22" s="595"/>
      <c r="AL22" s="595"/>
      <c r="AM22" s="595">
        <f t="shared" si="4"/>
        <v>15000</v>
      </c>
      <c r="AN22" s="595"/>
      <c r="AO22" s="595"/>
      <c r="AP22" s="595">
        <f t="shared" si="5"/>
        <v>30000</v>
      </c>
      <c r="AQ22" s="595"/>
      <c r="AR22" s="595"/>
      <c r="AS22" s="595">
        <f t="shared" si="6"/>
        <v>30000</v>
      </c>
      <c r="AT22" s="596" t="e">
        <f>IF(AJ22&lt;=#REF!,#REF!,IF(AJ22&lt;=#REF!,#REF!,IF(AJ22&lt;=#REF!,#REF!,IF(AJ22&lt;=#REF!,#REF!,IF(AJ22&lt;=#REF!,#REF!,IF(AJ22&lt;=#REF!,#REF!,IF(AJ22&lt;=#REF!,#REF!,0.05)))))))</f>
        <v>#REF!</v>
      </c>
      <c r="AU22" s="595" t="e">
        <f t="shared" si="7"/>
        <v>#REF!</v>
      </c>
      <c r="AV22" s="596"/>
      <c r="AW22" s="596" t="e">
        <f>IF(AM22&lt;=#REF!,#REF!,IF(AM22&lt;=#REF!,#REF!,IF(AM22&lt;=#REF!,#REF!,IF(AM22&lt;=#REF!,#REF!,IF(AM22&lt;=#REF!,#REF!,IF(AM22&lt;=#REF!,#REF!,IF(AM22&lt;=#REF!,#REF!,0.05)))))))</f>
        <v>#REF!</v>
      </c>
      <c r="AX22" s="595" t="e">
        <f t="shared" si="8"/>
        <v>#REF!</v>
      </c>
      <c r="AY22" s="596"/>
      <c r="AZ22" s="596" t="e">
        <f>IF(AP22&lt;=#REF!,#REF!,IF(AP22&lt;=#REF!,#REF!,IF(AP22&lt;=#REF!,#REF!,IF(AP22&lt;=#REF!,#REF!,IF(AP22&lt;=#REF!,#REF!,IF(AP22&lt;=#REF!,#REF!,IF(AP22&lt;=#REF!,#REF!,0.05)))))))</f>
        <v>#REF!</v>
      </c>
      <c r="BA22" s="595" t="e">
        <f t="shared" si="9"/>
        <v>#REF!</v>
      </c>
      <c r="BB22" s="596"/>
      <c r="BC22" s="597" t="e">
        <f>IF(AS22&lt;=#REF!,#REF!,IF(AS22&lt;=#REF!,#REF!,IF(AS22&lt;=#REF!,#REF!,IF(AS22&lt;=#REF!,#REF!,IF(AS22&lt;=#REF!,#REF!,IF(AS22&lt;=#REF!,#REF!,IF(AS22&lt;=#REF!,#REF!,0.05)))))))</f>
        <v>#REF!</v>
      </c>
      <c r="BD22" s="595" t="e">
        <f t="shared" si="10"/>
        <v>#REF!</v>
      </c>
      <c r="BF22" s="598" t="e">
        <f t="shared" si="11"/>
        <v>#REF!</v>
      </c>
      <c r="BH22" s="598" t="e">
        <f t="shared" si="12"/>
        <v>#REF!</v>
      </c>
      <c r="BI22" s="599" t="e">
        <f t="shared" si="13"/>
        <v>#REF!</v>
      </c>
      <c r="BJ22" s="596" t="e">
        <f t="shared" si="14"/>
        <v>#REF!</v>
      </c>
      <c r="BZ22" s="595">
        <v>15000</v>
      </c>
      <c r="CA22" s="595"/>
      <c r="CB22" s="595"/>
      <c r="CC22" s="595">
        <f t="shared" si="15"/>
        <v>15000</v>
      </c>
      <c r="CD22" s="595"/>
      <c r="CE22" s="595"/>
      <c r="CF22" s="595">
        <f t="shared" si="16"/>
        <v>30000</v>
      </c>
      <c r="CG22" s="595"/>
      <c r="CH22" s="595"/>
      <c r="CI22" s="595">
        <f t="shared" si="17"/>
        <v>30000</v>
      </c>
      <c r="CJ22" s="596">
        <f t="shared" si="0"/>
        <v>0.05</v>
      </c>
      <c r="CK22" s="595">
        <f t="shared" si="18"/>
        <v>750</v>
      </c>
      <c r="CL22" s="596"/>
      <c r="CM22" s="596">
        <f t="shared" si="1"/>
        <v>0.03</v>
      </c>
      <c r="CN22" s="595">
        <f t="shared" si="19"/>
        <v>450</v>
      </c>
      <c r="CO22" s="596"/>
      <c r="CP22" s="596">
        <f t="shared" si="2"/>
        <v>0.18</v>
      </c>
      <c r="CQ22" s="595">
        <f t="shared" si="20"/>
        <v>5616</v>
      </c>
      <c r="CR22" s="596"/>
      <c r="CS22" s="597">
        <f t="shared" si="3"/>
        <v>-0.05</v>
      </c>
      <c r="CT22" s="595">
        <f t="shared" si="21"/>
        <v>-1500</v>
      </c>
      <c r="CV22" s="598">
        <f t="shared" si="22"/>
        <v>2472.1200000000003</v>
      </c>
      <c r="CX22" s="598">
        <f t="shared" si="23"/>
        <v>37788.120000000003</v>
      </c>
      <c r="CY22" s="599">
        <f t="shared" si="24"/>
        <v>5316</v>
      </c>
      <c r="CZ22" s="596">
        <f t="shared" si="25"/>
        <v>0.14067913407705912</v>
      </c>
    </row>
    <row r="23" spans="1:116" s="585" customFormat="1">
      <c r="A23" s="647"/>
      <c r="B23" s="634"/>
      <c r="C23" s="629"/>
      <c r="D23" s="648">
        <f t="shared" si="27"/>
        <v>0</v>
      </c>
      <c r="E23" s="600"/>
      <c r="F23" s="600"/>
      <c r="G23" s="600"/>
      <c r="H23" s="635" t="s">
        <v>911</v>
      </c>
      <c r="I23" s="636">
        <f>IF(J22&lt;=100,validation!$U$44,IF(J22&lt;150,validation!$U$46,IF(J22&lt;200,validation!$U$48,IF(J22&lt;250,validation!$U$50,IF(J22&lt;=300,validation!$U$52,IF(J22&lt;350,validation!$U$54,IF(J22&lt;400,validation!$U$56,IF(J22&lt;500,validation!$U$58,validation!$U$60))))))))</f>
        <v>18.48</v>
      </c>
      <c r="J23" s="637">
        <v>0</v>
      </c>
      <c r="K23" s="638">
        <f t="shared" si="28"/>
        <v>0</v>
      </c>
      <c r="O23" s="590"/>
      <c r="AJ23" s="595">
        <v>16000</v>
      </c>
      <c r="AK23" s="595"/>
      <c r="AL23" s="595"/>
      <c r="AM23" s="595">
        <f t="shared" si="4"/>
        <v>16000</v>
      </c>
      <c r="AN23" s="595"/>
      <c r="AO23" s="595"/>
      <c r="AP23" s="595">
        <f t="shared" si="5"/>
        <v>32000</v>
      </c>
      <c r="AQ23" s="595"/>
      <c r="AR23" s="595"/>
      <c r="AS23" s="595">
        <f t="shared" si="6"/>
        <v>32000</v>
      </c>
      <c r="AT23" s="596" t="e">
        <f>IF(AJ23&lt;=#REF!,#REF!,IF(AJ23&lt;=#REF!,#REF!,IF(AJ23&lt;=#REF!,#REF!,IF(AJ23&lt;=#REF!,#REF!,IF(AJ23&lt;=#REF!,#REF!,IF(AJ23&lt;=#REF!,#REF!,IF(AJ23&lt;=#REF!,#REF!,0.05)))))))</f>
        <v>#REF!</v>
      </c>
      <c r="AU23" s="595" t="e">
        <f t="shared" si="7"/>
        <v>#REF!</v>
      </c>
      <c r="AV23" s="596"/>
      <c r="AW23" s="596" t="e">
        <f>IF(AM23&lt;=#REF!,#REF!,IF(AM23&lt;=#REF!,#REF!,IF(AM23&lt;=#REF!,#REF!,IF(AM23&lt;=#REF!,#REF!,IF(AM23&lt;=#REF!,#REF!,IF(AM23&lt;=#REF!,#REF!,IF(AM23&lt;=#REF!,#REF!,0.05)))))))</f>
        <v>#REF!</v>
      </c>
      <c r="AX23" s="595" t="e">
        <f t="shared" si="8"/>
        <v>#REF!</v>
      </c>
      <c r="AY23" s="596"/>
      <c r="AZ23" s="596" t="e">
        <f>IF(AP23&lt;=#REF!,#REF!,IF(AP23&lt;=#REF!,#REF!,IF(AP23&lt;=#REF!,#REF!,IF(AP23&lt;=#REF!,#REF!,IF(AP23&lt;=#REF!,#REF!,IF(AP23&lt;=#REF!,#REF!,IF(AP23&lt;=#REF!,#REF!,0.05)))))))</f>
        <v>#REF!</v>
      </c>
      <c r="BA23" s="595" t="e">
        <f t="shared" si="9"/>
        <v>#REF!</v>
      </c>
      <c r="BB23" s="596"/>
      <c r="BC23" s="597" t="e">
        <f>IF(AS23&lt;=#REF!,#REF!,IF(AS23&lt;=#REF!,#REF!,IF(AS23&lt;=#REF!,#REF!,IF(AS23&lt;=#REF!,#REF!,IF(AS23&lt;=#REF!,#REF!,IF(AS23&lt;=#REF!,#REF!,IF(AS23&lt;=#REF!,#REF!,0.05)))))))</f>
        <v>#REF!</v>
      </c>
      <c r="BD23" s="595" t="e">
        <f t="shared" si="10"/>
        <v>#REF!</v>
      </c>
      <c r="BF23" s="598" t="e">
        <f t="shared" si="11"/>
        <v>#REF!</v>
      </c>
      <c r="BH23" s="598" t="e">
        <f t="shared" si="12"/>
        <v>#REF!</v>
      </c>
      <c r="BI23" s="599" t="e">
        <f t="shared" si="13"/>
        <v>#REF!</v>
      </c>
      <c r="BJ23" s="596" t="e">
        <f t="shared" si="14"/>
        <v>#REF!</v>
      </c>
      <c r="BZ23" s="595">
        <v>16000</v>
      </c>
      <c r="CA23" s="595"/>
      <c r="CB23" s="595"/>
      <c r="CC23" s="595">
        <f t="shared" si="15"/>
        <v>16000</v>
      </c>
      <c r="CD23" s="595"/>
      <c r="CE23" s="595"/>
      <c r="CF23" s="595">
        <f t="shared" si="16"/>
        <v>32000</v>
      </c>
      <c r="CG23" s="595"/>
      <c r="CH23" s="595"/>
      <c r="CI23" s="595">
        <f t="shared" si="17"/>
        <v>32000</v>
      </c>
      <c r="CJ23" s="596">
        <f t="shared" si="0"/>
        <v>0.05</v>
      </c>
      <c r="CK23" s="595">
        <f t="shared" si="18"/>
        <v>800</v>
      </c>
      <c r="CL23" s="596"/>
      <c r="CM23" s="596">
        <f t="shared" si="1"/>
        <v>0.03</v>
      </c>
      <c r="CN23" s="595">
        <f t="shared" si="19"/>
        <v>480</v>
      </c>
      <c r="CO23" s="596"/>
      <c r="CP23" s="596">
        <f t="shared" si="2"/>
        <v>0.18</v>
      </c>
      <c r="CQ23" s="595">
        <f t="shared" si="20"/>
        <v>5990.4</v>
      </c>
      <c r="CR23" s="596"/>
      <c r="CS23" s="597">
        <f t="shared" si="3"/>
        <v>-0.05</v>
      </c>
      <c r="CT23" s="595">
        <f t="shared" si="21"/>
        <v>-1600</v>
      </c>
      <c r="CV23" s="598">
        <f t="shared" si="22"/>
        <v>2636.9280000000003</v>
      </c>
      <c r="CX23" s="598">
        <f t="shared" si="23"/>
        <v>40307.328000000001</v>
      </c>
      <c r="CY23" s="599">
        <f t="shared" si="24"/>
        <v>5670.4</v>
      </c>
      <c r="CZ23" s="596">
        <f t="shared" si="25"/>
        <v>0.14067913407705912</v>
      </c>
    </row>
    <row r="24" spans="1:116" s="585" customFormat="1">
      <c r="A24" s="647"/>
      <c r="B24" s="634"/>
      <c r="C24" s="629"/>
      <c r="D24" s="648">
        <f t="shared" si="27"/>
        <v>0</v>
      </c>
      <c r="E24" s="600"/>
      <c r="F24" s="600"/>
      <c r="G24" s="600"/>
      <c r="H24" s="658" t="s">
        <v>570</v>
      </c>
      <c r="I24" s="659">
        <v>86</v>
      </c>
      <c r="J24" s="660">
        <f>(SUM(D18:D19))</f>
        <v>0</v>
      </c>
      <c r="K24" s="661">
        <f>ROUND(J24/I24,0)</f>
        <v>0</v>
      </c>
      <c r="L24" s="662" t="s">
        <v>571</v>
      </c>
      <c r="O24" s="630"/>
      <c r="AJ24" s="664">
        <v>17000</v>
      </c>
      <c r="AK24" s="664"/>
      <c r="AL24" s="664"/>
      <c r="AM24" s="664">
        <f t="shared" si="4"/>
        <v>17000</v>
      </c>
      <c r="AN24" s="664"/>
      <c r="AO24" s="664"/>
      <c r="AP24" s="664">
        <f t="shared" si="5"/>
        <v>34000</v>
      </c>
      <c r="AQ24" s="664"/>
      <c r="AR24" s="664"/>
      <c r="AS24" s="595">
        <f t="shared" si="6"/>
        <v>34000</v>
      </c>
      <c r="AT24" s="665" t="e">
        <f>IF(AJ24&lt;=#REF!,#REF!,IF(AJ24&lt;=#REF!,#REF!,IF(AJ24&lt;=#REF!,#REF!,IF(AJ24&lt;=#REF!,#REF!,IF(AJ24&lt;=#REF!,#REF!,IF(AJ24&lt;=#REF!,#REF!,IF(AJ24&lt;=#REF!,#REF!,0.05)))))))</f>
        <v>#REF!</v>
      </c>
      <c r="AU24" s="664" t="e">
        <f t="shared" si="7"/>
        <v>#REF!</v>
      </c>
      <c r="AV24" s="665"/>
      <c r="AW24" s="665" t="e">
        <f>IF(AM24&lt;=#REF!,#REF!,IF(AM24&lt;=#REF!,#REF!,IF(AM24&lt;=#REF!,#REF!,IF(AM24&lt;=#REF!,#REF!,IF(AM24&lt;=#REF!,#REF!,IF(AM24&lt;=#REF!,#REF!,IF(AM24&lt;=#REF!,#REF!,0.05)))))))</f>
        <v>#REF!</v>
      </c>
      <c r="AX24" s="664" t="e">
        <f t="shared" si="8"/>
        <v>#REF!</v>
      </c>
      <c r="AY24" s="665"/>
      <c r="AZ24" s="665" t="e">
        <f>IF(AP24&lt;=#REF!,#REF!,IF(AP24&lt;=#REF!,#REF!,IF(AP24&lt;=#REF!,#REF!,IF(AP24&lt;=#REF!,#REF!,IF(AP24&lt;=#REF!,#REF!,IF(AP24&lt;=#REF!,#REF!,IF(AP24&lt;=#REF!,#REF!,0.05)))))))</f>
        <v>#REF!</v>
      </c>
      <c r="BA24" s="595" t="e">
        <f t="shared" si="9"/>
        <v>#REF!</v>
      </c>
      <c r="BB24" s="665"/>
      <c r="BC24" s="666" t="e">
        <f>IF(AS24&lt;=#REF!,#REF!,IF(AS24&lt;=#REF!,#REF!,IF(AS24&lt;=#REF!,#REF!,IF(AS24&lt;=#REF!,#REF!,IF(AS24&lt;=#REF!,#REF!,IF(AS24&lt;=#REF!,#REF!,IF(AS24&lt;=#REF!,#REF!,0.05)))))))</f>
        <v>#REF!</v>
      </c>
      <c r="BD24" s="664" t="e">
        <f t="shared" si="10"/>
        <v>#REF!</v>
      </c>
      <c r="BE24" s="667"/>
      <c r="BF24" s="668" t="e">
        <f t="shared" si="11"/>
        <v>#REF!</v>
      </c>
      <c r="BG24" s="667"/>
      <c r="BH24" s="668" t="e">
        <f t="shared" si="12"/>
        <v>#REF!</v>
      </c>
      <c r="BI24" s="669" t="e">
        <f t="shared" si="13"/>
        <v>#REF!</v>
      </c>
      <c r="BJ24" s="665" t="e">
        <f t="shared" si="14"/>
        <v>#REF!</v>
      </c>
      <c r="BZ24" s="664">
        <v>17000</v>
      </c>
      <c r="CA24" s="664"/>
      <c r="CB24" s="664"/>
      <c r="CC24" s="664">
        <f t="shared" si="15"/>
        <v>17000</v>
      </c>
      <c r="CD24" s="664"/>
      <c r="CE24" s="664"/>
      <c r="CF24" s="664">
        <f t="shared" si="16"/>
        <v>34000</v>
      </c>
      <c r="CG24" s="664"/>
      <c r="CH24" s="664"/>
      <c r="CI24" s="595">
        <f t="shared" si="17"/>
        <v>34000</v>
      </c>
      <c r="CJ24" s="665">
        <f t="shared" si="0"/>
        <v>0.05</v>
      </c>
      <c r="CK24" s="664">
        <f t="shared" si="18"/>
        <v>850</v>
      </c>
      <c r="CL24" s="665"/>
      <c r="CM24" s="665">
        <f t="shared" si="1"/>
        <v>0.03</v>
      </c>
      <c r="CN24" s="664">
        <f t="shared" si="19"/>
        <v>510</v>
      </c>
      <c r="CO24" s="665"/>
      <c r="CP24" s="665">
        <f t="shared" si="2"/>
        <v>0.18</v>
      </c>
      <c r="CQ24" s="595">
        <f t="shared" si="20"/>
        <v>6364.8</v>
      </c>
      <c r="CR24" s="665"/>
      <c r="CS24" s="666">
        <f t="shared" si="3"/>
        <v>-0.05</v>
      </c>
      <c r="CT24" s="664">
        <f t="shared" si="21"/>
        <v>-1700</v>
      </c>
      <c r="CU24" s="667"/>
      <c r="CV24" s="668">
        <f t="shared" si="22"/>
        <v>2801.7360000000003</v>
      </c>
      <c r="CW24" s="667"/>
      <c r="CX24" s="668">
        <f t="shared" si="23"/>
        <v>42826.536</v>
      </c>
      <c r="CY24" s="669">
        <f t="shared" si="24"/>
        <v>6024.8</v>
      </c>
      <c r="CZ24" s="665">
        <f>CY24/CX24</f>
        <v>0.14067913407705915</v>
      </c>
    </row>
    <row r="25" spans="1:116" s="585" customFormat="1">
      <c r="A25" s="647"/>
      <c r="B25" s="634"/>
      <c r="C25" s="629"/>
      <c r="D25" s="648">
        <f t="shared" si="27"/>
        <v>0</v>
      </c>
      <c r="E25" s="600"/>
      <c r="F25" s="600"/>
      <c r="G25" s="600"/>
      <c r="H25" s="670" t="s">
        <v>572</v>
      </c>
      <c r="I25" s="671">
        <v>59</v>
      </c>
      <c r="J25" s="672">
        <f>(SUM(D18:D19))</f>
        <v>0</v>
      </c>
      <c r="K25" s="673">
        <f>ROUND(J25/I25,0)</f>
        <v>0</v>
      </c>
      <c r="L25" s="662" t="s">
        <v>573</v>
      </c>
      <c r="O25" s="663" t="s">
        <v>944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  <c r="AJ25" s="595">
        <v>18000</v>
      </c>
      <c r="AK25" s="595"/>
      <c r="AL25" s="595"/>
      <c r="AM25" s="595">
        <f t="shared" si="4"/>
        <v>18000</v>
      </c>
      <c r="AN25" s="595"/>
      <c r="AO25" s="595"/>
      <c r="AP25" s="595">
        <f t="shared" si="5"/>
        <v>36000</v>
      </c>
      <c r="AQ25" s="595"/>
      <c r="AR25" s="595"/>
      <c r="AS25" s="595">
        <f t="shared" si="6"/>
        <v>36000</v>
      </c>
      <c r="AT25" s="596" t="e">
        <f>IF(AJ25&lt;=#REF!,#REF!,IF(AJ25&lt;=#REF!,#REF!,IF(AJ25&lt;=#REF!,#REF!,IF(AJ25&lt;=#REF!,#REF!,IF(AJ25&lt;=#REF!,#REF!,IF(AJ25&lt;=#REF!,#REF!,IF(AJ25&lt;=#REF!,#REF!,0.05)))))))</f>
        <v>#REF!</v>
      </c>
      <c r="AU25" s="595" t="e">
        <f t="shared" si="7"/>
        <v>#REF!</v>
      </c>
      <c r="AV25" s="596"/>
      <c r="AW25" s="596" t="e">
        <f>IF(AM25&lt;=#REF!,#REF!,IF(AM25&lt;=#REF!,#REF!,IF(AM25&lt;=#REF!,#REF!,IF(AM25&lt;=#REF!,#REF!,IF(AM25&lt;=#REF!,#REF!,IF(AM25&lt;=#REF!,#REF!,IF(AM25&lt;=#REF!,#REF!,0.05)))))))</f>
        <v>#REF!</v>
      </c>
      <c r="AX25" s="595" t="e">
        <f t="shared" si="8"/>
        <v>#REF!</v>
      </c>
      <c r="AY25" s="596"/>
      <c r="AZ25" s="596" t="e">
        <f>IF(AP25&lt;=#REF!,#REF!,IF(AP25&lt;=#REF!,#REF!,IF(AP25&lt;=#REF!,#REF!,IF(AP25&lt;=#REF!,#REF!,IF(AP25&lt;=#REF!,#REF!,IF(AP25&lt;=#REF!,#REF!,IF(AP25&lt;=#REF!,#REF!,0.05)))))))</f>
        <v>#REF!</v>
      </c>
      <c r="BA25" s="595" t="e">
        <f t="shared" si="9"/>
        <v>#REF!</v>
      </c>
      <c r="BB25" s="596"/>
      <c r="BC25" s="597" t="e">
        <f>IF(AS25&lt;=#REF!,#REF!,IF(AS25&lt;=#REF!,#REF!,IF(AS25&lt;=#REF!,#REF!,IF(AS25&lt;=#REF!,#REF!,IF(AS25&lt;=#REF!,#REF!,IF(AS25&lt;=#REF!,#REF!,IF(AS25&lt;=#REF!,#REF!,0.05)))))))</f>
        <v>#REF!</v>
      </c>
      <c r="BD25" s="595" t="e">
        <f t="shared" si="10"/>
        <v>#REF!</v>
      </c>
      <c r="BF25" s="598" t="e">
        <f t="shared" si="11"/>
        <v>#REF!</v>
      </c>
      <c r="BH25" s="598" t="e">
        <f t="shared" si="12"/>
        <v>#REF!</v>
      </c>
      <c r="BI25" s="599" t="e">
        <f t="shared" si="13"/>
        <v>#REF!</v>
      </c>
      <c r="BJ25" s="596" t="e">
        <f t="shared" si="14"/>
        <v>#REF!</v>
      </c>
      <c r="BZ25" s="595">
        <v>18000</v>
      </c>
      <c r="CA25" s="595"/>
      <c r="CB25" s="595"/>
      <c r="CC25" s="595">
        <f t="shared" si="15"/>
        <v>18000</v>
      </c>
      <c r="CD25" s="595"/>
      <c r="CE25" s="595"/>
      <c r="CF25" s="595">
        <f t="shared" si="16"/>
        <v>36000</v>
      </c>
      <c r="CG25" s="595"/>
      <c r="CH25" s="595"/>
      <c r="CI25" s="595">
        <f t="shared" si="17"/>
        <v>36000</v>
      </c>
      <c r="CJ25" s="596">
        <f t="shared" si="0"/>
        <v>0.05</v>
      </c>
      <c r="CK25" s="595">
        <f t="shared" si="18"/>
        <v>900</v>
      </c>
      <c r="CL25" s="596"/>
      <c r="CM25" s="596">
        <f t="shared" si="1"/>
        <v>0.03</v>
      </c>
      <c r="CN25" s="595">
        <f t="shared" si="19"/>
        <v>540</v>
      </c>
      <c r="CO25" s="596"/>
      <c r="CP25" s="596">
        <f t="shared" si="2"/>
        <v>0.18</v>
      </c>
      <c r="CQ25" s="595">
        <f t="shared" si="20"/>
        <v>6739.2</v>
      </c>
      <c r="CR25" s="596"/>
      <c r="CS25" s="597">
        <f t="shared" si="3"/>
        <v>-5.5E-2</v>
      </c>
      <c r="CT25" s="595">
        <f t="shared" si="21"/>
        <v>-1980</v>
      </c>
      <c r="CV25" s="598">
        <f t="shared" si="22"/>
        <v>2953.944</v>
      </c>
      <c r="CX25" s="598">
        <f t="shared" si="23"/>
        <v>45153.144</v>
      </c>
      <c r="CY25" s="599">
        <f t="shared" si="24"/>
        <v>6199.2</v>
      </c>
      <c r="CZ25" s="596">
        <f t="shared" si="25"/>
        <v>0.13729276526126286</v>
      </c>
    </row>
    <row r="26" spans="1:116" s="585" customFormat="1">
      <c r="A26" s="647"/>
      <c r="B26" s="634"/>
      <c r="C26" s="629"/>
      <c r="D26" s="648">
        <f t="shared" si="27"/>
        <v>0</v>
      </c>
      <c r="E26" s="600"/>
      <c r="F26" s="600"/>
      <c r="G26" s="600"/>
      <c r="I26" s="590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  <c r="AJ26" s="595">
        <v>19000</v>
      </c>
      <c r="AK26" s="595"/>
      <c r="AL26" s="595"/>
      <c r="AM26" s="595">
        <f t="shared" si="4"/>
        <v>19000</v>
      </c>
      <c r="AN26" s="595"/>
      <c r="AO26" s="595"/>
      <c r="AP26" s="595">
        <f t="shared" si="5"/>
        <v>38000</v>
      </c>
      <c r="AQ26" s="595"/>
      <c r="AR26" s="595"/>
      <c r="AS26" s="595">
        <f t="shared" si="6"/>
        <v>38000</v>
      </c>
      <c r="AT26" s="596" t="e">
        <f>IF(AJ26&lt;=#REF!,#REF!,IF(AJ26&lt;=#REF!,#REF!,IF(AJ26&lt;=#REF!,#REF!,IF(AJ26&lt;=#REF!,#REF!,IF(AJ26&lt;=#REF!,#REF!,IF(AJ26&lt;=#REF!,#REF!,IF(AJ26&lt;=#REF!,#REF!,0.05)))))))</f>
        <v>#REF!</v>
      </c>
      <c r="AU26" s="595" t="e">
        <f t="shared" si="7"/>
        <v>#REF!</v>
      </c>
      <c r="AV26" s="596"/>
      <c r="AW26" s="596" t="e">
        <f>IF(AM26&lt;=#REF!,#REF!,IF(AM26&lt;=#REF!,#REF!,IF(AM26&lt;=#REF!,#REF!,IF(AM26&lt;=#REF!,#REF!,IF(AM26&lt;=#REF!,#REF!,IF(AM26&lt;=#REF!,#REF!,IF(AM26&lt;=#REF!,#REF!,0.05)))))))</f>
        <v>#REF!</v>
      </c>
      <c r="AX26" s="595" t="e">
        <f t="shared" si="8"/>
        <v>#REF!</v>
      </c>
      <c r="AY26" s="596"/>
      <c r="AZ26" s="596" t="e">
        <f>IF(AP26&lt;=#REF!,#REF!,IF(AP26&lt;=#REF!,#REF!,IF(AP26&lt;=#REF!,#REF!,IF(AP26&lt;=#REF!,#REF!,IF(AP26&lt;=#REF!,#REF!,IF(AP26&lt;=#REF!,#REF!,IF(AP26&lt;=#REF!,#REF!,0.05)))))))</f>
        <v>#REF!</v>
      </c>
      <c r="BA26" s="595" t="e">
        <f t="shared" si="9"/>
        <v>#REF!</v>
      </c>
      <c r="BB26" s="596"/>
      <c r="BC26" s="597" t="e">
        <f>IF(AS26&lt;=#REF!,#REF!,IF(AS26&lt;=#REF!,#REF!,IF(AS26&lt;=#REF!,#REF!,IF(AS26&lt;=#REF!,#REF!,IF(AS26&lt;=#REF!,#REF!,IF(AS26&lt;=#REF!,#REF!,IF(AS26&lt;=#REF!,#REF!,0.05)))))))</f>
        <v>#REF!</v>
      </c>
      <c r="BD26" s="595" t="e">
        <f t="shared" si="10"/>
        <v>#REF!</v>
      </c>
      <c r="BF26" s="598" t="e">
        <f t="shared" si="11"/>
        <v>#REF!</v>
      </c>
      <c r="BH26" s="598" t="e">
        <f t="shared" si="12"/>
        <v>#REF!</v>
      </c>
      <c r="BI26" s="599" t="e">
        <f t="shared" si="13"/>
        <v>#REF!</v>
      </c>
      <c r="BJ26" s="596" t="e">
        <f t="shared" si="14"/>
        <v>#REF!</v>
      </c>
      <c r="BZ26" s="595">
        <v>19000</v>
      </c>
      <c r="CA26" s="595"/>
      <c r="CB26" s="595"/>
      <c r="CC26" s="595">
        <f t="shared" si="15"/>
        <v>19000</v>
      </c>
      <c r="CD26" s="595"/>
      <c r="CE26" s="595"/>
      <c r="CF26" s="595">
        <f t="shared" si="16"/>
        <v>38000</v>
      </c>
      <c r="CG26" s="595"/>
      <c r="CH26" s="595"/>
      <c r="CI26" s="595">
        <f t="shared" si="17"/>
        <v>38000</v>
      </c>
      <c r="CJ26" s="596">
        <f t="shared" si="0"/>
        <v>0.05</v>
      </c>
      <c r="CK26" s="595">
        <f t="shared" si="18"/>
        <v>950</v>
      </c>
      <c r="CL26" s="596"/>
      <c r="CM26" s="596">
        <f t="shared" si="1"/>
        <v>0.03</v>
      </c>
      <c r="CN26" s="595">
        <f t="shared" si="19"/>
        <v>570</v>
      </c>
      <c r="CO26" s="596"/>
      <c r="CP26" s="596">
        <f t="shared" si="2"/>
        <v>0.18</v>
      </c>
      <c r="CQ26" s="595">
        <f t="shared" si="20"/>
        <v>7113.5999999999995</v>
      </c>
      <c r="CR26" s="596"/>
      <c r="CS26" s="597">
        <f t="shared" si="3"/>
        <v>-5.5E-2</v>
      </c>
      <c r="CT26" s="595">
        <f t="shared" si="21"/>
        <v>-2090</v>
      </c>
      <c r="CV26" s="598">
        <f t="shared" si="22"/>
        <v>3118.0520000000001</v>
      </c>
      <c r="CX26" s="598">
        <f t="shared" si="23"/>
        <v>47661.652000000002</v>
      </c>
      <c r="CY26" s="599">
        <f t="shared" si="24"/>
        <v>6543.5999999999995</v>
      </c>
      <c r="CZ26" s="596">
        <f t="shared" si="25"/>
        <v>0.13729276526126286</v>
      </c>
    </row>
    <row r="27" spans="1:116" s="585" customFormat="1">
      <c r="A27" s="647"/>
      <c r="B27" s="634"/>
      <c r="C27" s="629"/>
      <c r="D27" s="648">
        <f t="shared" si="27"/>
        <v>0</v>
      </c>
      <c r="E27" s="600"/>
      <c r="F27" s="600"/>
      <c r="G27" s="600"/>
      <c r="H27" s="600"/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  <c r="AV27" s="595">
        <v>20000</v>
      </c>
      <c r="AW27" s="595"/>
      <c r="AX27" s="595"/>
      <c r="AY27" s="595">
        <f t="shared" si="4"/>
        <v>20000</v>
      </c>
      <c r="AZ27" s="595"/>
      <c r="BA27" s="595"/>
      <c r="BB27" s="595">
        <f t="shared" si="5"/>
        <v>40000</v>
      </c>
      <c r="BC27" s="595"/>
      <c r="BD27" s="595"/>
      <c r="BE27" s="595">
        <f t="shared" si="6"/>
        <v>40000</v>
      </c>
      <c r="BF27" s="596" t="e">
        <f>IF(AV27&lt;=#REF!,#REF!,IF(AV27&lt;=#REF!,#REF!,IF(AV27&lt;=#REF!,#REF!,IF(AV27&lt;=#REF!,#REF!,IF(AV27&lt;=#REF!,#REF!,IF(AV27&lt;=#REF!,#REF!,IF(AV27&lt;=#REF!,#REF!,0.05)))))))</f>
        <v>#REF!</v>
      </c>
      <c r="BG27" s="595" t="e">
        <f t="shared" si="7"/>
        <v>#REF!</v>
      </c>
      <c r="BH27" s="596"/>
      <c r="BI27" s="596" t="e">
        <f>IF(AY27&lt;=#REF!,#REF!,IF(AY27&lt;=#REF!,#REF!,IF(AY27&lt;=#REF!,#REF!,IF(AY27&lt;=#REF!,#REF!,IF(AY27&lt;=#REF!,#REF!,IF(AY27&lt;=#REF!,#REF!,IF(AY27&lt;=#REF!,#REF!,0.05)))))))</f>
        <v>#REF!</v>
      </c>
      <c r="BJ27" s="595" t="e">
        <f t="shared" si="8"/>
        <v>#REF!</v>
      </c>
      <c r="BK27" s="596"/>
      <c r="BL27" s="596" t="e">
        <f>IF(BB27&lt;=#REF!,#REF!,IF(BB27&lt;=#REF!,#REF!,IF(BB27&lt;=#REF!,#REF!,IF(BB27&lt;=#REF!,#REF!,IF(BB27&lt;=#REF!,#REF!,IF(BB27&lt;=#REF!,#REF!,IF(BB27&lt;=#REF!,#REF!,0.05)))))))</f>
        <v>#REF!</v>
      </c>
      <c r="BM27" s="595" t="e">
        <f t="shared" si="9"/>
        <v>#REF!</v>
      </c>
      <c r="BN27" s="596"/>
      <c r="BO27" s="597" t="e">
        <f>IF(BE27&lt;=#REF!,#REF!,IF(BE27&lt;=#REF!,#REF!,IF(BE27&lt;=#REF!,#REF!,IF(BE27&lt;=#REF!,#REF!,IF(BE27&lt;=#REF!,#REF!,IF(BE27&lt;=#REF!,#REF!,IF(BE27&lt;=#REF!,#REF!,0.05)))))))</f>
        <v>#REF!</v>
      </c>
      <c r="BP27" s="595" t="e">
        <f t="shared" si="10"/>
        <v>#REF!</v>
      </c>
      <c r="BR27" s="598" t="e">
        <f t="shared" si="11"/>
        <v>#REF!</v>
      </c>
      <c r="BT27" s="598" t="e">
        <f t="shared" si="12"/>
        <v>#REF!</v>
      </c>
      <c r="BU27" s="599" t="e">
        <f t="shared" si="13"/>
        <v>#REF!</v>
      </c>
      <c r="BV27" s="596" t="e">
        <f t="shared" si="14"/>
        <v>#REF!</v>
      </c>
      <c r="CL27" s="595">
        <v>20000</v>
      </c>
      <c r="CM27" s="595"/>
      <c r="CN27" s="595"/>
      <c r="CO27" s="595">
        <f t="shared" si="15"/>
        <v>20000</v>
      </c>
      <c r="CP27" s="595"/>
      <c r="CQ27" s="595"/>
      <c r="CR27" s="595">
        <f t="shared" si="16"/>
        <v>40000</v>
      </c>
      <c r="CS27" s="595"/>
      <c r="CT27" s="595"/>
      <c r="CU27" s="595">
        <f t="shared" si="17"/>
        <v>40000</v>
      </c>
      <c r="CV27" s="596">
        <f t="shared" ref="CV27:CV49" si="29">IF(CL27&lt;=BN$4,BM$4,IF(CL27&lt;=BN$5,BM$5,IF(CL27&lt;=BN$6,BM$6,IF(CL27&lt;=BN$7,BM$7,IF(CL27&lt;=BN$12,BM$12,IF(CL27&lt;=BN$13,BM$13,IF(CL27&lt;=BN$14,BM$14,0.05)))))))</f>
        <v>0.05</v>
      </c>
      <c r="CW27" s="595">
        <f t="shared" si="18"/>
        <v>1000</v>
      </c>
      <c r="CX27" s="596"/>
      <c r="CY27" s="596">
        <f t="shared" ref="CY27:CY49" si="30">IF(CO27&lt;=BQ$4,BP$4,IF(CO27&lt;=BQ$5,BP$5,IF(CO27&lt;=BQ$6,BP$6,IF(CO27&lt;=BQ$7,BP$7,IF(CO27&lt;=BQ$12,BP$12,IF(CO27&lt;=BQ$13,BP$13,IF(CO27&lt;=BQ$14,BP$14,0.05)))))))</f>
        <v>0.03</v>
      </c>
      <c r="CZ27" s="595">
        <f t="shared" si="19"/>
        <v>600</v>
      </c>
      <c r="DA27" s="596"/>
      <c r="DB27" s="596">
        <f t="shared" ref="DB27:DB49" si="31">IF(CR27&lt;=BT$4,BS$4,IF(CR27&lt;=BT$5,BS$5,IF(CR27&lt;=BT$6,BS$6,IF(CR27&lt;=BT$7,BS$7,IF(CR27&lt;=BT$12,BS$12,IF(CR27&lt;=BT$13,BS$13,IF(CR27&lt;=BT$14,BS$14,0.05)))))))</f>
        <v>0.18</v>
      </c>
      <c r="DC27" s="595">
        <f t="shared" si="20"/>
        <v>7488</v>
      </c>
      <c r="DD27" s="596"/>
      <c r="DE27" s="597">
        <f t="shared" ref="DE27:DE49" si="32">IF(CU27&lt;=BW$4,BV$4,IF(CU27&lt;=BW$5,BV$5,IF(CU27&lt;=BW$6,BV$6,IF(CU27&lt;=BW$7,BV$7,IF(CU27&lt;=BW$12,BV$12,IF(CU27&lt;=BW$13,BV$13,IF(CU27&lt;=BW$14,BV$14,0.05)))))))</f>
        <v>-5.5E-2</v>
      </c>
      <c r="DF27" s="595">
        <f t="shared" si="21"/>
        <v>-2200</v>
      </c>
      <c r="DH27" s="598">
        <f t="shared" si="22"/>
        <v>3282.1600000000003</v>
      </c>
      <c r="DJ27" s="598">
        <f t="shared" si="23"/>
        <v>50170.16</v>
      </c>
      <c r="DK27" s="599">
        <f t="shared" si="24"/>
        <v>6888</v>
      </c>
      <c r="DL27" s="596">
        <f t="shared" si="25"/>
        <v>0.13729276526126286</v>
      </c>
    </row>
    <row r="28" spans="1:116" s="585" customFormat="1">
      <c r="A28" s="641" t="s">
        <v>205</v>
      </c>
      <c r="B28" s="678"/>
      <c r="C28" s="679"/>
      <c r="D28" s="680"/>
      <c r="E28" s="600"/>
      <c r="F28" s="600"/>
      <c r="G28" s="600"/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  <c r="AV28" s="595">
        <v>21000</v>
      </c>
      <c r="AW28" s="595"/>
      <c r="AX28" s="595"/>
      <c r="AY28" s="595">
        <f t="shared" si="4"/>
        <v>21000</v>
      </c>
      <c r="AZ28" s="595"/>
      <c r="BA28" s="595"/>
      <c r="BB28" s="595">
        <f t="shared" si="5"/>
        <v>42000</v>
      </c>
      <c r="BC28" s="595"/>
      <c r="BD28" s="595"/>
      <c r="BE28" s="595">
        <f t="shared" si="6"/>
        <v>42000</v>
      </c>
      <c r="BF28" s="596" t="e">
        <f>IF(AV28&lt;=#REF!,#REF!,IF(AV28&lt;=#REF!,#REF!,IF(AV28&lt;=#REF!,#REF!,IF(AV28&lt;=#REF!,#REF!,IF(AV28&lt;=#REF!,#REF!,IF(AV28&lt;=#REF!,#REF!,IF(AV28&lt;=#REF!,#REF!,0.05)))))))</f>
        <v>#REF!</v>
      </c>
      <c r="BG28" s="595" t="e">
        <f t="shared" si="7"/>
        <v>#REF!</v>
      </c>
      <c r="BH28" s="596"/>
      <c r="BI28" s="596" t="e">
        <f>IF(AY28&lt;=#REF!,#REF!,IF(AY28&lt;=#REF!,#REF!,IF(AY28&lt;=#REF!,#REF!,IF(AY28&lt;=#REF!,#REF!,IF(AY28&lt;=#REF!,#REF!,IF(AY28&lt;=#REF!,#REF!,IF(AY28&lt;=#REF!,#REF!,0.05)))))))</f>
        <v>#REF!</v>
      </c>
      <c r="BJ28" s="595" t="e">
        <f t="shared" si="8"/>
        <v>#REF!</v>
      </c>
      <c r="BK28" s="596"/>
      <c r="BL28" s="596" t="e">
        <f>IF(BB28&lt;=#REF!,#REF!,IF(BB28&lt;=#REF!,#REF!,IF(BB28&lt;=#REF!,#REF!,IF(BB28&lt;=#REF!,#REF!,IF(BB28&lt;=#REF!,#REF!,IF(BB28&lt;=#REF!,#REF!,IF(BB28&lt;=#REF!,#REF!,0.05)))))))</f>
        <v>#REF!</v>
      </c>
      <c r="BM28" s="595" t="e">
        <f t="shared" si="9"/>
        <v>#REF!</v>
      </c>
      <c r="BN28" s="596"/>
      <c r="BO28" s="597" t="e">
        <f>IF(BE28&lt;=#REF!,#REF!,IF(BE28&lt;=#REF!,#REF!,IF(BE28&lt;=#REF!,#REF!,IF(BE28&lt;=#REF!,#REF!,IF(BE28&lt;=#REF!,#REF!,IF(BE28&lt;=#REF!,#REF!,IF(BE28&lt;=#REF!,#REF!,0.05)))))))</f>
        <v>#REF!</v>
      </c>
      <c r="BP28" s="595" t="e">
        <f t="shared" si="10"/>
        <v>#REF!</v>
      </c>
      <c r="BR28" s="598" t="e">
        <f t="shared" si="11"/>
        <v>#REF!</v>
      </c>
      <c r="BT28" s="598" t="e">
        <f t="shared" si="12"/>
        <v>#REF!</v>
      </c>
      <c r="BU28" s="599" t="e">
        <f t="shared" si="13"/>
        <v>#REF!</v>
      </c>
      <c r="BV28" s="596" t="e">
        <f t="shared" si="14"/>
        <v>#REF!</v>
      </c>
      <c r="CL28" s="595">
        <v>21000</v>
      </c>
      <c r="CM28" s="595"/>
      <c r="CN28" s="595"/>
      <c r="CO28" s="595">
        <f t="shared" si="15"/>
        <v>21000</v>
      </c>
      <c r="CP28" s="595"/>
      <c r="CQ28" s="595"/>
      <c r="CR28" s="595">
        <f t="shared" si="16"/>
        <v>42000</v>
      </c>
      <c r="CS28" s="595"/>
      <c r="CT28" s="595"/>
      <c r="CU28" s="595">
        <f t="shared" si="17"/>
        <v>42000</v>
      </c>
      <c r="CV28" s="596">
        <f t="shared" si="29"/>
        <v>0.05</v>
      </c>
      <c r="CW28" s="595">
        <f t="shared" si="18"/>
        <v>1050</v>
      </c>
      <c r="CX28" s="596"/>
      <c r="CY28" s="596">
        <f t="shared" si="30"/>
        <v>0.03</v>
      </c>
      <c r="CZ28" s="595">
        <f t="shared" si="19"/>
        <v>630</v>
      </c>
      <c r="DA28" s="596"/>
      <c r="DB28" s="596">
        <f t="shared" si="31"/>
        <v>0.18</v>
      </c>
      <c r="DC28" s="595">
        <f t="shared" si="20"/>
        <v>7862.4</v>
      </c>
      <c r="DD28" s="596"/>
      <c r="DE28" s="597">
        <f t="shared" si="32"/>
        <v>-5.5E-2</v>
      </c>
      <c r="DF28" s="595">
        <f t="shared" si="21"/>
        <v>-2310</v>
      </c>
      <c r="DH28" s="598">
        <f t="shared" si="22"/>
        <v>3446.2680000000005</v>
      </c>
      <c r="DJ28" s="598">
        <f t="shared" si="23"/>
        <v>52678.667999999998</v>
      </c>
      <c r="DK28" s="599">
        <f t="shared" si="24"/>
        <v>7232.4</v>
      </c>
      <c r="DL28" s="596">
        <f t="shared" si="25"/>
        <v>0.13729276526126286</v>
      </c>
    </row>
    <row r="29" spans="1:116" s="585" customFormat="1">
      <c r="A29" s="647"/>
      <c r="B29" s="634"/>
      <c r="C29" s="629"/>
      <c r="D29" s="648">
        <f t="shared" si="27"/>
        <v>0</v>
      </c>
      <c r="E29" s="600"/>
      <c r="F29" s="600"/>
      <c r="G29" s="600"/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  <c r="AV29" s="595">
        <v>22000</v>
      </c>
      <c r="AW29" s="595"/>
      <c r="AX29" s="595"/>
      <c r="AY29" s="595">
        <f t="shared" si="4"/>
        <v>22000</v>
      </c>
      <c r="AZ29" s="595"/>
      <c r="BA29" s="595"/>
      <c r="BB29" s="595">
        <f t="shared" si="5"/>
        <v>44000</v>
      </c>
      <c r="BC29" s="595"/>
      <c r="BD29" s="595"/>
      <c r="BE29" s="595">
        <f t="shared" si="6"/>
        <v>44000</v>
      </c>
      <c r="BF29" s="596" t="e">
        <f>IF(AV29&lt;=#REF!,#REF!,IF(AV29&lt;=#REF!,#REF!,IF(AV29&lt;=#REF!,#REF!,IF(AV29&lt;=#REF!,#REF!,IF(AV29&lt;=#REF!,#REF!,IF(AV29&lt;=#REF!,#REF!,IF(AV29&lt;=#REF!,#REF!,0.05)))))))</f>
        <v>#REF!</v>
      </c>
      <c r="BG29" s="595" t="e">
        <f t="shared" si="7"/>
        <v>#REF!</v>
      </c>
      <c r="BH29" s="596"/>
      <c r="BI29" s="596" t="e">
        <f>IF(AY29&lt;=#REF!,#REF!,IF(AY29&lt;=#REF!,#REF!,IF(AY29&lt;=#REF!,#REF!,IF(AY29&lt;=#REF!,#REF!,IF(AY29&lt;=#REF!,#REF!,IF(AY29&lt;=#REF!,#REF!,IF(AY29&lt;=#REF!,#REF!,0.05)))))))</f>
        <v>#REF!</v>
      </c>
      <c r="BJ29" s="595" t="e">
        <f t="shared" si="8"/>
        <v>#REF!</v>
      </c>
      <c r="BK29" s="596"/>
      <c r="BL29" s="596" t="e">
        <f>IF(BB29&lt;=#REF!,#REF!,IF(BB29&lt;=#REF!,#REF!,IF(BB29&lt;=#REF!,#REF!,IF(BB29&lt;=#REF!,#REF!,IF(BB29&lt;=#REF!,#REF!,IF(BB29&lt;=#REF!,#REF!,IF(BB29&lt;=#REF!,#REF!,0.05)))))))</f>
        <v>#REF!</v>
      </c>
      <c r="BM29" s="595" t="e">
        <f t="shared" si="9"/>
        <v>#REF!</v>
      </c>
      <c r="BN29" s="596"/>
      <c r="BO29" s="597" t="e">
        <f>IF(BE29&lt;=#REF!,#REF!,IF(BE29&lt;=#REF!,#REF!,IF(BE29&lt;=#REF!,#REF!,IF(BE29&lt;=#REF!,#REF!,IF(BE29&lt;=#REF!,#REF!,IF(BE29&lt;=#REF!,#REF!,IF(BE29&lt;=#REF!,#REF!,0.05)))))))</f>
        <v>#REF!</v>
      </c>
      <c r="BP29" s="595" t="e">
        <f t="shared" si="10"/>
        <v>#REF!</v>
      </c>
      <c r="BR29" s="598" t="e">
        <f t="shared" si="11"/>
        <v>#REF!</v>
      </c>
      <c r="BT29" s="598" t="e">
        <f t="shared" si="12"/>
        <v>#REF!</v>
      </c>
      <c r="BU29" s="599" t="e">
        <f t="shared" si="13"/>
        <v>#REF!</v>
      </c>
      <c r="BV29" s="596" t="e">
        <f t="shared" si="14"/>
        <v>#REF!</v>
      </c>
      <c r="CL29" s="595">
        <v>22000</v>
      </c>
      <c r="CM29" s="595"/>
      <c r="CN29" s="595"/>
      <c r="CO29" s="595">
        <f t="shared" si="15"/>
        <v>22000</v>
      </c>
      <c r="CP29" s="595"/>
      <c r="CQ29" s="595"/>
      <c r="CR29" s="595">
        <f t="shared" si="16"/>
        <v>44000</v>
      </c>
      <c r="CS29" s="595"/>
      <c r="CT29" s="595"/>
      <c r="CU29" s="595">
        <f t="shared" si="17"/>
        <v>44000</v>
      </c>
      <c r="CV29" s="596">
        <f t="shared" si="29"/>
        <v>0.05</v>
      </c>
      <c r="CW29" s="595">
        <f t="shared" si="18"/>
        <v>1100</v>
      </c>
      <c r="CX29" s="596"/>
      <c r="CY29" s="596">
        <f t="shared" si="30"/>
        <v>0.03</v>
      </c>
      <c r="CZ29" s="595">
        <f t="shared" si="19"/>
        <v>660</v>
      </c>
      <c r="DA29" s="596"/>
      <c r="DB29" s="596">
        <f t="shared" si="31"/>
        <v>0.18</v>
      </c>
      <c r="DC29" s="595">
        <f t="shared" si="20"/>
        <v>8236.7999999999993</v>
      </c>
      <c r="DD29" s="596"/>
      <c r="DE29" s="597">
        <f t="shared" si="32"/>
        <v>-5.5E-2</v>
      </c>
      <c r="DF29" s="595">
        <f t="shared" si="21"/>
        <v>-2420</v>
      </c>
      <c r="DH29" s="598">
        <f t="shared" si="22"/>
        <v>3610.3760000000007</v>
      </c>
      <c r="DJ29" s="598">
        <f t="shared" si="23"/>
        <v>55187.175999999999</v>
      </c>
      <c r="DK29" s="599">
        <f t="shared" si="24"/>
        <v>7576.7999999999993</v>
      </c>
      <c r="DL29" s="596">
        <f t="shared" si="25"/>
        <v>0.13729276526126286</v>
      </c>
    </row>
    <row r="30" spans="1:116" s="585" customFormat="1" ht="16.05" customHeight="1">
      <c r="A30" s="647"/>
      <c r="B30" s="634"/>
      <c r="C30" s="629"/>
      <c r="D30" s="648">
        <f t="shared" si="27"/>
        <v>0</v>
      </c>
      <c r="E30" s="600"/>
      <c r="F30" s="600"/>
      <c r="G30" s="600"/>
      <c r="Q30" s="600"/>
      <c r="R30" s="600"/>
      <c r="S30" s="600"/>
      <c r="T30" s="600"/>
      <c r="AV30" s="595">
        <v>23000</v>
      </c>
      <c r="AW30" s="595"/>
      <c r="AX30" s="595"/>
      <c r="AY30" s="595">
        <f t="shared" si="4"/>
        <v>23000</v>
      </c>
      <c r="AZ30" s="595"/>
      <c r="BA30" s="595"/>
      <c r="BB30" s="595">
        <f t="shared" si="5"/>
        <v>46000</v>
      </c>
      <c r="BC30" s="595"/>
      <c r="BD30" s="595"/>
      <c r="BE30" s="595">
        <f t="shared" si="6"/>
        <v>46000</v>
      </c>
      <c r="BF30" s="596" t="e">
        <f>IF(AV30&lt;=#REF!,#REF!,IF(AV30&lt;=#REF!,#REF!,IF(AV30&lt;=#REF!,#REF!,IF(AV30&lt;=#REF!,#REF!,IF(AV30&lt;=#REF!,#REF!,IF(AV30&lt;=#REF!,#REF!,IF(AV30&lt;=#REF!,#REF!,0.05)))))))</f>
        <v>#REF!</v>
      </c>
      <c r="BG30" s="595" t="e">
        <f t="shared" si="7"/>
        <v>#REF!</v>
      </c>
      <c r="BH30" s="596"/>
      <c r="BI30" s="596" t="e">
        <f>IF(AY30&lt;=#REF!,#REF!,IF(AY30&lt;=#REF!,#REF!,IF(AY30&lt;=#REF!,#REF!,IF(AY30&lt;=#REF!,#REF!,IF(AY30&lt;=#REF!,#REF!,IF(AY30&lt;=#REF!,#REF!,IF(AY30&lt;=#REF!,#REF!,0.05)))))))</f>
        <v>#REF!</v>
      </c>
      <c r="BJ30" s="595" t="e">
        <f t="shared" si="8"/>
        <v>#REF!</v>
      </c>
      <c r="BK30" s="596"/>
      <c r="BL30" s="596" t="e">
        <f>IF(BB30&lt;=#REF!,#REF!,IF(BB30&lt;=#REF!,#REF!,IF(BB30&lt;=#REF!,#REF!,IF(BB30&lt;=#REF!,#REF!,IF(BB30&lt;=#REF!,#REF!,IF(BB30&lt;=#REF!,#REF!,IF(BB30&lt;=#REF!,#REF!,0.05)))))))</f>
        <v>#REF!</v>
      </c>
      <c r="BM30" s="595" t="e">
        <f t="shared" si="9"/>
        <v>#REF!</v>
      </c>
      <c r="BN30" s="596"/>
      <c r="BO30" s="597" t="e">
        <f>IF(BE30&lt;=#REF!,#REF!,IF(BE30&lt;=#REF!,#REF!,IF(BE30&lt;=#REF!,#REF!,IF(BE30&lt;=#REF!,#REF!,IF(BE30&lt;=#REF!,#REF!,IF(BE30&lt;=#REF!,#REF!,IF(BE30&lt;=#REF!,#REF!,0.05)))))))</f>
        <v>#REF!</v>
      </c>
      <c r="BP30" s="595" t="e">
        <f t="shared" si="10"/>
        <v>#REF!</v>
      </c>
      <c r="BR30" s="598" t="e">
        <f t="shared" si="11"/>
        <v>#REF!</v>
      </c>
      <c r="BT30" s="598" t="e">
        <f t="shared" si="12"/>
        <v>#REF!</v>
      </c>
      <c r="BU30" s="599" t="e">
        <f t="shared" si="13"/>
        <v>#REF!</v>
      </c>
      <c r="BV30" s="596" t="e">
        <f t="shared" si="14"/>
        <v>#REF!</v>
      </c>
      <c r="CL30" s="595">
        <v>23000</v>
      </c>
      <c r="CM30" s="595"/>
      <c r="CN30" s="595"/>
      <c r="CO30" s="595">
        <f t="shared" si="15"/>
        <v>23000</v>
      </c>
      <c r="CP30" s="595"/>
      <c r="CQ30" s="595"/>
      <c r="CR30" s="595">
        <f t="shared" si="16"/>
        <v>46000</v>
      </c>
      <c r="CS30" s="595"/>
      <c r="CT30" s="595"/>
      <c r="CU30" s="595">
        <f t="shared" si="17"/>
        <v>46000</v>
      </c>
      <c r="CV30" s="596">
        <f t="shared" si="29"/>
        <v>0.05</v>
      </c>
      <c r="CW30" s="595">
        <f t="shared" si="18"/>
        <v>1150</v>
      </c>
      <c r="CX30" s="596"/>
      <c r="CY30" s="596">
        <f t="shared" si="30"/>
        <v>0.03</v>
      </c>
      <c r="CZ30" s="595">
        <f t="shared" si="19"/>
        <v>690</v>
      </c>
      <c r="DA30" s="596"/>
      <c r="DB30" s="596">
        <f t="shared" si="31"/>
        <v>0.18</v>
      </c>
      <c r="DC30" s="595">
        <f t="shared" si="20"/>
        <v>8611.1999999999989</v>
      </c>
      <c r="DD30" s="596"/>
      <c r="DE30" s="597">
        <f t="shared" si="32"/>
        <v>-0.06</v>
      </c>
      <c r="DF30" s="595">
        <f t="shared" si="21"/>
        <v>-2760</v>
      </c>
      <c r="DH30" s="598">
        <f t="shared" si="22"/>
        <v>3758.384</v>
      </c>
      <c r="DJ30" s="598">
        <f t="shared" si="23"/>
        <v>57449.584000000003</v>
      </c>
      <c r="DK30" s="599">
        <f t="shared" si="24"/>
        <v>7691.1999999999989</v>
      </c>
      <c r="DL30" s="596">
        <f t="shared" si="25"/>
        <v>0.13387738369001939</v>
      </c>
    </row>
    <row r="31" spans="1:116" s="585" customFormat="1" ht="16.05" customHeight="1">
      <c r="A31" s="647"/>
      <c r="B31" s="634"/>
      <c r="C31" s="629"/>
      <c r="D31" s="648">
        <f t="shared" si="27"/>
        <v>0</v>
      </c>
      <c r="E31" s="600"/>
      <c r="F31" s="600"/>
      <c r="G31" s="714" t="s">
        <v>946</v>
      </c>
      <c r="H31" s="933" t="s">
        <v>652</v>
      </c>
      <c r="I31" s="590" t="s">
        <v>655</v>
      </c>
      <c r="O31" s="1425" t="s">
        <v>128</v>
      </c>
      <c r="P31" s="1426"/>
      <c r="Q31" s="1426"/>
      <c r="R31" s="1427"/>
      <c r="S31" s="600"/>
      <c r="T31" s="600"/>
      <c r="AV31" s="595"/>
      <c r="AW31" s="595"/>
      <c r="AX31" s="595"/>
      <c r="AY31" s="595"/>
      <c r="AZ31" s="595"/>
      <c r="BA31" s="595"/>
      <c r="BB31" s="595"/>
      <c r="BC31" s="595"/>
      <c r="BD31" s="595"/>
      <c r="BE31" s="595"/>
      <c r="BF31" s="596"/>
      <c r="BG31" s="595"/>
      <c r="BH31" s="596"/>
      <c r="BI31" s="596"/>
      <c r="BJ31" s="595"/>
      <c r="BK31" s="596"/>
      <c r="BL31" s="596"/>
      <c r="BM31" s="595"/>
      <c r="BN31" s="596"/>
      <c r="BO31" s="597"/>
      <c r="BP31" s="595"/>
      <c r="BR31" s="598"/>
      <c r="BT31" s="598"/>
      <c r="BU31" s="599"/>
      <c r="BV31" s="596"/>
      <c r="CL31" s="595"/>
      <c r="CM31" s="595"/>
      <c r="CN31" s="595"/>
      <c r="CO31" s="595"/>
      <c r="CP31" s="595"/>
      <c r="CQ31" s="595"/>
      <c r="CR31" s="595"/>
      <c r="CS31" s="595"/>
      <c r="CT31" s="595"/>
      <c r="CU31" s="595"/>
      <c r="CV31" s="596"/>
      <c r="CW31" s="595"/>
      <c r="CX31" s="596"/>
      <c r="CY31" s="596"/>
      <c r="CZ31" s="595"/>
      <c r="DA31" s="596"/>
      <c r="DB31" s="596"/>
      <c r="DC31" s="595"/>
      <c r="DD31" s="596"/>
      <c r="DE31" s="597"/>
      <c r="DF31" s="595"/>
      <c r="DH31" s="598"/>
      <c r="DJ31" s="598"/>
      <c r="DK31" s="599"/>
      <c r="DL31" s="596"/>
    </row>
    <row r="32" spans="1:116" s="585" customFormat="1" ht="16.05" customHeight="1">
      <c r="A32" s="683" t="s">
        <v>13</v>
      </c>
      <c r="B32" s="678"/>
      <c r="C32" s="679"/>
      <c r="D32" s="680"/>
      <c r="E32" s="645">
        <f>SUM(G33:G34)</f>
        <v>0</v>
      </c>
      <c r="F32" s="646" t="s">
        <v>48</v>
      </c>
      <c r="G32" s="600"/>
      <c r="O32" s="1428" t="s">
        <v>127</v>
      </c>
      <c r="P32" s="1429"/>
      <c r="Q32" s="1429"/>
      <c r="R32" s="1430"/>
      <c r="AV32" s="595">
        <v>24000</v>
      </c>
      <c r="AW32" s="595"/>
      <c r="AX32" s="595"/>
      <c r="AY32" s="595">
        <f t="shared" si="4"/>
        <v>24000</v>
      </c>
      <c r="AZ32" s="595"/>
      <c r="BA32" s="595"/>
      <c r="BB32" s="595">
        <f t="shared" si="5"/>
        <v>48000</v>
      </c>
      <c r="BC32" s="595"/>
      <c r="BD32" s="595"/>
      <c r="BE32" s="595">
        <f t="shared" si="6"/>
        <v>48000</v>
      </c>
      <c r="BF32" s="596" t="e">
        <f>IF(AV32&lt;=#REF!,#REF!,IF(AV32&lt;=#REF!,#REF!,IF(AV32&lt;=#REF!,#REF!,IF(AV32&lt;=#REF!,#REF!,IF(AV32&lt;=#REF!,#REF!,IF(AV32&lt;=#REF!,#REF!,IF(AV32&lt;=#REF!,#REF!,0.05)))))))</f>
        <v>#REF!</v>
      </c>
      <c r="BG32" s="595" t="e">
        <f t="shared" si="7"/>
        <v>#REF!</v>
      </c>
      <c r="BH32" s="596"/>
      <c r="BI32" s="596" t="e">
        <f>IF(AY32&lt;=#REF!,#REF!,IF(AY32&lt;=#REF!,#REF!,IF(AY32&lt;=#REF!,#REF!,IF(AY32&lt;=#REF!,#REF!,IF(AY32&lt;=#REF!,#REF!,IF(AY32&lt;=#REF!,#REF!,IF(AY32&lt;=#REF!,#REF!,0.05)))))))</f>
        <v>#REF!</v>
      </c>
      <c r="BJ32" s="595" t="e">
        <f t="shared" si="8"/>
        <v>#REF!</v>
      </c>
      <c r="BK32" s="596"/>
      <c r="BL32" s="596" t="e">
        <f>IF(BB32&lt;=#REF!,#REF!,IF(BB32&lt;=#REF!,#REF!,IF(BB32&lt;=#REF!,#REF!,IF(BB32&lt;=#REF!,#REF!,IF(BB32&lt;=#REF!,#REF!,IF(BB32&lt;=#REF!,#REF!,IF(BB32&lt;=#REF!,#REF!,0.05)))))))</f>
        <v>#REF!</v>
      </c>
      <c r="BM32" s="595" t="e">
        <f t="shared" si="9"/>
        <v>#REF!</v>
      </c>
      <c r="BN32" s="596"/>
      <c r="BO32" s="597" t="e">
        <f>IF(BE32&lt;=#REF!,#REF!,IF(BE32&lt;=#REF!,#REF!,IF(BE32&lt;=#REF!,#REF!,IF(BE32&lt;=#REF!,#REF!,IF(BE32&lt;=#REF!,#REF!,IF(BE32&lt;=#REF!,#REF!,IF(BE32&lt;=#REF!,#REF!,0.05)))))))</f>
        <v>#REF!</v>
      </c>
      <c r="BP32" s="595" t="e">
        <f t="shared" si="10"/>
        <v>#REF!</v>
      </c>
      <c r="BR32" s="598" t="e">
        <f t="shared" si="11"/>
        <v>#REF!</v>
      </c>
      <c r="BT32" s="598" t="e">
        <f t="shared" si="12"/>
        <v>#REF!</v>
      </c>
      <c r="BU32" s="599" t="e">
        <f t="shared" si="13"/>
        <v>#REF!</v>
      </c>
      <c r="BV32" s="596" t="e">
        <f t="shared" si="14"/>
        <v>#REF!</v>
      </c>
      <c r="CL32" s="595">
        <v>24000</v>
      </c>
      <c r="CM32" s="595"/>
      <c r="CN32" s="595"/>
      <c r="CO32" s="595">
        <f t="shared" si="15"/>
        <v>24000</v>
      </c>
      <c r="CP32" s="595"/>
      <c r="CQ32" s="595"/>
      <c r="CR32" s="595">
        <f t="shared" si="16"/>
        <v>48000</v>
      </c>
      <c r="CS32" s="595"/>
      <c r="CT32" s="595"/>
      <c r="CU32" s="595">
        <f t="shared" si="17"/>
        <v>48000</v>
      </c>
      <c r="CV32" s="596">
        <f t="shared" si="29"/>
        <v>0.05</v>
      </c>
      <c r="CW32" s="595">
        <f t="shared" si="18"/>
        <v>1200</v>
      </c>
      <c r="CX32" s="596"/>
      <c r="CY32" s="596">
        <f t="shared" si="30"/>
        <v>0.03</v>
      </c>
      <c r="CZ32" s="595">
        <f t="shared" si="19"/>
        <v>720</v>
      </c>
      <c r="DA32" s="596"/>
      <c r="DB32" s="596">
        <f t="shared" si="31"/>
        <v>0.18</v>
      </c>
      <c r="DC32" s="595">
        <f t="shared" si="20"/>
        <v>8985.6</v>
      </c>
      <c r="DD32" s="596"/>
      <c r="DE32" s="597">
        <f t="shared" si="32"/>
        <v>-0.06</v>
      </c>
      <c r="DF32" s="595">
        <f t="shared" si="21"/>
        <v>-2880</v>
      </c>
      <c r="DH32" s="598">
        <f t="shared" si="22"/>
        <v>3921.7920000000004</v>
      </c>
      <c r="DJ32" s="598">
        <f t="shared" si="23"/>
        <v>59947.392</v>
      </c>
      <c r="DK32" s="599">
        <f t="shared" si="24"/>
        <v>8025.6</v>
      </c>
      <c r="DL32" s="596">
        <f t="shared" si="25"/>
        <v>0.13387738369001942</v>
      </c>
    </row>
    <row r="33" spans="1:116" s="585" customFormat="1" ht="16.05" customHeight="1">
      <c r="A33" s="647"/>
      <c r="B33" s="634"/>
      <c r="C33" s="629"/>
      <c r="D33" s="648">
        <f t="shared" si="27"/>
        <v>0</v>
      </c>
      <c r="E33" s="600"/>
      <c r="F33" s="600"/>
      <c r="G33" s="684">
        <v>0</v>
      </c>
      <c r="H33" s="685" t="s">
        <v>632</v>
      </c>
      <c r="O33" s="686">
        <f>(P33*P33)/1.5</f>
        <v>0</v>
      </c>
      <c r="P33" s="687"/>
      <c r="Q33" s="1431" t="s">
        <v>124</v>
      </c>
      <c r="R33" s="1432"/>
      <c r="AV33" s="595">
        <v>25000</v>
      </c>
      <c r="AW33" s="595"/>
      <c r="AX33" s="595"/>
      <c r="AY33" s="595">
        <f t="shared" si="4"/>
        <v>25000</v>
      </c>
      <c r="AZ33" s="595"/>
      <c r="BA33" s="595"/>
      <c r="BB33" s="595">
        <f t="shared" si="5"/>
        <v>50000</v>
      </c>
      <c r="BC33" s="595"/>
      <c r="BD33" s="595"/>
      <c r="BE33" s="595">
        <f t="shared" si="6"/>
        <v>50000</v>
      </c>
      <c r="BF33" s="596" t="e">
        <f>IF(AV33&lt;=#REF!,#REF!,IF(AV33&lt;=#REF!,#REF!,IF(AV33&lt;=#REF!,#REF!,IF(AV33&lt;=#REF!,#REF!,IF(AV33&lt;=#REF!,#REF!,IF(AV33&lt;=#REF!,#REF!,IF(AV33&lt;=#REF!,#REF!,0.05)))))))</f>
        <v>#REF!</v>
      </c>
      <c r="BG33" s="595" t="e">
        <f t="shared" si="7"/>
        <v>#REF!</v>
      </c>
      <c r="BH33" s="596"/>
      <c r="BI33" s="596" t="e">
        <f>IF(AY33&lt;=#REF!,#REF!,IF(AY33&lt;=#REF!,#REF!,IF(AY33&lt;=#REF!,#REF!,IF(AY33&lt;=#REF!,#REF!,IF(AY33&lt;=#REF!,#REF!,IF(AY33&lt;=#REF!,#REF!,IF(AY33&lt;=#REF!,#REF!,0.05)))))))</f>
        <v>#REF!</v>
      </c>
      <c r="BJ33" s="595" t="e">
        <f t="shared" si="8"/>
        <v>#REF!</v>
      </c>
      <c r="BK33" s="596"/>
      <c r="BL33" s="596" t="e">
        <f>IF(BB33&lt;=#REF!,#REF!,IF(BB33&lt;=#REF!,#REF!,IF(BB33&lt;=#REF!,#REF!,IF(BB33&lt;=#REF!,#REF!,IF(BB33&lt;=#REF!,#REF!,IF(BB33&lt;=#REF!,#REF!,IF(BB33&lt;=#REF!,#REF!,0.05)))))))</f>
        <v>#REF!</v>
      </c>
      <c r="BM33" s="595" t="e">
        <f t="shared" si="9"/>
        <v>#REF!</v>
      </c>
      <c r="BN33" s="596"/>
      <c r="BO33" s="597" t="e">
        <f>IF(BE33&lt;=#REF!,#REF!,IF(BE33&lt;=#REF!,#REF!,IF(BE33&lt;=#REF!,#REF!,IF(BE33&lt;=#REF!,#REF!,IF(BE33&lt;=#REF!,#REF!,IF(BE33&lt;=#REF!,#REF!,IF(BE33&lt;=#REF!,#REF!,0.05)))))))</f>
        <v>#REF!</v>
      </c>
      <c r="BP33" s="595" t="e">
        <f t="shared" si="10"/>
        <v>#REF!</v>
      </c>
      <c r="BR33" s="598" t="e">
        <f t="shared" si="11"/>
        <v>#REF!</v>
      </c>
      <c r="BT33" s="598" t="e">
        <f t="shared" si="12"/>
        <v>#REF!</v>
      </c>
      <c r="BU33" s="599" t="e">
        <f t="shared" si="13"/>
        <v>#REF!</v>
      </c>
      <c r="BV33" s="596" t="e">
        <f t="shared" si="14"/>
        <v>#REF!</v>
      </c>
      <c r="CL33" s="595">
        <v>25000</v>
      </c>
      <c r="CM33" s="595"/>
      <c r="CN33" s="595"/>
      <c r="CO33" s="595">
        <f t="shared" si="15"/>
        <v>25000</v>
      </c>
      <c r="CP33" s="595"/>
      <c r="CQ33" s="595"/>
      <c r="CR33" s="595">
        <f t="shared" si="16"/>
        <v>50000</v>
      </c>
      <c r="CS33" s="595"/>
      <c r="CT33" s="595"/>
      <c r="CU33" s="595">
        <f t="shared" si="17"/>
        <v>50000</v>
      </c>
      <c r="CV33" s="596">
        <f t="shared" si="29"/>
        <v>0.05</v>
      </c>
      <c r="CW33" s="595">
        <f t="shared" si="18"/>
        <v>1250</v>
      </c>
      <c r="CX33" s="596"/>
      <c r="CY33" s="596">
        <f t="shared" si="30"/>
        <v>0.03</v>
      </c>
      <c r="CZ33" s="595">
        <f t="shared" si="19"/>
        <v>750</v>
      </c>
      <c r="DA33" s="596"/>
      <c r="DB33" s="596">
        <f t="shared" si="31"/>
        <v>0.18</v>
      </c>
      <c r="DC33" s="595">
        <f t="shared" si="20"/>
        <v>9360</v>
      </c>
      <c r="DD33" s="596"/>
      <c r="DE33" s="597">
        <f t="shared" si="32"/>
        <v>-0.06</v>
      </c>
      <c r="DF33" s="595">
        <f t="shared" si="21"/>
        <v>-3000</v>
      </c>
      <c r="DH33" s="598">
        <f t="shared" si="22"/>
        <v>4085.2000000000003</v>
      </c>
      <c r="DJ33" s="598">
        <f t="shared" si="23"/>
        <v>62445.2</v>
      </c>
      <c r="DK33" s="599">
        <f t="shared" si="24"/>
        <v>8360</v>
      </c>
      <c r="DL33" s="596">
        <f t="shared" si="25"/>
        <v>0.13387738369001942</v>
      </c>
    </row>
    <row r="34" spans="1:116" s="585" customFormat="1">
      <c r="A34" s="647"/>
      <c r="B34" s="634"/>
      <c r="C34" s="629"/>
      <c r="D34" s="648">
        <f t="shared" si="27"/>
        <v>0</v>
      </c>
      <c r="E34" s="600"/>
      <c r="F34" s="600"/>
      <c r="G34" s="684">
        <v>0</v>
      </c>
      <c r="H34" s="685" t="s">
        <v>633</v>
      </c>
      <c r="O34" s="686">
        <f>P34*O33</f>
        <v>0</v>
      </c>
      <c r="P34" s="687"/>
      <c r="Q34" s="1431" t="s">
        <v>125</v>
      </c>
      <c r="R34" s="1432"/>
      <c r="AV34" s="595">
        <v>26000</v>
      </c>
      <c r="AW34" s="595"/>
      <c r="AX34" s="595"/>
      <c r="AY34" s="595">
        <f t="shared" si="4"/>
        <v>26000</v>
      </c>
      <c r="AZ34" s="595"/>
      <c r="BA34" s="595"/>
      <c r="BB34" s="595">
        <f t="shared" ref="BB34:BB49" si="33">AV34+AY34</f>
        <v>52000</v>
      </c>
      <c r="BC34" s="595"/>
      <c r="BD34" s="595"/>
      <c r="BE34" s="595">
        <f t="shared" ref="BE34:BE49" si="34">BB34</f>
        <v>52000</v>
      </c>
      <c r="BF34" s="596" t="e">
        <f>IF(AV34&lt;=#REF!,#REF!,IF(AV34&lt;=#REF!,#REF!,IF(AV34&lt;=#REF!,#REF!,IF(AV34&lt;=#REF!,#REF!,IF(AV34&lt;=#REF!,#REF!,IF(AV34&lt;=#REF!,#REF!,IF(AV34&lt;=#REF!,#REF!,0.05)))))))</f>
        <v>#REF!</v>
      </c>
      <c r="BG34" s="595" t="e">
        <f t="shared" ref="BG34:BG49" si="35">BF34*AV34</f>
        <v>#REF!</v>
      </c>
      <c r="BH34" s="596"/>
      <c r="BI34" s="596" t="e">
        <f>IF(AY34&lt;=#REF!,#REF!,IF(AY34&lt;=#REF!,#REF!,IF(AY34&lt;=#REF!,#REF!,IF(AY34&lt;=#REF!,#REF!,IF(AY34&lt;=#REF!,#REF!,IF(AY34&lt;=#REF!,#REF!,IF(AY34&lt;=#REF!,#REF!,0.05)))))))</f>
        <v>#REF!</v>
      </c>
      <c r="BJ34" s="595" t="e">
        <f t="shared" ref="BJ34:BJ49" si="36">BI34*AY34</f>
        <v>#REF!</v>
      </c>
      <c r="BK34" s="596"/>
      <c r="BL34" s="596" t="e">
        <f>IF(BB34&lt;=#REF!,#REF!,IF(BB34&lt;=#REF!,#REF!,IF(BB34&lt;=#REF!,#REF!,IF(BB34&lt;=#REF!,#REF!,IF(BB34&lt;=#REF!,#REF!,IF(BB34&lt;=#REF!,#REF!,IF(BB34&lt;=#REF!,#REF!,0.05)))))))</f>
        <v>#REF!</v>
      </c>
      <c r="BM34" s="595" t="e">
        <f t="shared" ref="BM34:BM49" si="37">BL34*SUM(BJ34,BG34,BB34)</f>
        <v>#REF!</v>
      </c>
      <c r="BN34" s="596"/>
      <c r="BO34" s="597" t="e">
        <f>IF(BE34&lt;=#REF!,#REF!,IF(BE34&lt;=#REF!,#REF!,IF(BE34&lt;=#REF!,#REF!,IF(BE34&lt;=#REF!,#REF!,IF(BE34&lt;=#REF!,#REF!,IF(BE34&lt;=#REF!,#REF!,IF(BE34&lt;=#REF!,#REF!,0.05)))))))</f>
        <v>#REF!</v>
      </c>
      <c r="BP34" s="595" t="e">
        <f t="shared" ref="BP34:BP49" si="38">BO34*BE34</f>
        <v>#REF!</v>
      </c>
      <c r="BR34" s="598" t="e">
        <f t="shared" ref="BR34:BR49" si="39">0.07*SUM(BB34,BG34,BJ34,BM34,BP34)</f>
        <v>#REF!</v>
      </c>
      <c r="BT34" s="598" t="e">
        <f t="shared" ref="BT34:BT49" si="40">SUM(BR34,BP34,BM34,BJ34,BG34,BB34)</f>
        <v>#REF!</v>
      </c>
      <c r="BU34" s="599" t="e">
        <f t="shared" ref="BU34:BU49" si="41">SUM(BP34,BM34,BJ34,BG34)</f>
        <v>#REF!</v>
      </c>
      <c r="BV34" s="596" t="e">
        <f t="shared" ref="BV34:BV49" si="42">BU34/BT34</f>
        <v>#REF!</v>
      </c>
      <c r="CL34" s="595">
        <v>26000</v>
      </c>
      <c r="CM34" s="595"/>
      <c r="CN34" s="595"/>
      <c r="CO34" s="595">
        <f t="shared" si="15"/>
        <v>26000</v>
      </c>
      <c r="CP34" s="595"/>
      <c r="CQ34" s="595"/>
      <c r="CR34" s="595">
        <f t="shared" si="16"/>
        <v>52000</v>
      </c>
      <c r="CS34" s="595"/>
      <c r="CT34" s="595"/>
      <c r="CU34" s="595">
        <f t="shared" si="17"/>
        <v>52000</v>
      </c>
      <c r="CV34" s="596">
        <f t="shared" si="29"/>
        <v>0.05</v>
      </c>
      <c r="CW34" s="595">
        <f t="shared" si="18"/>
        <v>1300</v>
      </c>
      <c r="CX34" s="596"/>
      <c r="CY34" s="596">
        <f t="shared" si="30"/>
        <v>0.03</v>
      </c>
      <c r="CZ34" s="595">
        <f t="shared" si="19"/>
        <v>780</v>
      </c>
      <c r="DA34" s="596"/>
      <c r="DB34" s="596">
        <f t="shared" si="31"/>
        <v>0.18</v>
      </c>
      <c r="DC34" s="595">
        <f t="shared" si="20"/>
        <v>9734.4</v>
      </c>
      <c r="DD34" s="596"/>
      <c r="DE34" s="597">
        <f t="shared" si="32"/>
        <v>-0.06</v>
      </c>
      <c r="DF34" s="595">
        <f t="shared" si="21"/>
        <v>-3120</v>
      </c>
      <c r="DH34" s="598">
        <f t="shared" si="22"/>
        <v>4248.6080000000002</v>
      </c>
      <c r="DJ34" s="598">
        <f t="shared" si="23"/>
        <v>64943.008000000002</v>
      </c>
      <c r="DK34" s="599">
        <f t="shared" si="24"/>
        <v>8694.4</v>
      </c>
      <c r="DL34" s="596">
        <f t="shared" si="25"/>
        <v>0.13387738369001939</v>
      </c>
    </row>
    <row r="35" spans="1:116" s="585" customFormat="1">
      <c r="A35" s="647"/>
      <c r="B35" s="634"/>
      <c r="C35" s="629"/>
      <c r="D35" s="648">
        <f t="shared" si="27"/>
        <v>0</v>
      </c>
      <c r="E35" s="600"/>
      <c r="F35" s="600"/>
      <c r="G35" s="600"/>
      <c r="H35" s="600"/>
      <c r="K35" s="1091" t="s">
        <v>672</v>
      </c>
      <c r="L35" s="1452">
        <f>$B$42/M35</f>
        <v>0</v>
      </c>
      <c r="M35" s="1093">
        <v>6</v>
      </c>
      <c r="N35" s="1094" t="s">
        <v>673</v>
      </c>
      <c r="O35" s="686">
        <f>P35*O33</f>
        <v>0</v>
      </c>
      <c r="P35" s="687"/>
      <c r="Q35" s="1431" t="s">
        <v>126</v>
      </c>
      <c r="R35" s="1432"/>
      <c r="AV35" s="595">
        <v>27000</v>
      </c>
      <c r="AW35" s="595"/>
      <c r="AX35" s="595"/>
      <c r="AY35" s="595">
        <f t="shared" si="4"/>
        <v>27000</v>
      </c>
      <c r="AZ35" s="595"/>
      <c r="BA35" s="595"/>
      <c r="BB35" s="595">
        <f t="shared" si="33"/>
        <v>54000</v>
      </c>
      <c r="BC35" s="595"/>
      <c r="BD35" s="595"/>
      <c r="BE35" s="595">
        <f t="shared" si="34"/>
        <v>54000</v>
      </c>
      <c r="BF35" s="596" t="e">
        <f>IF(AV35&lt;=#REF!,#REF!,IF(AV35&lt;=#REF!,#REF!,IF(AV35&lt;=#REF!,#REF!,IF(AV35&lt;=#REF!,#REF!,IF(AV35&lt;=#REF!,#REF!,IF(AV35&lt;=#REF!,#REF!,IF(AV35&lt;=#REF!,#REF!,0.05)))))))</f>
        <v>#REF!</v>
      </c>
      <c r="BG35" s="595" t="e">
        <f t="shared" si="35"/>
        <v>#REF!</v>
      </c>
      <c r="BH35" s="596"/>
      <c r="BI35" s="596" t="e">
        <f>IF(AY35&lt;=#REF!,#REF!,IF(AY35&lt;=#REF!,#REF!,IF(AY35&lt;=#REF!,#REF!,IF(AY35&lt;=#REF!,#REF!,IF(AY35&lt;=#REF!,#REF!,IF(AY35&lt;=#REF!,#REF!,IF(AY35&lt;=#REF!,#REF!,0.05)))))))</f>
        <v>#REF!</v>
      </c>
      <c r="BJ35" s="595" t="e">
        <f t="shared" si="36"/>
        <v>#REF!</v>
      </c>
      <c r="BK35" s="596"/>
      <c r="BL35" s="596" t="e">
        <f>IF(BB35&lt;=#REF!,#REF!,IF(BB35&lt;=#REF!,#REF!,IF(BB35&lt;=#REF!,#REF!,IF(BB35&lt;=#REF!,#REF!,IF(BB35&lt;=#REF!,#REF!,IF(BB35&lt;=#REF!,#REF!,IF(BB35&lt;=#REF!,#REF!,0.05)))))))</f>
        <v>#REF!</v>
      </c>
      <c r="BM35" s="595" t="e">
        <f t="shared" si="37"/>
        <v>#REF!</v>
      </c>
      <c r="BN35" s="596"/>
      <c r="BO35" s="597" t="e">
        <f>IF(BE35&lt;=#REF!,#REF!,IF(BE35&lt;=#REF!,#REF!,IF(BE35&lt;=#REF!,#REF!,IF(BE35&lt;=#REF!,#REF!,IF(BE35&lt;=#REF!,#REF!,IF(BE35&lt;=#REF!,#REF!,IF(BE35&lt;=#REF!,#REF!,0.05)))))))</f>
        <v>#REF!</v>
      </c>
      <c r="BP35" s="595" t="e">
        <f t="shared" si="38"/>
        <v>#REF!</v>
      </c>
      <c r="BR35" s="598" t="e">
        <f t="shared" si="39"/>
        <v>#REF!</v>
      </c>
      <c r="BT35" s="598" t="e">
        <f t="shared" si="40"/>
        <v>#REF!</v>
      </c>
      <c r="BU35" s="599" t="e">
        <f t="shared" si="41"/>
        <v>#REF!</v>
      </c>
      <c r="BV35" s="596" t="e">
        <f t="shared" si="42"/>
        <v>#REF!</v>
      </c>
      <c r="CL35" s="595">
        <v>27000</v>
      </c>
      <c r="CM35" s="595"/>
      <c r="CN35" s="595"/>
      <c r="CO35" s="595">
        <f t="shared" si="15"/>
        <v>27000</v>
      </c>
      <c r="CP35" s="595"/>
      <c r="CQ35" s="595"/>
      <c r="CR35" s="595">
        <f t="shared" si="16"/>
        <v>54000</v>
      </c>
      <c r="CS35" s="595"/>
      <c r="CT35" s="595"/>
      <c r="CU35" s="595">
        <f t="shared" si="17"/>
        <v>54000</v>
      </c>
      <c r="CV35" s="596">
        <f t="shared" si="29"/>
        <v>0.05</v>
      </c>
      <c r="CW35" s="595">
        <f t="shared" si="18"/>
        <v>1350</v>
      </c>
      <c r="CX35" s="596"/>
      <c r="CY35" s="596">
        <f t="shared" si="30"/>
        <v>0.03</v>
      </c>
      <c r="CZ35" s="595">
        <f t="shared" si="19"/>
        <v>810</v>
      </c>
      <c r="DA35" s="596"/>
      <c r="DB35" s="596">
        <f t="shared" si="31"/>
        <v>0.18</v>
      </c>
      <c r="DC35" s="595">
        <f t="shared" si="20"/>
        <v>10108.799999999999</v>
      </c>
      <c r="DD35" s="596"/>
      <c r="DE35" s="597">
        <f t="shared" si="32"/>
        <v>-0.06</v>
      </c>
      <c r="DF35" s="595">
        <f t="shared" si="21"/>
        <v>-3240</v>
      </c>
      <c r="DH35" s="598">
        <f t="shared" si="22"/>
        <v>4412.0160000000005</v>
      </c>
      <c r="DJ35" s="598">
        <f t="shared" si="23"/>
        <v>67440.815999999992</v>
      </c>
      <c r="DK35" s="599">
        <f t="shared" si="24"/>
        <v>9028.7999999999993</v>
      </c>
      <c r="DL35" s="596">
        <f t="shared" si="25"/>
        <v>0.13387738369001942</v>
      </c>
    </row>
    <row r="36" spans="1:116" s="585" customFormat="1">
      <c r="A36" s="688"/>
      <c r="B36" s="689"/>
      <c r="C36" s="690"/>
      <c r="D36" s="691">
        <f t="shared" si="27"/>
        <v>0</v>
      </c>
      <c r="E36" s="600"/>
      <c r="F36" s="600"/>
      <c r="G36" s="600"/>
      <c r="H36" s="600"/>
      <c r="K36" s="1091" t="s">
        <v>672</v>
      </c>
      <c r="L36" s="1452">
        <f>$B$42/M36</f>
        <v>0</v>
      </c>
      <c r="M36" s="1093">
        <v>5</v>
      </c>
      <c r="N36" s="1094" t="s">
        <v>673</v>
      </c>
      <c r="O36" s="686">
        <f>P36*O33</f>
        <v>0</v>
      </c>
      <c r="P36" s="687"/>
      <c r="Q36" s="1874" t="s">
        <v>129</v>
      </c>
      <c r="R36" s="1875"/>
      <c r="AV36" s="595">
        <v>28000</v>
      </c>
      <c r="AW36" s="595"/>
      <c r="AX36" s="595"/>
      <c r="AY36" s="595">
        <f t="shared" si="4"/>
        <v>28000</v>
      </c>
      <c r="AZ36" s="595"/>
      <c r="BA36" s="595"/>
      <c r="BB36" s="595">
        <f t="shared" si="33"/>
        <v>56000</v>
      </c>
      <c r="BC36" s="595"/>
      <c r="BD36" s="595"/>
      <c r="BE36" s="595">
        <f t="shared" si="34"/>
        <v>56000</v>
      </c>
      <c r="BF36" s="596" t="e">
        <f>IF(AV36&lt;=#REF!,#REF!,IF(AV36&lt;=#REF!,#REF!,IF(AV36&lt;=#REF!,#REF!,IF(AV36&lt;=#REF!,#REF!,IF(AV36&lt;=#REF!,#REF!,IF(AV36&lt;=#REF!,#REF!,IF(AV36&lt;=#REF!,#REF!,0.05)))))))</f>
        <v>#REF!</v>
      </c>
      <c r="BG36" s="595" t="e">
        <f t="shared" si="35"/>
        <v>#REF!</v>
      </c>
      <c r="BH36" s="596"/>
      <c r="BI36" s="596" t="e">
        <f>IF(AY36&lt;=#REF!,#REF!,IF(AY36&lt;=#REF!,#REF!,IF(AY36&lt;=#REF!,#REF!,IF(AY36&lt;=#REF!,#REF!,IF(AY36&lt;=#REF!,#REF!,IF(AY36&lt;=#REF!,#REF!,IF(AY36&lt;=#REF!,#REF!,0.05)))))))</f>
        <v>#REF!</v>
      </c>
      <c r="BJ36" s="595" t="e">
        <f t="shared" si="36"/>
        <v>#REF!</v>
      </c>
      <c r="BK36" s="596"/>
      <c r="BL36" s="596" t="e">
        <f>IF(BB36&lt;=#REF!,#REF!,IF(BB36&lt;=#REF!,#REF!,IF(BB36&lt;=#REF!,#REF!,IF(BB36&lt;=#REF!,#REF!,IF(BB36&lt;=#REF!,#REF!,IF(BB36&lt;=#REF!,#REF!,IF(BB36&lt;=#REF!,#REF!,0.05)))))))</f>
        <v>#REF!</v>
      </c>
      <c r="BM36" s="595" t="e">
        <f t="shared" si="37"/>
        <v>#REF!</v>
      </c>
      <c r="BN36" s="596"/>
      <c r="BO36" s="597" t="e">
        <f>IF(BE36&lt;=#REF!,#REF!,IF(BE36&lt;=#REF!,#REF!,IF(BE36&lt;=#REF!,#REF!,IF(BE36&lt;=#REF!,#REF!,IF(BE36&lt;=#REF!,#REF!,IF(BE36&lt;=#REF!,#REF!,IF(BE36&lt;=#REF!,#REF!,0.05)))))))</f>
        <v>#REF!</v>
      </c>
      <c r="BP36" s="595" t="e">
        <f t="shared" si="38"/>
        <v>#REF!</v>
      </c>
      <c r="BR36" s="598" t="e">
        <f t="shared" si="39"/>
        <v>#REF!</v>
      </c>
      <c r="BT36" s="598" t="e">
        <f t="shared" si="40"/>
        <v>#REF!</v>
      </c>
      <c r="BU36" s="599" t="e">
        <f t="shared" si="41"/>
        <v>#REF!</v>
      </c>
      <c r="BV36" s="596" t="e">
        <f t="shared" si="42"/>
        <v>#REF!</v>
      </c>
      <c r="CL36" s="595">
        <v>28000</v>
      </c>
      <c r="CM36" s="595"/>
      <c r="CN36" s="595"/>
      <c r="CO36" s="595">
        <f t="shared" si="15"/>
        <v>28000</v>
      </c>
      <c r="CP36" s="595"/>
      <c r="CQ36" s="595"/>
      <c r="CR36" s="595">
        <f t="shared" si="16"/>
        <v>56000</v>
      </c>
      <c r="CS36" s="595"/>
      <c r="CT36" s="595"/>
      <c r="CU36" s="595">
        <f t="shared" si="17"/>
        <v>56000</v>
      </c>
      <c r="CV36" s="596">
        <f t="shared" si="29"/>
        <v>0.05</v>
      </c>
      <c r="CW36" s="595">
        <f t="shared" si="18"/>
        <v>1400</v>
      </c>
      <c r="CX36" s="596"/>
      <c r="CY36" s="596">
        <f t="shared" si="30"/>
        <v>0.03</v>
      </c>
      <c r="CZ36" s="595">
        <f t="shared" si="19"/>
        <v>840</v>
      </c>
      <c r="DA36" s="596"/>
      <c r="DB36" s="596">
        <f t="shared" si="31"/>
        <v>0.18</v>
      </c>
      <c r="DC36" s="595">
        <f t="shared" si="20"/>
        <v>10483.199999999999</v>
      </c>
      <c r="DD36" s="596"/>
      <c r="DE36" s="597">
        <f t="shared" si="32"/>
        <v>-0.06</v>
      </c>
      <c r="DF36" s="595">
        <f t="shared" si="21"/>
        <v>-3360</v>
      </c>
      <c r="DH36" s="598">
        <f t="shared" si="22"/>
        <v>4575.424</v>
      </c>
      <c r="DJ36" s="598">
        <f t="shared" si="23"/>
        <v>69938.623999999996</v>
      </c>
      <c r="DK36" s="599">
        <f t="shared" si="24"/>
        <v>9363.1999999999989</v>
      </c>
      <c r="DL36" s="596">
        <f t="shared" si="25"/>
        <v>0.13387738369001939</v>
      </c>
    </row>
    <row r="37" spans="1:116" s="585" customFormat="1" ht="16.05" customHeight="1">
      <c r="A37" s="1783" t="s">
        <v>10</v>
      </c>
      <c r="B37" s="1533"/>
      <c r="C37" s="1782"/>
      <c r="D37" s="692">
        <f>ROUNDUP(SUM(D18:D36),0)</f>
        <v>0</v>
      </c>
      <c r="E37" s="1826" t="s">
        <v>1240</v>
      </c>
      <c r="F37" s="1772"/>
      <c r="G37" s="1829" t="s">
        <v>1238</v>
      </c>
      <c r="H37" s="600"/>
      <c r="K37" s="1091" t="s">
        <v>672</v>
      </c>
      <c r="L37" s="1452">
        <f>$B$42/M37</f>
        <v>0</v>
      </c>
      <c r="M37" s="1093">
        <v>4</v>
      </c>
      <c r="N37" s="1094" t="s">
        <v>673</v>
      </c>
      <c r="AV37" s="595">
        <v>29000</v>
      </c>
      <c r="AW37" s="595"/>
      <c r="AX37" s="595"/>
      <c r="AY37" s="595">
        <f t="shared" si="4"/>
        <v>29000</v>
      </c>
      <c r="AZ37" s="595"/>
      <c r="BA37" s="595"/>
      <c r="BB37" s="595">
        <f t="shared" si="33"/>
        <v>58000</v>
      </c>
      <c r="BC37" s="595"/>
      <c r="BD37" s="595"/>
      <c r="BE37" s="595">
        <f t="shared" si="34"/>
        <v>58000</v>
      </c>
      <c r="BF37" s="596" t="e">
        <f>IF(AV37&lt;=#REF!,#REF!,IF(AV37&lt;=#REF!,#REF!,IF(AV37&lt;=#REF!,#REF!,IF(AV37&lt;=#REF!,#REF!,IF(AV37&lt;=#REF!,#REF!,IF(AV37&lt;=#REF!,#REF!,IF(AV37&lt;=#REF!,#REF!,0.05)))))))</f>
        <v>#REF!</v>
      </c>
      <c r="BG37" s="595" t="e">
        <f t="shared" si="35"/>
        <v>#REF!</v>
      </c>
      <c r="BH37" s="596"/>
      <c r="BI37" s="596" t="e">
        <f>IF(AY37&lt;=#REF!,#REF!,IF(AY37&lt;=#REF!,#REF!,IF(AY37&lt;=#REF!,#REF!,IF(AY37&lt;=#REF!,#REF!,IF(AY37&lt;=#REF!,#REF!,IF(AY37&lt;=#REF!,#REF!,IF(AY37&lt;=#REF!,#REF!,0.05)))))))</f>
        <v>#REF!</v>
      </c>
      <c r="BJ37" s="595" t="e">
        <f t="shared" si="36"/>
        <v>#REF!</v>
      </c>
      <c r="BK37" s="596"/>
      <c r="BL37" s="596" t="e">
        <f>IF(BB37&lt;=#REF!,#REF!,IF(BB37&lt;=#REF!,#REF!,IF(BB37&lt;=#REF!,#REF!,IF(BB37&lt;=#REF!,#REF!,IF(BB37&lt;=#REF!,#REF!,IF(BB37&lt;=#REF!,#REF!,IF(BB37&lt;=#REF!,#REF!,0.05)))))))</f>
        <v>#REF!</v>
      </c>
      <c r="BM37" s="595" t="e">
        <f t="shared" si="37"/>
        <v>#REF!</v>
      </c>
      <c r="BN37" s="596"/>
      <c r="BO37" s="597" t="e">
        <f>IF(BE37&lt;=#REF!,#REF!,IF(BE37&lt;=#REF!,#REF!,IF(BE37&lt;=#REF!,#REF!,IF(BE37&lt;=#REF!,#REF!,IF(BE37&lt;=#REF!,#REF!,IF(BE37&lt;=#REF!,#REF!,IF(BE37&lt;=#REF!,#REF!,0.05)))))))</f>
        <v>#REF!</v>
      </c>
      <c r="BP37" s="595" t="e">
        <f t="shared" si="38"/>
        <v>#REF!</v>
      </c>
      <c r="BR37" s="598" t="e">
        <f t="shared" si="39"/>
        <v>#REF!</v>
      </c>
      <c r="BT37" s="598" t="e">
        <f t="shared" si="40"/>
        <v>#REF!</v>
      </c>
      <c r="BU37" s="599" t="e">
        <f t="shared" si="41"/>
        <v>#REF!</v>
      </c>
      <c r="BV37" s="596" t="e">
        <f t="shared" si="42"/>
        <v>#REF!</v>
      </c>
      <c r="CL37" s="595">
        <v>29000</v>
      </c>
      <c r="CM37" s="595"/>
      <c r="CN37" s="595"/>
      <c r="CO37" s="595">
        <f t="shared" si="15"/>
        <v>29000</v>
      </c>
      <c r="CP37" s="595"/>
      <c r="CQ37" s="595"/>
      <c r="CR37" s="595">
        <f t="shared" si="16"/>
        <v>58000</v>
      </c>
      <c r="CS37" s="595"/>
      <c r="CT37" s="595"/>
      <c r="CU37" s="595">
        <f t="shared" si="17"/>
        <v>58000</v>
      </c>
      <c r="CV37" s="596">
        <f t="shared" si="29"/>
        <v>0.05</v>
      </c>
      <c r="CW37" s="595">
        <f t="shared" si="18"/>
        <v>1450</v>
      </c>
      <c r="CX37" s="596"/>
      <c r="CY37" s="596">
        <f t="shared" si="30"/>
        <v>0.03</v>
      </c>
      <c r="CZ37" s="595">
        <f t="shared" si="19"/>
        <v>870</v>
      </c>
      <c r="DA37" s="596"/>
      <c r="DB37" s="596">
        <f t="shared" si="31"/>
        <v>0.18</v>
      </c>
      <c r="DC37" s="595">
        <f t="shared" si="20"/>
        <v>10857.6</v>
      </c>
      <c r="DD37" s="596"/>
      <c r="DE37" s="597">
        <f t="shared" si="32"/>
        <v>-0.06</v>
      </c>
      <c r="DF37" s="595">
        <f t="shared" si="21"/>
        <v>-3480</v>
      </c>
      <c r="DH37" s="598">
        <f t="shared" si="22"/>
        <v>4738.8320000000012</v>
      </c>
      <c r="DJ37" s="598">
        <f t="shared" si="23"/>
        <v>72436.432000000001</v>
      </c>
      <c r="DK37" s="599">
        <f t="shared" si="24"/>
        <v>9697.6</v>
      </c>
      <c r="DL37" s="596">
        <f t="shared" si="25"/>
        <v>0.13387738369001942</v>
      </c>
    </row>
    <row r="38" spans="1:116" s="585" customFormat="1">
      <c r="A38" s="693" t="s">
        <v>219</v>
      </c>
      <c r="B38" s="1824">
        <v>0.06</v>
      </c>
      <c r="C38" s="1830" t="s">
        <v>1241</v>
      </c>
      <c r="D38" s="696">
        <f>ROUNDUP(SUM(D18:D20,D21:D28,D29:D32,D33:D36)*B38,0)</f>
        <v>0</v>
      </c>
      <c r="E38" s="697" t="s">
        <v>49</v>
      </c>
      <c r="F38" s="1776"/>
      <c r="G38" s="698" t="b">
        <f>IF(H38="15%","Request Discount:",IF(H38="20%","Request Discount:",IF(H38="25%","Request Discount:")))</f>
        <v>0</v>
      </c>
      <c r="H38" s="699" t="b">
        <f>IF(D37&gt;=100000,"25%",IF(D37&gt;=30000,"20%",IF(D37&gt;=10000,"15%")))</f>
        <v>0</v>
      </c>
      <c r="J38" s="700"/>
      <c r="K38" s="1091" t="s">
        <v>672</v>
      </c>
      <c r="L38" s="1452">
        <f>$B$42/M38</f>
        <v>0</v>
      </c>
      <c r="M38" s="1093">
        <v>3</v>
      </c>
      <c r="N38" s="1094" t="s">
        <v>673</v>
      </c>
      <c r="O38" s="1452">
        <f>O40/M38</f>
        <v>0</v>
      </c>
      <c r="AV38" s="595">
        <v>30000</v>
      </c>
      <c r="AW38" s="595"/>
      <c r="AX38" s="595"/>
      <c r="AY38" s="595">
        <f t="shared" si="4"/>
        <v>30000</v>
      </c>
      <c r="AZ38" s="595"/>
      <c r="BA38" s="595"/>
      <c r="BB38" s="595">
        <f t="shared" si="33"/>
        <v>60000</v>
      </c>
      <c r="BC38" s="595"/>
      <c r="BD38" s="595"/>
      <c r="BE38" s="595">
        <f t="shared" si="34"/>
        <v>60000</v>
      </c>
      <c r="BF38" s="596" t="e">
        <f>IF(AV38&lt;=#REF!,#REF!,IF(AV38&lt;=#REF!,#REF!,IF(AV38&lt;=#REF!,#REF!,IF(AV38&lt;=#REF!,#REF!,IF(AV38&lt;=#REF!,#REF!,IF(AV38&lt;=#REF!,#REF!,IF(AV38&lt;=#REF!,#REF!,0.05)))))))</f>
        <v>#REF!</v>
      </c>
      <c r="BG38" s="595" t="e">
        <f t="shared" si="35"/>
        <v>#REF!</v>
      </c>
      <c r="BH38" s="596"/>
      <c r="BI38" s="596" t="e">
        <f>IF(AY38&lt;=#REF!,#REF!,IF(AY38&lt;=#REF!,#REF!,IF(AY38&lt;=#REF!,#REF!,IF(AY38&lt;=#REF!,#REF!,IF(AY38&lt;=#REF!,#REF!,IF(AY38&lt;=#REF!,#REF!,IF(AY38&lt;=#REF!,#REF!,0.05)))))))</f>
        <v>#REF!</v>
      </c>
      <c r="BJ38" s="595" t="e">
        <f t="shared" si="36"/>
        <v>#REF!</v>
      </c>
      <c r="BK38" s="596"/>
      <c r="BL38" s="596" t="e">
        <f>IF(BB38&lt;=#REF!,#REF!,IF(BB38&lt;=#REF!,#REF!,IF(BB38&lt;=#REF!,#REF!,IF(BB38&lt;=#REF!,#REF!,IF(BB38&lt;=#REF!,#REF!,IF(BB38&lt;=#REF!,#REF!,IF(BB38&lt;=#REF!,#REF!,0.05)))))))</f>
        <v>#REF!</v>
      </c>
      <c r="BM38" s="595" t="e">
        <f t="shared" si="37"/>
        <v>#REF!</v>
      </c>
      <c r="BN38" s="596"/>
      <c r="BO38" s="597" t="e">
        <f>IF(BE38&lt;=#REF!,#REF!,IF(BE38&lt;=#REF!,#REF!,IF(BE38&lt;=#REF!,#REF!,IF(BE38&lt;=#REF!,#REF!,IF(BE38&lt;=#REF!,#REF!,IF(BE38&lt;=#REF!,#REF!,IF(BE38&lt;=#REF!,#REF!,0.05)))))))</f>
        <v>#REF!</v>
      </c>
      <c r="BP38" s="595" t="e">
        <f t="shared" si="38"/>
        <v>#REF!</v>
      </c>
      <c r="BR38" s="598" t="e">
        <f t="shared" si="39"/>
        <v>#REF!</v>
      </c>
      <c r="BT38" s="598" t="e">
        <f t="shared" si="40"/>
        <v>#REF!</v>
      </c>
      <c r="BU38" s="599" t="e">
        <f t="shared" si="41"/>
        <v>#REF!</v>
      </c>
      <c r="BV38" s="596" t="e">
        <f t="shared" si="42"/>
        <v>#REF!</v>
      </c>
      <c r="CL38" s="595">
        <v>30000</v>
      </c>
      <c r="CM38" s="595"/>
      <c r="CN38" s="595"/>
      <c r="CO38" s="595">
        <f t="shared" si="15"/>
        <v>30000</v>
      </c>
      <c r="CP38" s="595"/>
      <c r="CQ38" s="595"/>
      <c r="CR38" s="595">
        <f t="shared" si="16"/>
        <v>60000</v>
      </c>
      <c r="CS38" s="595"/>
      <c r="CT38" s="595"/>
      <c r="CU38" s="595">
        <f t="shared" si="17"/>
        <v>60000</v>
      </c>
      <c r="CV38" s="596">
        <f t="shared" si="29"/>
        <v>0.05</v>
      </c>
      <c r="CW38" s="595">
        <f t="shared" si="18"/>
        <v>1500</v>
      </c>
      <c r="CX38" s="596"/>
      <c r="CY38" s="596">
        <f t="shared" si="30"/>
        <v>0.03</v>
      </c>
      <c r="CZ38" s="595">
        <f t="shared" si="19"/>
        <v>900</v>
      </c>
      <c r="DA38" s="596"/>
      <c r="DB38" s="596">
        <f t="shared" si="31"/>
        <v>0.18</v>
      </c>
      <c r="DC38" s="595">
        <f t="shared" si="20"/>
        <v>11232</v>
      </c>
      <c r="DD38" s="596"/>
      <c r="DE38" s="597">
        <f t="shared" si="32"/>
        <v>-0.06</v>
      </c>
      <c r="DF38" s="595">
        <f t="shared" si="21"/>
        <v>-3600</v>
      </c>
      <c r="DH38" s="598">
        <f t="shared" si="22"/>
        <v>4902.2400000000007</v>
      </c>
      <c r="DJ38" s="598">
        <f t="shared" si="23"/>
        <v>74934.240000000005</v>
      </c>
      <c r="DK38" s="599">
        <f t="shared" si="24"/>
        <v>10032</v>
      </c>
      <c r="DL38" s="596">
        <f t="shared" si="25"/>
        <v>0.13387738369001939</v>
      </c>
    </row>
    <row r="39" spans="1:116" s="585" customFormat="1">
      <c r="A39" s="701" t="s">
        <v>1157</v>
      </c>
      <c r="B39" s="900">
        <f>(0.05+IF(D37&lt;=5000,0.1,IF(D37&lt;=10000,0.06,0.04)))</f>
        <v>0.15000000000000002</v>
      </c>
      <c r="C39" s="703"/>
      <c r="D39" s="704">
        <f>ROUNDUP(D37*B39,0)</f>
        <v>0</v>
      </c>
      <c r="E39" s="600"/>
      <c r="G39" s="705"/>
      <c r="H39" s="706" t="s">
        <v>201</v>
      </c>
      <c r="I39" s="707"/>
      <c r="K39" s="1091" t="s">
        <v>672</v>
      </c>
      <c r="L39" s="1452">
        <f>$B$42/M39</f>
        <v>0</v>
      </c>
      <c r="M39" s="1093">
        <v>2</v>
      </c>
      <c r="N39" s="1094" t="s">
        <v>673</v>
      </c>
      <c r="O39" s="1452">
        <f>O40/M39</f>
        <v>0</v>
      </c>
      <c r="AA39" s="1477" t="s">
        <v>987</v>
      </c>
      <c r="AV39" s="595">
        <v>31000</v>
      </c>
      <c r="AW39" s="595"/>
      <c r="AX39" s="595"/>
      <c r="AY39" s="595">
        <f t="shared" si="4"/>
        <v>31000</v>
      </c>
      <c r="AZ39" s="595"/>
      <c r="BA39" s="595"/>
      <c r="BB39" s="595">
        <f t="shared" si="33"/>
        <v>62000</v>
      </c>
      <c r="BC39" s="595"/>
      <c r="BD39" s="595"/>
      <c r="BE39" s="595">
        <f t="shared" si="34"/>
        <v>62000</v>
      </c>
      <c r="BF39" s="596" t="e">
        <f>IF(AV39&lt;=#REF!,#REF!,IF(AV39&lt;=#REF!,#REF!,IF(AV39&lt;=#REF!,#REF!,IF(AV39&lt;=#REF!,#REF!,IF(AV39&lt;=#REF!,#REF!,IF(AV39&lt;=#REF!,#REF!,IF(AV39&lt;=#REF!,#REF!,0.05)))))))</f>
        <v>#REF!</v>
      </c>
      <c r="BG39" s="595" t="e">
        <f t="shared" si="35"/>
        <v>#REF!</v>
      </c>
      <c r="BH39" s="596"/>
      <c r="BI39" s="596" t="e">
        <f>IF(AY39&lt;=#REF!,#REF!,IF(AY39&lt;=#REF!,#REF!,IF(AY39&lt;=#REF!,#REF!,IF(AY39&lt;=#REF!,#REF!,IF(AY39&lt;=#REF!,#REF!,IF(AY39&lt;=#REF!,#REF!,IF(AY39&lt;=#REF!,#REF!,0.05)))))))</f>
        <v>#REF!</v>
      </c>
      <c r="BJ39" s="595" t="e">
        <f t="shared" si="36"/>
        <v>#REF!</v>
      </c>
      <c r="BK39" s="596"/>
      <c r="BL39" s="596" t="e">
        <f>IF(BB39&lt;=#REF!,#REF!,IF(BB39&lt;=#REF!,#REF!,IF(BB39&lt;=#REF!,#REF!,IF(BB39&lt;=#REF!,#REF!,IF(BB39&lt;=#REF!,#REF!,IF(BB39&lt;=#REF!,#REF!,IF(BB39&lt;=#REF!,#REF!,0.05)))))))</f>
        <v>#REF!</v>
      </c>
      <c r="BM39" s="595" t="e">
        <f t="shared" si="37"/>
        <v>#REF!</v>
      </c>
      <c r="BN39" s="596"/>
      <c r="BO39" s="597" t="e">
        <f>IF(BE39&lt;=#REF!,#REF!,IF(BE39&lt;=#REF!,#REF!,IF(BE39&lt;=#REF!,#REF!,IF(BE39&lt;=#REF!,#REF!,IF(BE39&lt;=#REF!,#REF!,IF(BE39&lt;=#REF!,#REF!,IF(BE39&lt;=#REF!,#REF!,0.05)))))))</f>
        <v>#REF!</v>
      </c>
      <c r="BP39" s="595" t="e">
        <f t="shared" si="38"/>
        <v>#REF!</v>
      </c>
      <c r="BR39" s="598" t="e">
        <f t="shared" si="39"/>
        <v>#REF!</v>
      </c>
      <c r="BT39" s="598" t="e">
        <f t="shared" si="40"/>
        <v>#REF!</v>
      </c>
      <c r="BU39" s="599" t="e">
        <f t="shared" si="41"/>
        <v>#REF!</v>
      </c>
      <c r="BV39" s="596" t="e">
        <f t="shared" si="42"/>
        <v>#REF!</v>
      </c>
      <c r="CL39" s="595">
        <v>31000</v>
      </c>
      <c r="CM39" s="595"/>
      <c r="CN39" s="595"/>
      <c r="CO39" s="595">
        <f t="shared" si="15"/>
        <v>31000</v>
      </c>
      <c r="CP39" s="595"/>
      <c r="CQ39" s="595"/>
      <c r="CR39" s="595">
        <f t="shared" si="16"/>
        <v>62000</v>
      </c>
      <c r="CS39" s="595"/>
      <c r="CT39" s="595"/>
      <c r="CU39" s="595">
        <f t="shared" si="17"/>
        <v>62000</v>
      </c>
      <c r="CV39" s="596">
        <f t="shared" si="29"/>
        <v>0.05</v>
      </c>
      <c r="CW39" s="595">
        <f t="shared" si="18"/>
        <v>1550</v>
      </c>
      <c r="CX39" s="596"/>
      <c r="CY39" s="596">
        <f t="shared" si="30"/>
        <v>0.03</v>
      </c>
      <c r="CZ39" s="595">
        <f t="shared" si="19"/>
        <v>930</v>
      </c>
      <c r="DA39" s="596"/>
      <c r="DB39" s="596">
        <f t="shared" si="31"/>
        <v>0.18</v>
      </c>
      <c r="DC39" s="595">
        <f t="shared" si="20"/>
        <v>11606.4</v>
      </c>
      <c r="DD39" s="596"/>
      <c r="DE39" s="597">
        <f t="shared" si="32"/>
        <v>-0.06</v>
      </c>
      <c r="DF39" s="595">
        <f t="shared" si="21"/>
        <v>-3720</v>
      </c>
      <c r="DH39" s="598">
        <f t="shared" si="22"/>
        <v>5065.6480000000001</v>
      </c>
      <c r="DJ39" s="598">
        <f t="shared" si="23"/>
        <v>77432.047999999995</v>
      </c>
      <c r="DK39" s="599">
        <f t="shared" si="24"/>
        <v>10366.4</v>
      </c>
      <c r="DL39" s="596">
        <f t="shared" si="25"/>
        <v>0.13387738369001942</v>
      </c>
    </row>
    <row r="40" spans="1:116" s="585" customFormat="1">
      <c r="A40" s="708" t="s">
        <v>3</v>
      </c>
      <c r="B40" s="709"/>
      <c r="C40" s="710"/>
      <c r="D40" s="710">
        <f>SUM(D37:D39)</f>
        <v>0</v>
      </c>
      <c r="E40" s="711" t="e">
        <f>D40/B42</f>
        <v>#DIV/0!</v>
      </c>
      <c r="F40" s="712" t="s">
        <v>80</v>
      </c>
      <c r="G40" s="629"/>
      <c r="H40" s="713">
        <f>D40</f>
        <v>0</v>
      </c>
      <c r="I40" s="596"/>
      <c r="J40" s="600"/>
      <c r="K40" s="1453" t="s">
        <v>938</v>
      </c>
      <c r="L40" s="1454">
        <f>B42</f>
        <v>0</v>
      </c>
      <c r="O40" s="1460">
        <f>I44</f>
        <v>0</v>
      </c>
      <c r="P40" s="1459" t="s">
        <v>939</v>
      </c>
      <c r="Q40" s="1461">
        <f>J44</f>
        <v>0</v>
      </c>
      <c r="R40" s="699" t="s">
        <v>941</v>
      </c>
      <c r="S40" s="1462" t="e">
        <f>Q40/O40</f>
        <v>#DIV/0!</v>
      </c>
      <c r="T40" s="1094" t="s">
        <v>940</v>
      </c>
      <c r="AA40" s="1460">
        <f>B42</f>
        <v>0</v>
      </c>
      <c r="AB40" s="1459" t="s">
        <v>939</v>
      </c>
      <c r="AC40" s="1461">
        <f>D42</f>
        <v>0</v>
      </c>
      <c r="AD40" s="699" t="s">
        <v>941</v>
      </c>
      <c r="AE40" s="1462" t="e">
        <f>AC40/AA40</f>
        <v>#DIV/0!</v>
      </c>
      <c r="AF40" s="1094" t="s">
        <v>940</v>
      </c>
      <c r="AV40" s="595">
        <v>32000</v>
      </c>
      <c r="AW40" s="595"/>
      <c r="AX40" s="595"/>
      <c r="AY40" s="595">
        <f t="shared" si="4"/>
        <v>32000</v>
      </c>
      <c r="AZ40" s="595"/>
      <c r="BA40" s="595"/>
      <c r="BB40" s="595">
        <f t="shared" si="33"/>
        <v>64000</v>
      </c>
      <c r="BC40" s="595"/>
      <c r="BD40" s="595"/>
      <c r="BE40" s="595">
        <f t="shared" si="34"/>
        <v>64000</v>
      </c>
      <c r="BF40" s="596" t="e">
        <f>IF(AV40&lt;=#REF!,#REF!,IF(AV40&lt;=#REF!,#REF!,IF(AV40&lt;=#REF!,#REF!,IF(AV40&lt;=#REF!,#REF!,IF(AV40&lt;=#REF!,#REF!,IF(AV40&lt;=#REF!,#REF!,IF(AV40&lt;=#REF!,#REF!,0.05)))))))</f>
        <v>#REF!</v>
      </c>
      <c r="BG40" s="595" t="e">
        <f t="shared" si="35"/>
        <v>#REF!</v>
      </c>
      <c r="BH40" s="596"/>
      <c r="BI40" s="596" t="e">
        <f>IF(AY40&lt;=#REF!,#REF!,IF(AY40&lt;=#REF!,#REF!,IF(AY40&lt;=#REF!,#REF!,IF(AY40&lt;=#REF!,#REF!,IF(AY40&lt;=#REF!,#REF!,IF(AY40&lt;=#REF!,#REF!,IF(AY40&lt;=#REF!,#REF!,0.05)))))))</f>
        <v>#REF!</v>
      </c>
      <c r="BJ40" s="595" t="e">
        <f t="shared" si="36"/>
        <v>#REF!</v>
      </c>
      <c r="BK40" s="596"/>
      <c r="BL40" s="596" t="e">
        <f>IF(BB40&lt;=#REF!,#REF!,IF(BB40&lt;=#REF!,#REF!,IF(BB40&lt;=#REF!,#REF!,IF(BB40&lt;=#REF!,#REF!,IF(BB40&lt;=#REF!,#REF!,IF(BB40&lt;=#REF!,#REF!,IF(BB40&lt;=#REF!,#REF!,0.05)))))))</f>
        <v>#REF!</v>
      </c>
      <c r="BM40" s="595" t="e">
        <f t="shared" si="37"/>
        <v>#REF!</v>
      </c>
      <c r="BN40" s="596"/>
      <c r="BO40" s="597" t="e">
        <f>IF(BE40&lt;=#REF!,#REF!,IF(BE40&lt;=#REF!,#REF!,IF(BE40&lt;=#REF!,#REF!,IF(BE40&lt;=#REF!,#REF!,IF(BE40&lt;=#REF!,#REF!,IF(BE40&lt;=#REF!,#REF!,IF(BE40&lt;=#REF!,#REF!,0.05)))))))</f>
        <v>#REF!</v>
      </c>
      <c r="BP40" s="595" t="e">
        <f t="shared" si="38"/>
        <v>#REF!</v>
      </c>
      <c r="BR40" s="598" t="e">
        <f t="shared" si="39"/>
        <v>#REF!</v>
      </c>
      <c r="BT40" s="598" t="e">
        <f t="shared" si="40"/>
        <v>#REF!</v>
      </c>
      <c r="BU40" s="599" t="e">
        <f t="shared" si="41"/>
        <v>#REF!</v>
      </c>
      <c r="BV40" s="596" t="e">
        <f t="shared" si="42"/>
        <v>#REF!</v>
      </c>
      <c r="CL40" s="595">
        <v>32000</v>
      </c>
      <c r="CM40" s="595"/>
      <c r="CN40" s="595"/>
      <c r="CO40" s="595">
        <f t="shared" si="15"/>
        <v>32000</v>
      </c>
      <c r="CP40" s="595"/>
      <c r="CQ40" s="595"/>
      <c r="CR40" s="595">
        <f t="shared" si="16"/>
        <v>64000</v>
      </c>
      <c r="CS40" s="595"/>
      <c r="CT40" s="595"/>
      <c r="CU40" s="595">
        <f t="shared" si="17"/>
        <v>64000</v>
      </c>
      <c r="CV40" s="596">
        <f t="shared" si="29"/>
        <v>0.05</v>
      </c>
      <c r="CW40" s="595">
        <f t="shared" si="18"/>
        <v>1600</v>
      </c>
      <c r="CX40" s="596"/>
      <c r="CY40" s="596">
        <f t="shared" si="30"/>
        <v>0.03</v>
      </c>
      <c r="CZ40" s="595">
        <f t="shared" si="19"/>
        <v>960</v>
      </c>
      <c r="DA40" s="596"/>
      <c r="DB40" s="596">
        <f t="shared" si="31"/>
        <v>0.18</v>
      </c>
      <c r="DC40" s="595">
        <f t="shared" si="20"/>
        <v>11980.8</v>
      </c>
      <c r="DD40" s="596"/>
      <c r="DE40" s="597">
        <f t="shared" si="32"/>
        <v>-0.06</v>
      </c>
      <c r="DF40" s="595">
        <f t="shared" si="21"/>
        <v>-3840</v>
      </c>
      <c r="DH40" s="598">
        <f t="shared" si="22"/>
        <v>5229.0560000000005</v>
      </c>
      <c r="DJ40" s="598">
        <f t="shared" si="23"/>
        <v>79929.856</v>
      </c>
      <c r="DK40" s="599">
        <f t="shared" si="24"/>
        <v>10700.8</v>
      </c>
      <c r="DL40" s="596">
        <f t="shared" si="25"/>
        <v>0.13387738369001939</v>
      </c>
    </row>
    <row r="41" spans="1:116" s="585" customFormat="1">
      <c r="A41" s="714" t="s">
        <v>569</v>
      </c>
      <c r="B41" s="715">
        <f>E20</f>
        <v>0</v>
      </c>
      <c r="C41" s="714"/>
      <c r="D41" s="715"/>
      <c r="E41" s="600"/>
      <c r="G41" s="716"/>
      <c r="H41" s="600"/>
      <c r="I41" s="600"/>
      <c r="L41" s="717" t="s">
        <v>600</v>
      </c>
      <c r="M41" s="718"/>
      <c r="O41" s="1132" t="s">
        <v>715</v>
      </c>
      <c r="P41" s="1130" t="s">
        <v>714</v>
      </c>
      <c r="Q41" s="1091" t="s">
        <v>712</v>
      </c>
      <c r="R41" s="1138" t="s">
        <v>713</v>
      </c>
      <c r="AA41" s="1132" t="s">
        <v>715</v>
      </c>
      <c r="AB41" s="1130" t="s">
        <v>714</v>
      </c>
      <c r="AC41" s="1091" t="s">
        <v>712</v>
      </c>
      <c r="AD41" s="1138" t="s">
        <v>713</v>
      </c>
      <c r="AV41" s="595">
        <v>33000</v>
      </c>
      <c r="AW41" s="595"/>
      <c r="AX41" s="595"/>
      <c r="AY41" s="595">
        <f t="shared" si="4"/>
        <v>33000</v>
      </c>
      <c r="AZ41" s="595"/>
      <c r="BA41" s="595"/>
      <c r="BB41" s="595">
        <f t="shared" si="33"/>
        <v>66000</v>
      </c>
      <c r="BC41" s="595"/>
      <c r="BD41" s="595"/>
      <c r="BE41" s="595">
        <f t="shared" si="34"/>
        <v>66000</v>
      </c>
      <c r="BF41" s="596" t="e">
        <f>IF(AV41&lt;=#REF!,#REF!,IF(AV41&lt;=#REF!,#REF!,IF(AV41&lt;=#REF!,#REF!,IF(AV41&lt;=#REF!,#REF!,IF(AV41&lt;=#REF!,#REF!,IF(AV41&lt;=#REF!,#REF!,IF(AV41&lt;=#REF!,#REF!,0.05)))))))</f>
        <v>#REF!</v>
      </c>
      <c r="BG41" s="595" t="e">
        <f t="shared" si="35"/>
        <v>#REF!</v>
      </c>
      <c r="BH41" s="596"/>
      <c r="BI41" s="596" t="e">
        <f>IF(AY41&lt;=#REF!,#REF!,IF(AY41&lt;=#REF!,#REF!,IF(AY41&lt;=#REF!,#REF!,IF(AY41&lt;=#REF!,#REF!,IF(AY41&lt;=#REF!,#REF!,IF(AY41&lt;=#REF!,#REF!,IF(AY41&lt;=#REF!,#REF!,0.05)))))))</f>
        <v>#REF!</v>
      </c>
      <c r="BJ41" s="595" t="e">
        <f t="shared" si="36"/>
        <v>#REF!</v>
      </c>
      <c r="BK41" s="596"/>
      <c r="BL41" s="596" t="e">
        <f>IF(BB41&lt;=#REF!,#REF!,IF(BB41&lt;=#REF!,#REF!,IF(BB41&lt;=#REF!,#REF!,IF(BB41&lt;=#REF!,#REF!,IF(BB41&lt;=#REF!,#REF!,IF(BB41&lt;=#REF!,#REF!,IF(BB41&lt;=#REF!,#REF!,0.05)))))))</f>
        <v>#REF!</v>
      </c>
      <c r="BM41" s="595" t="e">
        <f t="shared" si="37"/>
        <v>#REF!</v>
      </c>
      <c r="BN41" s="596"/>
      <c r="BO41" s="597" t="e">
        <f>IF(BE41&lt;=#REF!,#REF!,IF(BE41&lt;=#REF!,#REF!,IF(BE41&lt;=#REF!,#REF!,IF(BE41&lt;=#REF!,#REF!,IF(BE41&lt;=#REF!,#REF!,IF(BE41&lt;=#REF!,#REF!,IF(BE41&lt;=#REF!,#REF!,0.05)))))))</f>
        <v>#REF!</v>
      </c>
      <c r="BP41" s="595" t="e">
        <f t="shared" si="38"/>
        <v>#REF!</v>
      </c>
      <c r="BR41" s="598" t="e">
        <f t="shared" si="39"/>
        <v>#REF!</v>
      </c>
      <c r="BT41" s="598" t="e">
        <f t="shared" si="40"/>
        <v>#REF!</v>
      </c>
      <c r="BU41" s="599" t="e">
        <f t="shared" si="41"/>
        <v>#REF!</v>
      </c>
      <c r="BV41" s="596" t="e">
        <f t="shared" si="42"/>
        <v>#REF!</v>
      </c>
      <c r="CL41" s="595">
        <v>33000</v>
      </c>
      <c r="CM41" s="595"/>
      <c r="CN41" s="595"/>
      <c r="CO41" s="595">
        <f t="shared" si="15"/>
        <v>33000</v>
      </c>
      <c r="CP41" s="595"/>
      <c r="CQ41" s="595"/>
      <c r="CR41" s="595">
        <f t="shared" si="16"/>
        <v>66000</v>
      </c>
      <c r="CS41" s="595"/>
      <c r="CT41" s="595"/>
      <c r="CU41" s="595">
        <f t="shared" si="17"/>
        <v>66000</v>
      </c>
      <c r="CV41" s="596">
        <f t="shared" si="29"/>
        <v>0.05</v>
      </c>
      <c r="CW41" s="595">
        <f t="shared" si="18"/>
        <v>1650</v>
      </c>
      <c r="CX41" s="596"/>
      <c r="CY41" s="596">
        <f t="shared" si="30"/>
        <v>0.03</v>
      </c>
      <c r="CZ41" s="595">
        <f t="shared" si="19"/>
        <v>990</v>
      </c>
      <c r="DA41" s="596"/>
      <c r="DB41" s="596">
        <f t="shared" si="31"/>
        <v>0.18</v>
      </c>
      <c r="DC41" s="595">
        <f t="shared" si="20"/>
        <v>12355.199999999999</v>
      </c>
      <c r="DD41" s="596"/>
      <c r="DE41" s="597">
        <f t="shared" si="32"/>
        <v>-0.06</v>
      </c>
      <c r="DF41" s="595">
        <f t="shared" si="21"/>
        <v>-3960</v>
      </c>
      <c r="DH41" s="598">
        <f t="shared" si="22"/>
        <v>5392.4639999999999</v>
      </c>
      <c r="DJ41" s="598">
        <f t="shared" si="23"/>
        <v>82427.66399999999</v>
      </c>
      <c r="DK41" s="599">
        <f t="shared" si="24"/>
        <v>11035.199999999999</v>
      </c>
      <c r="DL41" s="596">
        <f t="shared" si="25"/>
        <v>0.13387738369001942</v>
      </c>
    </row>
    <row r="42" spans="1:116" s="585" customFormat="1">
      <c r="A42" s="719" t="s">
        <v>45</v>
      </c>
      <c r="B42" s="720">
        <f>E20</f>
        <v>0</v>
      </c>
      <c r="C42" s="719" t="s">
        <v>46</v>
      </c>
      <c r="D42" s="721">
        <f>E32</f>
        <v>0</v>
      </c>
      <c r="E42" s="722" t="s">
        <v>429</v>
      </c>
      <c r="F42" s="723" t="e">
        <f>D42/B42</f>
        <v>#DIV/0!</v>
      </c>
      <c r="G42" s="724" t="s">
        <v>81</v>
      </c>
      <c r="H42" s="725" t="s">
        <v>82</v>
      </c>
      <c r="I42" s="726" t="s">
        <v>204</v>
      </c>
      <c r="J42" s="727" t="s">
        <v>48</v>
      </c>
      <c r="K42" s="728" t="s">
        <v>506</v>
      </c>
      <c r="L42" s="729" t="s">
        <v>597</v>
      </c>
      <c r="M42" s="729" t="s">
        <v>598</v>
      </c>
      <c r="O42" s="1133">
        <v>3</v>
      </c>
      <c r="P42" s="1131">
        <f>P47/O42</f>
        <v>5</v>
      </c>
      <c r="Q42" s="1136">
        <f>O42*P42*R42*8</f>
        <v>3864.0000000000005</v>
      </c>
      <c r="R42" s="1137">
        <f>C44</f>
        <v>32.200000000000003</v>
      </c>
      <c r="AA42" s="1480">
        <v>3</v>
      </c>
      <c r="AB42" s="1131">
        <f>AB47/AA42</f>
        <v>5</v>
      </c>
      <c r="AC42" s="1136">
        <f>AA42*AB42*AD42*8</f>
        <v>3864.0000000000005</v>
      </c>
      <c r="AD42" s="1137">
        <f>C44</f>
        <v>32.200000000000003</v>
      </c>
      <c r="AV42" s="595">
        <v>34000</v>
      </c>
      <c r="AW42" s="595"/>
      <c r="AX42" s="595"/>
      <c r="AY42" s="595">
        <f t="shared" si="4"/>
        <v>34000</v>
      </c>
      <c r="AZ42" s="595"/>
      <c r="BA42" s="595"/>
      <c r="BB42" s="595">
        <f t="shared" si="33"/>
        <v>68000</v>
      </c>
      <c r="BC42" s="595"/>
      <c r="BD42" s="595"/>
      <c r="BE42" s="595">
        <f t="shared" si="34"/>
        <v>68000</v>
      </c>
      <c r="BF42" s="596" t="e">
        <f>IF(AV42&lt;=#REF!,#REF!,IF(AV42&lt;=#REF!,#REF!,IF(AV42&lt;=#REF!,#REF!,IF(AV42&lt;=#REF!,#REF!,IF(AV42&lt;=#REF!,#REF!,IF(AV42&lt;=#REF!,#REF!,IF(AV42&lt;=#REF!,#REF!,0.05)))))))</f>
        <v>#REF!</v>
      </c>
      <c r="BG42" s="595" t="e">
        <f t="shared" si="35"/>
        <v>#REF!</v>
      </c>
      <c r="BH42" s="596"/>
      <c r="BI42" s="596" t="e">
        <f>IF(AY42&lt;=#REF!,#REF!,IF(AY42&lt;=#REF!,#REF!,IF(AY42&lt;=#REF!,#REF!,IF(AY42&lt;=#REF!,#REF!,IF(AY42&lt;=#REF!,#REF!,IF(AY42&lt;=#REF!,#REF!,IF(AY42&lt;=#REF!,#REF!,0.05)))))))</f>
        <v>#REF!</v>
      </c>
      <c r="BJ42" s="595" t="e">
        <f t="shared" si="36"/>
        <v>#REF!</v>
      </c>
      <c r="BK42" s="596"/>
      <c r="BL42" s="596" t="e">
        <f>IF(BB42&lt;=#REF!,#REF!,IF(BB42&lt;=#REF!,#REF!,IF(BB42&lt;=#REF!,#REF!,IF(BB42&lt;=#REF!,#REF!,IF(BB42&lt;=#REF!,#REF!,IF(BB42&lt;=#REF!,#REF!,IF(BB42&lt;=#REF!,#REF!,0.05)))))))</f>
        <v>#REF!</v>
      </c>
      <c r="BM42" s="595" t="e">
        <f t="shared" si="37"/>
        <v>#REF!</v>
      </c>
      <c r="BN42" s="596"/>
      <c r="BO42" s="597" t="e">
        <f>IF(BE42&lt;=#REF!,#REF!,IF(BE42&lt;=#REF!,#REF!,IF(BE42&lt;=#REF!,#REF!,IF(BE42&lt;=#REF!,#REF!,IF(BE42&lt;=#REF!,#REF!,IF(BE42&lt;=#REF!,#REF!,IF(BE42&lt;=#REF!,#REF!,0.05)))))))</f>
        <v>#REF!</v>
      </c>
      <c r="BP42" s="595" t="e">
        <f t="shared" si="38"/>
        <v>#REF!</v>
      </c>
      <c r="BR42" s="598" t="e">
        <f t="shared" si="39"/>
        <v>#REF!</v>
      </c>
      <c r="BT42" s="598" t="e">
        <f t="shared" si="40"/>
        <v>#REF!</v>
      </c>
      <c r="BU42" s="599" t="e">
        <f t="shared" si="41"/>
        <v>#REF!</v>
      </c>
      <c r="BV42" s="596" t="e">
        <f t="shared" si="42"/>
        <v>#REF!</v>
      </c>
      <c r="CL42" s="595">
        <v>34000</v>
      </c>
      <c r="CM42" s="595"/>
      <c r="CN42" s="595"/>
      <c r="CO42" s="595">
        <f t="shared" si="15"/>
        <v>34000</v>
      </c>
      <c r="CP42" s="595"/>
      <c r="CQ42" s="595"/>
      <c r="CR42" s="595">
        <f t="shared" si="16"/>
        <v>68000</v>
      </c>
      <c r="CS42" s="595"/>
      <c r="CT42" s="595"/>
      <c r="CU42" s="595">
        <f t="shared" si="17"/>
        <v>68000</v>
      </c>
      <c r="CV42" s="596">
        <f t="shared" si="29"/>
        <v>0.05</v>
      </c>
      <c r="CW42" s="595">
        <f t="shared" si="18"/>
        <v>1700</v>
      </c>
      <c r="CX42" s="596"/>
      <c r="CY42" s="596">
        <f t="shared" si="30"/>
        <v>0.03</v>
      </c>
      <c r="CZ42" s="595">
        <f t="shared" si="19"/>
        <v>1020</v>
      </c>
      <c r="DA42" s="596"/>
      <c r="DB42" s="596">
        <f t="shared" si="31"/>
        <v>0.18</v>
      </c>
      <c r="DC42" s="595">
        <f t="shared" si="20"/>
        <v>12729.6</v>
      </c>
      <c r="DD42" s="596"/>
      <c r="DE42" s="597">
        <f t="shared" si="32"/>
        <v>-0.06</v>
      </c>
      <c r="DF42" s="595">
        <f t="shared" si="21"/>
        <v>-4080</v>
      </c>
      <c r="DH42" s="598">
        <f t="shared" si="22"/>
        <v>5555.8720000000012</v>
      </c>
      <c r="DJ42" s="598">
        <f t="shared" si="23"/>
        <v>84925.472000000009</v>
      </c>
      <c r="DK42" s="599">
        <f t="shared" si="24"/>
        <v>11369.6</v>
      </c>
      <c r="DL42" s="596">
        <f t="shared" si="25"/>
        <v>0.13387738369001939</v>
      </c>
    </row>
    <row r="43" spans="1:116" s="585" customFormat="1">
      <c r="A43" s="730" t="s">
        <v>52</v>
      </c>
      <c r="B43" s="731" t="s">
        <v>42</v>
      </c>
      <c r="C43" s="731" t="s">
        <v>47</v>
      </c>
      <c r="D43" s="732" t="s">
        <v>51</v>
      </c>
      <c r="E43" s="775" t="str">
        <f>(IF(D5="Yes","PW","-"))</f>
        <v>-</v>
      </c>
      <c r="F43" s="734" t="s">
        <v>86</v>
      </c>
      <c r="G43" s="735" t="s">
        <v>93</v>
      </c>
      <c r="H43" s="736"/>
      <c r="K43" s="737"/>
      <c r="L43" s="738">
        <v>2</v>
      </c>
      <c r="M43" s="738">
        <v>2</v>
      </c>
      <c r="N43" s="585" t="s">
        <v>188</v>
      </c>
      <c r="O43" s="1456" t="s">
        <v>709</v>
      </c>
      <c r="P43" s="1508" t="s">
        <v>438</v>
      </c>
      <c r="Q43" s="1508" t="s">
        <v>707</v>
      </c>
      <c r="R43" s="1508" t="s">
        <v>441</v>
      </c>
      <c r="S43" s="1508" t="s">
        <v>443</v>
      </c>
      <c r="T43" s="1509" t="s">
        <v>710</v>
      </c>
      <c r="U43" s="1508" t="s">
        <v>103</v>
      </c>
      <c r="V43" s="1509" t="s">
        <v>711</v>
      </c>
      <c r="W43" s="1508" t="s">
        <v>442</v>
      </c>
      <c r="AA43" s="1456" t="s">
        <v>709</v>
      </c>
      <c r="AB43" s="1508" t="s">
        <v>951</v>
      </c>
      <c r="AC43" s="1508" t="s">
        <v>707</v>
      </c>
      <c r="AD43" s="1508" t="s">
        <v>441</v>
      </c>
      <c r="AE43" s="1508" t="s">
        <v>443</v>
      </c>
      <c r="AF43" s="1509" t="s">
        <v>710</v>
      </c>
      <c r="AG43" s="1508" t="s">
        <v>103</v>
      </c>
      <c r="AH43" s="1509" t="s">
        <v>711</v>
      </c>
      <c r="AI43" s="1508" t="s">
        <v>442</v>
      </c>
      <c r="AV43" s="595">
        <v>35000</v>
      </c>
      <c r="AW43" s="595"/>
      <c r="AX43" s="595"/>
      <c r="AY43" s="595">
        <f t="shared" si="4"/>
        <v>35000</v>
      </c>
      <c r="AZ43" s="595"/>
      <c r="BA43" s="595"/>
      <c r="BB43" s="595">
        <f t="shared" si="33"/>
        <v>70000</v>
      </c>
      <c r="BC43" s="595"/>
      <c r="BD43" s="595"/>
      <c r="BE43" s="595">
        <f t="shared" si="34"/>
        <v>70000</v>
      </c>
      <c r="BF43" s="596" t="e">
        <f>IF(AV43&lt;=#REF!,#REF!,IF(AV43&lt;=#REF!,#REF!,IF(AV43&lt;=#REF!,#REF!,IF(AV43&lt;=#REF!,#REF!,IF(AV43&lt;=#REF!,#REF!,IF(AV43&lt;=#REF!,#REF!,IF(AV43&lt;=#REF!,#REF!,0.05)))))))</f>
        <v>#REF!</v>
      </c>
      <c r="BG43" s="595" t="e">
        <f t="shared" si="35"/>
        <v>#REF!</v>
      </c>
      <c r="BH43" s="596"/>
      <c r="BI43" s="596" t="e">
        <f>IF(AY43&lt;=#REF!,#REF!,IF(AY43&lt;=#REF!,#REF!,IF(AY43&lt;=#REF!,#REF!,IF(AY43&lt;=#REF!,#REF!,IF(AY43&lt;=#REF!,#REF!,IF(AY43&lt;=#REF!,#REF!,IF(AY43&lt;=#REF!,#REF!,0.05)))))))</f>
        <v>#REF!</v>
      </c>
      <c r="BJ43" s="595" t="e">
        <f t="shared" si="36"/>
        <v>#REF!</v>
      </c>
      <c r="BK43" s="596"/>
      <c r="BL43" s="596" t="e">
        <f>IF(BB43&lt;=#REF!,#REF!,IF(BB43&lt;=#REF!,#REF!,IF(BB43&lt;=#REF!,#REF!,IF(BB43&lt;=#REF!,#REF!,IF(BB43&lt;=#REF!,#REF!,IF(BB43&lt;=#REF!,#REF!,IF(BB43&lt;=#REF!,#REF!,0.05)))))))</f>
        <v>#REF!</v>
      </c>
      <c r="BM43" s="595" t="e">
        <f t="shared" si="37"/>
        <v>#REF!</v>
      </c>
      <c r="BN43" s="596"/>
      <c r="BO43" s="597" t="e">
        <f>IF(BE43&lt;=#REF!,#REF!,IF(BE43&lt;=#REF!,#REF!,IF(BE43&lt;=#REF!,#REF!,IF(BE43&lt;=#REF!,#REF!,IF(BE43&lt;=#REF!,#REF!,IF(BE43&lt;=#REF!,#REF!,IF(BE43&lt;=#REF!,#REF!,0.05)))))))</f>
        <v>#REF!</v>
      </c>
      <c r="BP43" s="595" t="e">
        <f t="shared" si="38"/>
        <v>#REF!</v>
      </c>
      <c r="BR43" s="598" t="e">
        <f t="shared" si="39"/>
        <v>#REF!</v>
      </c>
      <c r="BT43" s="598" t="e">
        <f t="shared" si="40"/>
        <v>#REF!</v>
      </c>
      <c r="BU43" s="599" t="e">
        <f t="shared" si="41"/>
        <v>#REF!</v>
      </c>
      <c r="BV43" s="596" t="e">
        <f t="shared" si="42"/>
        <v>#REF!</v>
      </c>
      <c r="CL43" s="595">
        <v>35000</v>
      </c>
      <c r="CM43" s="595"/>
      <c r="CN43" s="595"/>
      <c r="CO43" s="595">
        <f t="shared" si="15"/>
        <v>35000</v>
      </c>
      <c r="CP43" s="595"/>
      <c r="CQ43" s="595"/>
      <c r="CR43" s="595">
        <f t="shared" si="16"/>
        <v>70000</v>
      </c>
      <c r="CS43" s="595"/>
      <c r="CT43" s="595"/>
      <c r="CU43" s="595">
        <f t="shared" si="17"/>
        <v>70000</v>
      </c>
      <c r="CV43" s="596">
        <f t="shared" si="29"/>
        <v>0.05</v>
      </c>
      <c r="CW43" s="595">
        <f t="shared" si="18"/>
        <v>1750</v>
      </c>
      <c r="CX43" s="596"/>
      <c r="CY43" s="596">
        <f t="shared" si="30"/>
        <v>0.03</v>
      </c>
      <c r="CZ43" s="595">
        <f t="shared" si="19"/>
        <v>1050</v>
      </c>
      <c r="DA43" s="596"/>
      <c r="DB43" s="596">
        <f t="shared" si="31"/>
        <v>0.18</v>
      </c>
      <c r="DC43" s="595">
        <f t="shared" si="20"/>
        <v>13104</v>
      </c>
      <c r="DD43" s="596"/>
      <c r="DE43" s="597">
        <f t="shared" si="32"/>
        <v>-0.06</v>
      </c>
      <c r="DF43" s="595">
        <f t="shared" si="21"/>
        <v>-4200</v>
      </c>
      <c r="DH43" s="598">
        <f t="shared" si="22"/>
        <v>5719.2800000000007</v>
      </c>
      <c r="DJ43" s="598">
        <f t="shared" si="23"/>
        <v>87423.28</v>
      </c>
      <c r="DK43" s="599">
        <f t="shared" si="24"/>
        <v>11704</v>
      </c>
      <c r="DL43" s="596">
        <f t="shared" si="25"/>
        <v>0.13387738369001942</v>
      </c>
    </row>
    <row r="44" spans="1:116" s="585" customFormat="1">
      <c r="A44" s="1084">
        <v>3</v>
      </c>
      <c r="B44" s="1083">
        <v>5</v>
      </c>
      <c r="C44" s="740">
        <v>32.200000000000003</v>
      </c>
      <c r="D44" s="741">
        <f>(A44*B44*C44)*IF($E$42="8 hour days",8,10)</f>
        <v>3864.0000000000005</v>
      </c>
      <c r="E44" s="733"/>
      <c r="F44" s="742">
        <f>I44/(D44/C44)</f>
        <v>0</v>
      </c>
      <c r="G44" s="743" t="s">
        <v>84</v>
      </c>
      <c r="H44" s="744"/>
      <c r="I44" s="745">
        <f>B42</f>
        <v>0</v>
      </c>
      <c r="J44" s="745">
        <f>D42</f>
        <v>0</v>
      </c>
      <c r="K44" s="737" t="e">
        <f>J44/I44</f>
        <v>#DIV/0!</v>
      </c>
      <c r="L44" s="624">
        <v>3</v>
      </c>
      <c r="M44" s="624">
        <v>3</v>
      </c>
      <c r="N44" s="600" t="s">
        <v>189</v>
      </c>
      <c r="O44" s="1457" t="s">
        <v>331</v>
      </c>
      <c r="P44" s="1061">
        <v>3</v>
      </c>
      <c r="Q44" s="585">
        <f>P44</f>
        <v>3</v>
      </c>
      <c r="R44" s="585">
        <f>P44</f>
        <v>3</v>
      </c>
      <c r="S44" s="585">
        <f>P44</f>
        <v>3</v>
      </c>
      <c r="T44" s="1066">
        <f>P44</f>
        <v>3</v>
      </c>
      <c r="U44" s="585">
        <f>P44</f>
        <v>3</v>
      </c>
      <c r="V44" s="1066">
        <f>P44</f>
        <v>3</v>
      </c>
      <c r="W44" s="585">
        <f>P44</f>
        <v>3</v>
      </c>
      <c r="AA44" s="1457" t="s">
        <v>331</v>
      </c>
      <c r="AB44" s="1061">
        <v>3</v>
      </c>
      <c r="AC44" s="585">
        <f>AB44</f>
        <v>3</v>
      </c>
      <c r="AD44" s="585">
        <f>AB44</f>
        <v>3</v>
      </c>
      <c r="AE44" s="585">
        <f>AB44</f>
        <v>3</v>
      </c>
      <c r="AF44" s="1407"/>
      <c r="AG44" s="585">
        <f>AB44</f>
        <v>3</v>
      </c>
      <c r="AH44" s="1407"/>
      <c r="AI44" s="585">
        <f>AB44</f>
        <v>3</v>
      </c>
      <c r="AV44" s="595">
        <v>36000</v>
      </c>
      <c r="AW44" s="595"/>
      <c r="AX44" s="595"/>
      <c r="AY44" s="595">
        <f t="shared" si="4"/>
        <v>36000</v>
      </c>
      <c r="AZ44" s="595"/>
      <c r="BA44" s="595"/>
      <c r="BB44" s="595">
        <f t="shared" si="33"/>
        <v>72000</v>
      </c>
      <c r="BC44" s="595"/>
      <c r="BD44" s="595"/>
      <c r="BE44" s="595">
        <f t="shared" si="34"/>
        <v>72000</v>
      </c>
      <c r="BF44" s="596" t="e">
        <f>IF(AV44&lt;=#REF!,#REF!,IF(AV44&lt;=#REF!,#REF!,IF(AV44&lt;=#REF!,#REF!,IF(AV44&lt;=#REF!,#REF!,IF(AV44&lt;=#REF!,#REF!,IF(AV44&lt;=#REF!,#REF!,IF(AV44&lt;=#REF!,#REF!,0.05)))))))</f>
        <v>#REF!</v>
      </c>
      <c r="BG44" s="595" t="e">
        <f t="shared" si="35"/>
        <v>#REF!</v>
      </c>
      <c r="BH44" s="596"/>
      <c r="BI44" s="596" t="e">
        <f>IF(AY44&lt;=#REF!,#REF!,IF(AY44&lt;=#REF!,#REF!,IF(AY44&lt;=#REF!,#REF!,IF(AY44&lt;=#REF!,#REF!,IF(AY44&lt;=#REF!,#REF!,IF(AY44&lt;=#REF!,#REF!,IF(AY44&lt;=#REF!,#REF!,0.05)))))))</f>
        <v>#REF!</v>
      </c>
      <c r="BJ44" s="595" t="e">
        <f t="shared" si="36"/>
        <v>#REF!</v>
      </c>
      <c r="BK44" s="596"/>
      <c r="BL44" s="596" t="e">
        <f>IF(BB44&lt;=#REF!,#REF!,IF(BB44&lt;=#REF!,#REF!,IF(BB44&lt;=#REF!,#REF!,IF(BB44&lt;=#REF!,#REF!,IF(BB44&lt;=#REF!,#REF!,IF(BB44&lt;=#REF!,#REF!,IF(BB44&lt;=#REF!,#REF!,0.05)))))))</f>
        <v>#REF!</v>
      </c>
      <c r="BM44" s="595" t="e">
        <f t="shared" si="37"/>
        <v>#REF!</v>
      </c>
      <c r="BN44" s="596"/>
      <c r="BO44" s="597" t="e">
        <f>IF(BE44&lt;=#REF!,#REF!,IF(BE44&lt;=#REF!,#REF!,IF(BE44&lt;=#REF!,#REF!,IF(BE44&lt;=#REF!,#REF!,IF(BE44&lt;=#REF!,#REF!,IF(BE44&lt;=#REF!,#REF!,IF(BE44&lt;=#REF!,#REF!,0.05)))))))</f>
        <v>#REF!</v>
      </c>
      <c r="BP44" s="595" t="e">
        <f t="shared" si="38"/>
        <v>#REF!</v>
      </c>
      <c r="BR44" s="598" t="e">
        <f t="shared" si="39"/>
        <v>#REF!</v>
      </c>
      <c r="BT44" s="598" t="e">
        <f t="shared" si="40"/>
        <v>#REF!</v>
      </c>
      <c r="BU44" s="599" t="e">
        <f t="shared" si="41"/>
        <v>#REF!</v>
      </c>
      <c r="BV44" s="596" t="e">
        <f t="shared" si="42"/>
        <v>#REF!</v>
      </c>
      <c r="CL44" s="595">
        <v>36000</v>
      </c>
      <c r="CM44" s="595"/>
      <c r="CN44" s="595"/>
      <c r="CO44" s="595">
        <f t="shared" si="15"/>
        <v>36000</v>
      </c>
      <c r="CP44" s="595"/>
      <c r="CQ44" s="595"/>
      <c r="CR44" s="595">
        <f t="shared" si="16"/>
        <v>72000</v>
      </c>
      <c r="CS44" s="595"/>
      <c r="CT44" s="595"/>
      <c r="CU44" s="595">
        <f t="shared" si="17"/>
        <v>72000</v>
      </c>
      <c r="CV44" s="596">
        <f t="shared" si="29"/>
        <v>0.05</v>
      </c>
      <c r="CW44" s="595">
        <f t="shared" si="18"/>
        <v>1800</v>
      </c>
      <c r="CX44" s="596"/>
      <c r="CY44" s="596">
        <f t="shared" si="30"/>
        <v>0.03</v>
      </c>
      <c r="CZ44" s="595">
        <f t="shared" si="19"/>
        <v>1080</v>
      </c>
      <c r="DA44" s="596"/>
      <c r="DB44" s="596">
        <f t="shared" si="31"/>
        <v>0.18</v>
      </c>
      <c r="DC44" s="595">
        <f t="shared" si="20"/>
        <v>13478.4</v>
      </c>
      <c r="DD44" s="596"/>
      <c r="DE44" s="597">
        <f t="shared" si="32"/>
        <v>-0.06</v>
      </c>
      <c r="DF44" s="595">
        <f t="shared" si="21"/>
        <v>-4320</v>
      </c>
      <c r="DH44" s="598">
        <f t="shared" si="22"/>
        <v>5882.6880000000001</v>
      </c>
      <c r="DJ44" s="598">
        <f t="shared" si="23"/>
        <v>89921.088000000003</v>
      </c>
      <c r="DK44" s="599">
        <f t="shared" si="24"/>
        <v>12038.4</v>
      </c>
      <c r="DL44" s="596">
        <f t="shared" si="25"/>
        <v>0.13387738369001939</v>
      </c>
    </row>
    <row r="45" spans="1:116" s="585" customFormat="1">
      <c r="A45" s="1084"/>
      <c r="B45" s="1083"/>
      <c r="C45" s="746">
        <f>C44</f>
        <v>32.200000000000003</v>
      </c>
      <c r="D45" s="741">
        <f t="shared" ref="D45:D47" si="43">(A45*B45*C45)*IF($E$42="8 hour days",8,10)</f>
        <v>0</v>
      </c>
      <c r="E45" s="733"/>
      <c r="F45" s="742" t="e">
        <f t="shared" ref="F45:F46" si="44">I45/(D45/C45)</f>
        <v>#DIV/0!</v>
      </c>
      <c r="G45" s="743" t="s">
        <v>84</v>
      </c>
      <c r="H45" s="744"/>
      <c r="I45" s="745">
        <f>H26</f>
        <v>0</v>
      </c>
      <c r="J45" s="745">
        <f>I26</f>
        <v>0</v>
      </c>
      <c r="K45" s="747" t="e">
        <f>J45/I45</f>
        <v>#DIV/0!</v>
      </c>
      <c r="L45" s="738">
        <v>3</v>
      </c>
      <c r="M45" s="738">
        <v>3.5</v>
      </c>
      <c r="N45" s="585" t="s">
        <v>599</v>
      </c>
      <c r="O45" s="1458" t="s">
        <v>42</v>
      </c>
      <c r="P45" s="784">
        <v>1.5</v>
      </c>
      <c r="Q45" s="784">
        <v>1</v>
      </c>
      <c r="R45" s="784">
        <v>0.5</v>
      </c>
      <c r="S45" s="784">
        <v>1</v>
      </c>
      <c r="T45" s="1334">
        <v>0</v>
      </c>
      <c r="U45" s="784">
        <v>0.5</v>
      </c>
      <c r="V45" s="1334">
        <v>0</v>
      </c>
      <c r="W45" s="784">
        <v>0.5</v>
      </c>
      <c r="AA45" s="1458" t="s">
        <v>42</v>
      </c>
      <c r="AB45" s="784">
        <v>1.5</v>
      </c>
      <c r="AC45" s="784">
        <v>1</v>
      </c>
      <c r="AD45" s="784">
        <v>0.5</v>
      </c>
      <c r="AE45" s="784">
        <v>1</v>
      </c>
      <c r="AF45" s="1473"/>
      <c r="AG45" s="784">
        <v>0.5</v>
      </c>
      <c r="AH45" s="1473"/>
      <c r="AI45" s="784">
        <v>0.5</v>
      </c>
      <c r="AV45" s="595">
        <v>37000</v>
      </c>
      <c r="AW45" s="595"/>
      <c r="AX45" s="595"/>
      <c r="AY45" s="595">
        <f t="shared" si="4"/>
        <v>37000</v>
      </c>
      <c r="AZ45" s="595"/>
      <c r="BA45" s="595"/>
      <c r="BB45" s="595">
        <f t="shared" si="33"/>
        <v>74000</v>
      </c>
      <c r="BC45" s="595"/>
      <c r="BD45" s="595"/>
      <c r="BE45" s="595">
        <f t="shared" si="34"/>
        <v>74000</v>
      </c>
      <c r="BF45" s="596" t="e">
        <f>IF(AV45&lt;=#REF!,#REF!,IF(AV45&lt;=#REF!,#REF!,IF(AV45&lt;=#REF!,#REF!,IF(AV45&lt;=#REF!,#REF!,IF(AV45&lt;=#REF!,#REF!,IF(AV45&lt;=#REF!,#REF!,IF(AV45&lt;=#REF!,#REF!,0.05)))))))</f>
        <v>#REF!</v>
      </c>
      <c r="BG45" s="595" t="e">
        <f t="shared" si="35"/>
        <v>#REF!</v>
      </c>
      <c r="BH45" s="596"/>
      <c r="BI45" s="596" t="e">
        <f>IF(AY45&lt;=#REF!,#REF!,IF(AY45&lt;=#REF!,#REF!,IF(AY45&lt;=#REF!,#REF!,IF(AY45&lt;=#REF!,#REF!,IF(AY45&lt;=#REF!,#REF!,IF(AY45&lt;=#REF!,#REF!,IF(AY45&lt;=#REF!,#REF!,0.05)))))))</f>
        <v>#REF!</v>
      </c>
      <c r="BJ45" s="595" t="e">
        <f t="shared" si="36"/>
        <v>#REF!</v>
      </c>
      <c r="BK45" s="596"/>
      <c r="BL45" s="596" t="e">
        <f>IF(BB45&lt;=#REF!,#REF!,IF(BB45&lt;=#REF!,#REF!,IF(BB45&lt;=#REF!,#REF!,IF(BB45&lt;=#REF!,#REF!,IF(BB45&lt;=#REF!,#REF!,IF(BB45&lt;=#REF!,#REF!,IF(BB45&lt;=#REF!,#REF!,0.05)))))))</f>
        <v>#REF!</v>
      </c>
      <c r="BM45" s="595" t="e">
        <f t="shared" si="37"/>
        <v>#REF!</v>
      </c>
      <c r="BN45" s="596"/>
      <c r="BO45" s="597" t="e">
        <f>IF(BE45&lt;=#REF!,#REF!,IF(BE45&lt;=#REF!,#REF!,IF(BE45&lt;=#REF!,#REF!,IF(BE45&lt;=#REF!,#REF!,IF(BE45&lt;=#REF!,#REF!,IF(BE45&lt;=#REF!,#REF!,IF(BE45&lt;=#REF!,#REF!,0.05)))))))</f>
        <v>#REF!</v>
      </c>
      <c r="BP45" s="595" t="e">
        <f t="shared" si="38"/>
        <v>#REF!</v>
      </c>
      <c r="BR45" s="598" t="e">
        <f t="shared" si="39"/>
        <v>#REF!</v>
      </c>
      <c r="BT45" s="598" t="e">
        <f t="shared" si="40"/>
        <v>#REF!</v>
      </c>
      <c r="BU45" s="599" t="e">
        <f t="shared" si="41"/>
        <v>#REF!</v>
      </c>
      <c r="BV45" s="596" t="e">
        <f t="shared" si="42"/>
        <v>#REF!</v>
      </c>
      <c r="CL45" s="595">
        <v>37000</v>
      </c>
      <c r="CM45" s="595"/>
      <c r="CN45" s="595"/>
      <c r="CO45" s="595">
        <f t="shared" si="15"/>
        <v>37000</v>
      </c>
      <c r="CP45" s="595"/>
      <c r="CQ45" s="595"/>
      <c r="CR45" s="595">
        <f t="shared" si="16"/>
        <v>74000</v>
      </c>
      <c r="CS45" s="595"/>
      <c r="CT45" s="595"/>
      <c r="CU45" s="595">
        <f t="shared" si="17"/>
        <v>74000</v>
      </c>
      <c r="CV45" s="596">
        <f t="shared" si="29"/>
        <v>0.05</v>
      </c>
      <c r="CW45" s="595">
        <f t="shared" si="18"/>
        <v>1850</v>
      </c>
      <c r="CX45" s="596"/>
      <c r="CY45" s="596">
        <f t="shared" si="30"/>
        <v>0.03</v>
      </c>
      <c r="CZ45" s="595">
        <f t="shared" si="19"/>
        <v>1110</v>
      </c>
      <c r="DA45" s="596"/>
      <c r="DB45" s="596">
        <f t="shared" si="31"/>
        <v>0.18</v>
      </c>
      <c r="DC45" s="595">
        <f t="shared" si="20"/>
        <v>13852.8</v>
      </c>
      <c r="DD45" s="596"/>
      <c r="DE45" s="597">
        <f t="shared" si="32"/>
        <v>-0.06</v>
      </c>
      <c r="DF45" s="595">
        <f t="shared" si="21"/>
        <v>-4440</v>
      </c>
      <c r="DH45" s="598">
        <f t="shared" si="22"/>
        <v>6046.0960000000005</v>
      </c>
      <c r="DJ45" s="598">
        <f t="shared" si="23"/>
        <v>92418.896000000008</v>
      </c>
      <c r="DK45" s="599">
        <f t="shared" si="24"/>
        <v>12372.8</v>
      </c>
      <c r="DL45" s="596">
        <f t="shared" si="25"/>
        <v>0.13387738369001939</v>
      </c>
    </row>
    <row r="46" spans="1:116" s="585" customFormat="1">
      <c r="A46" s="1084"/>
      <c r="B46" s="1083"/>
      <c r="C46" s="746">
        <f>C44</f>
        <v>32.200000000000003</v>
      </c>
      <c r="D46" s="741">
        <f t="shared" si="43"/>
        <v>0</v>
      </c>
      <c r="E46" s="733"/>
      <c r="F46" s="742" t="e">
        <f t="shared" si="44"/>
        <v>#DIV/0!</v>
      </c>
      <c r="G46" s="743" t="s">
        <v>84</v>
      </c>
      <c r="H46" s="744"/>
      <c r="I46" s="745">
        <f>H27</f>
        <v>0</v>
      </c>
      <c r="J46" s="745">
        <f>I27</f>
        <v>0</v>
      </c>
      <c r="K46" s="747" t="e">
        <f>J46/I46</f>
        <v>#DIV/0!</v>
      </c>
      <c r="L46" s="738">
        <v>4</v>
      </c>
      <c r="M46" s="738">
        <v>4.5</v>
      </c>
      <c r="N46" s="585" t="s">
        <v>602</v>
      </c>
      <c r="O46" s="1103"/>
      <c r="P46" s="585">
        <f>P44*P45</f>
        <v>4.5</v>
      </c>
      <c r="Q46" s="585">
        <f t="shared" ref="Q46" si="45">Q44*Q45</f>
        <v>3</v>
      </c>
      <c r="R46" s="585">
        <f t="shared" ref="R46" si="46">R44*R45</f>
        <v>1.5</v>
      </c>
      <c r="S46" s="585">
        <f t="shared" ref="S46" si="47">S44*S45</f>
        <v>3</v>
      </c>
      <c r="T46" s="1066">
        <f t="shared" ref="T46" si="48">T44*T45</f>
        <v>0</v>
      </c>
      <c r="U46" s="585">
        <f t="shared" ref="U46" si="49">U44*U45</f>
        <v>1.5</v>
      </c>
      <c r="V46" s="1066">
        <f t="shared" ref="V46" si="50">V44*V45</f>
        <v>0</v>
      </c>
      <c r="W46" s="585">
        <f t="shared" ref="W46" si="51">W44*W45</f>
        <v>1.5</v>
      </c>
      <c r="AA46" s="1103"/>
      <c r="AB46" s="585">
        <f t="shared" ref="AB46:AI46" si="52">AB44*AB45</f>
        <v>4.5</v>
      </c>
      <c r="AC46" s="585">
        <f t="shared" si="52"/>
        <v>3</v>
      </c>
      <c r="AD46" s="585">
        <f t="shared" si="52"/>
        <v>1.5</v>
      </c>
      <c r="AE46" s="585">
        <f t="shared" si="52"/>
        <v>3</v>
      </c>
      <c r="AF46" s="1066">
        <f t="shared" si="52"/>
        <v>0</v>
      </c>
      <c r="AG46" s="585">
        <f t="shared" si="52"/>
        <v>1.5</v>
      </c>
      <c r="AH46" s="1066">
        <f t="shared" si="52"/>
        <v>0</v>
      </c>
      <c r="AI46" s="585">
        <f t="shared" si="52"/>
        <v>1.5</v>
      </c>
      <c r="AV46" s="595">
        <v>37000</v>
      </c>
      <c r="AW46" s="595"/>
      <c r="AX46" s="595"/>
      <c r="AY46" s="595">
        <f t="shared" ref="AY46" si="53">AV46</f>
        <v>37000</v>
      </c>
      <c r="AZ46" s="595"/>
      <c r="BA46" s="595"/>
      <c r="BB46" s="595">
        <f t="shared" ref="BB46" si="54">AV46+AY46</f>
        <v>74000</v>
      </c>
      <c r="BC46" s="595"/>
      <c r="BD46" s="595"/>
      <c r="BE46" s="595">
        <f t="shared" ref="BE46" si="55">BB46</f>
        <v>74000</v>
      </c>
      <c r="BF46" s="596" t="e">
        <f>IF(AV46&lt;=#REF!,#REF!,IF(AV46&lt;=#REF!,#REF!,IF(AV46&lt;=#REF!,#REF!,IF(AV46&lt;=#REF!,#REF!,IF(AV46&lt;=#REF!,#REF!,IF(AV46&lt;=#REF!,#REF!,IF(AV46&lt;=#REF!,#REF!,0.05)))))))</f>
        <v>#REF!</v>
      </c>
      <c r="BG46" s="595" t="e">
        <f t="shared" ref="BG46" si="56">BF46*AV46</f>
        <v>#REF!</v>
      </c>
      <c r="BH46" s="596"/>
      <c r="BI46" s="596" t="e">
        <f>IF(AY46&lt;=#REF!,#REF!,IF(AY46&lt;=#REF!,#REF!,IF(AY46&lt;=#REF!,#REF!,IF(AY46&lt;=#REF!,#REF!,IF(AY46&lt;=#REF!,#REF!,IF(AY46&lt;=#REF!,#REF!,IF(AY46&lt;=#REF!,#REF!,0.05)))))))</f>
        <v>#REF!</v>
      </c>
      <c r="BJ46" s="595" t="e">
        <f t="shared" ref="BJ46" si="57">BI46*AY46</f>
        <v>#REF!</v>
      </c>
      <c r="BK46" s="596"/>
      <c r="BL46" s="596" t="e">
        <f>IF(BB46&lt;=#REF!,#REF!,IF(BB46&lt;=#REF!,#REF!,IF(BB46&lt;=#REF!,#REF!,IF(BB46&lt;=#REF!,#REF!,IF(BB46&lt;=#REF!,#REF!,IF(BB46&lt;=#REF!,#REF!,IF(BB46&lt;=#REF!,#REF!,0.05)))))))</f>
        <v>#REF!</v>
      </c>
      <c r="BM46" s="595" t="e">
        <f t="shared" ref="BM46" si="58">BL46*SUM(BJ46,BG46,BB46)</f>
        <v>#REF!</v>
      </c>
      <c r="BN46" s="596"/>
      <c r="BO46" s="597" t="e">
        <f>IF(BE46&lt;=#REF!,#REF!,IF(BE46&lt;=#REF!,#REF!,IF(BE46&lt;=#REF!,#REF!,IF(BE46&lt;=#REF!,#REF!,IF(BE46&lt;=#REF!,#REF!,IF(BE46&lt;=#REF!,#REF!,IF(BE46&lt;=#REF!,#REF!,0.05)))))))</f>
        <v>#REF!</v>
      </c>
      <c r="BP46" s="595" t="e">
        <f t="shared" ref="BP46" si="59">BO46*BE46</f>
        <v>#REF!</v>
      </c>
      <c r="BR46" s="598" t="e">
        <f t="shared" ref="BR46" si="60">0.07*SUM(BB46,BG46,BJ46,BM46,BP46)</f>
        <v>#REF!</v>
      </c>
      <c r="BT46" s="598" t="e">
        <f t="shared" ref="BT46" si="61">SUM(BR46,BP46,BM46,BJ46,BG46,BB46)</f>
        <v>#REF!</v>
      </c>
      <c r="BU46" s="599" t="e">
        <f t="shared" ref="BU46" si="62">SUM(BP46,BM46,BJ46,BG46)</f>
        <v>#REF!</v>
      </c>
      <c r="BV46" s="596" t="e">
        <f t="shared" ref="BV46" si="63">BU46/BT46</f>
        <v>#REF!</v>
      </c>
      <c r="CL46" s="595">
        <v>37000</v>
      </c>
      <c r="CM46" s="595"/>
      <c r="CN46" s="595"/>
      <c r="CO46" s="595">
        <f t="shared" ref="CO46" si="64">CL46</f>
        <v>37000</v>
      </c>
      <c r="CP46" s="595"/>
      <c r="CQ46" s="595"/>
      <c r="CR46" s="595">
        <f t="shared" ref="CR46" si="65">CL46+CO46</f>
        <v>74000</v>
      </c>
      <c r="CS46" s="595"/>
      <c r="CT46" s="595"/>
      <c r="CU46" s="595">
        <f t="shared" ref="CU46" si="66">CR46</f>
        <v>74000</v>
      </c>
      <c r="CV46" s="596">
        <f t="shared" si="29"/>
        <v>0.05</v>
      </c>
      <c r="CW46" s="595">
        <f t="shared" ref="CW46" si="67">CV46*CL46</f>
        <v>1850</v>
      </c>
      <c r="CX46" s="596"/>
      <c r="CY46" s="596">
        <f t="shared" si="30"/>
        <v>0.03</v>
      </c>
      <c r="CZ46" s="595">
        <f t="shared" ref="CZ46" si="68">CY46*CO46</f>
        <v>1110</v>
      </c>
      <c r="DA46" s="596"/>
      <c r="DB46" s="596">
        <f t="shared" si="31"/>
        <v>0.18</v>
      </c>
      <c r="DC46" s="595">
        <f t="shared" ref="DC46" si="69">DB46*SUM(CZ46,CW46,CR46)</f>
        <v>13852.8</v>
      </c>
      <c r="DD46" s="596"/>
      <c r="DE46" s="597">
        <f t="shared" si="32"/>
        <v>-0.06</v>
      </c>
      <c r="DF46" s="595">
        <f t="shared" ref="DF46" si="70">DE46*CU46</f>
        <v>-4440</v>
      </c>
      <c r="DH46" s="598">
        <f t="shared" ref="DH46" si="71">0.07*SUM(CR46,CW46,CZ46,DC46,DF46)</f>
        <v>6046.0960000000005</v>
      </c>
      <c r="DJ46" s="598">
        <f t="shared" ref="DJ46" si="72">SUM(DH46,DF46,DC46,CZ46,CW46,CR46)</f>
        <v>92418.896000000008</v>
      </c>
      <c r="DK46" s="599">
        <f t="shared" ref="DK46" si="73">SUM(DF46,DC46,CZ46,CW46)</f>
        <v>12372.8</v>
      </c>
      <c r="DL46" s="596">
        <f t="shared" ref="DL46" si="74">DK46/DJ46</f>
        <v>0.13387738369001939</v>
      </c>
    </row>
    <row r="47" spans="1:116" s="585" customFormat="1">
      <c r="A47" s="1084"/>
      <c r="B47" s="1083"/>
      <c r="C47" s="746">
        <f>C44</f>
        <v>32.200000000000003</v>
      </c>
      <c r="D47" s="741">
        <f t="shared" si="43"/>
        <v>0</v>
      </c>
      <c r="E47" s="733"/>
      <c r="F47" s="742" t="e">
        <f t="shared" ref="F47" si="75">I47/(D47/C47)</f>
        <v>#DIV/0!</v>
      </c>
      <c r="G47" s="743" t="s">
        <v>84</v>
      </c>
      <c r="H47" s="744"/>
      <c r="I47" s="748">
        <f>H27</f>
        <v>0</v>
      </c>
      <c r="J47" s="749">
        <f>I27</f>
        <v>0</v>
      </c>
      <c r="K47" s="747" t="e">
        <f>J47/I47</f>
        <v>#DIV/0!</v>
      </c>
      <c r="L47" s="738">
        <v>4.5</v>
      </c>
      <c r="M47" s="738">
        <v>5</v>
      </c>
      <c r="N47" s="585" t="s">
        <v>603</v>
      </c>
      <c r="P47" s="1134">
        <f>SUM(P46:W46)</f>
        <v>15</v>
      </c>
      <c r="Q47" s="954" t="s">
        <v>708</v>
      </c>
      <c r="AB47" s="1134">
        <f>SUM(AB46:AI46)</f>
        <v>15</v>
      </c>
      <c r="AC47" s="954" t="s">
        <v>708</v>
      </c>
      <c r="AV47" s="595"/>
      <c r="AW47" s="595"/>
      <c r="AX47" s="595"/>
      <c r="AY47" s="595"/>
      <c r="AZ47" s="595"/>
      <c r="BA47" s="595"/>
      <c r="BB47" s="595"/>
      <c r="BC47" s="595"/>
      <c r="BD47" s="595"/>
      <c r="BE47" s="595"/>
      <c r="BF47" s="596"/>
      <c r="BG47" s="595"/>
      <c r="BH47" s="596"/>
      <c r="BI47" s="596"/>
      <c r="BJ47" s="595"/>
      <c r="BK47" s="596"/>
      <c r="BL47" s="596"/>
      <c r="BM47" s="595"/>
      <c r="BN47" s="596"/>
      <c r="BO47" s="597"/>
      <c r="BP47" s="595"/>
      <c r="BR47" s="598"/>
      <c r="BT47" s="598"/>
      <c r="BU47" s="599"/>
      <c r="BV47" s="596"/>
      <c r="CL47" s="595"/>
      <c r="CM47" s="595"/>
      <c r="CN47" s="595"/>
      <c r="CO47" s="595"/>
      <c r="CP47" s="595"/>
      <c r="CQ47" s="595"/>
      <c r="CR47" s="595"/>
      <c r="CS47" s="595"/>
      <c r="CT47" s="595"/>
      <c r="CU47" s="595"/>
      <c r="CV47" s="596"/>
      <c r="CW47" s="595"/>
      <c r="CX47" s="596"/>
      <c r="CY47" s="596"/>
      <c r="CZ47" s="595"/>
      <c r="DA47" s="596"/>
      <c r="DB47" s="596"/>
      <c r="DC47" s="595"/>
      <c r="DD47" s="596"/>
      <c r="DE47" s="597"/>
      <c r="DF47" s="595"/>
      <c r="DH47" s="598"/>
      <c r="DJ47" s="598"/>
      <c r="DK47" s="599"/>
      <c r="DL47" s="596"/>
    </row>
    <row r="48" spans="1:116" s="585" customFormat="1">
      <c r="A48" s="750" t="s">
        <v>53</v>
      </c>
      <c r="B48" s="751" t="s">
        <v>44</v>
      </c>
      <c r="C48" s="751" t="s">
        <v>43</v>
      </c>
      <c r="D48" s="752"/>
      <c r="E48" s="733"/>
      <c r="F48" s="753"/>
      <c r="G48" s="600"/>
      <c r="H48" s="1171" t="s">
        <v>504</v>
      </c>
      <c r="I48" s="754">
        <f>SUM(I44:I47)</f>
        <v>0</v>
      </c>
      <c r="J48" s="754">
        <f>SUM(J44:J47)</f>
        <v>0</v>
      </c>
      <c r="K48" s="629"/>
      <c r="O48" s="684">
        <f>O50/M38</f>
        <v>0</v>
      </c>
      <c r="P48" s="1730" t="s">
        <v>1160</v>
      </c>
      <c r="AV48" s="595">
        <v>38000</v>
      </c>
      <c r="AW48" s="595"/>
      <c r="AX48" s="595"/>
      <c r="AY48" s="595">
        <f t="shared" si="4"/>
        <v>38000</v>
      </c>
      <c r="AZ48" s="595"/>
      <c r="BA48" s="595"/>
      <c r="BB48" s="595">
        <f t="shared" si="33"/>
        <v>76000</v>
      </c>
      <c r="BC48" s="595"/>
      <c r="BD48" s="595"/>
      <c r="BE48" s="595">
        <f t="shared" si="34"/>
        <v>76000</v>
      </c>
      <c r="BF48" s="596" t="e">
        <f>IF(AV48&lt;=#REF!,#REF!,IF(AV48&lt;=#REF!,#REF!,IF(AV48&lt;=#REF!,#REF!,IF(AV48&lt;=#REF!,#REF!,IF(AV48&lt;=#REF!,#REF!,IF(AV48&lt;=#REF!,#REF!,IF(AV48&lt;=#REF!,#REF!,0.05)))))))</f>
        <v>#REF!</v>
      </c>
      <c r="BG48" s="595" t="e">
        <f t="shared" si="35"/>
        <v>#REF!</v>
      </c>
      <c r="BH48" s="596"/>
      <c r="BI48" s="596" t="e">
        <f>IF(AY48&lt;=#REF!,#REF!,IF(AY48&lt;=#REF!,#REF!,IF(AY48&lt;=#REF!,#REF!,IF(AY48&lt;=#REF!,#REF!,IF(AY48&lt;=#REF!,#REF!,IF(AY48&lt;=#REF!,#REF!,IF(AY48&lt;=#REF!,#REF!,0.05)))))))</f>
        <v>#REF!</v>
      </c>
      <c r="BJ48" s="595" t="e">
        <f t="shared" si="36"/>
        <v>#REF!</v>
      </c>
      <c r="BK48" s="596"/>
      <c r="BL48" s="596" t="e">
        <f>IF(BB48&lt;=#REF!,#REF!,IF(BB48&lt;=#REF!,#REF!,IF(BB48&lt;=#REF!,#REF!,IF(BB48&lt;=#REF!,#REF!,IF(BB48&lt;=#REF!,#REF!,IF(BB48&lt;=#REF!,#REF!,IF(BB48&lt;=#REF!,#REF!,0.05)))))))</f>
        <v>#REF!</v>
      </c>
      <c r="BM48" s="595" t="e">
        <f t="shared" si="37"/>
        <v>#REF!</v>
      </c>
      <c r="BN48" s="596"/>
      <c r="BO48" s="597" t="e">
        <f>IF(BE48&lt;=#REF!,#REF!,IF(BE48&lt;=#REF!,#REF!,IF(BE48&lt;=#REF!,#REF!,IF(BE48&lt;=#REF!,#REF!,IF(BE48&lt;=#REF!,#REF!,IF(BE48&lt;=#REF!,#REF!,IF(BE48&lt;=#REF!,#REF!,0.05)))))))</f>
        <v>#REF!</v>
      </c>
      <c r="BP48" s="595" t="e">
        <f t="shared" si="38"/>
        <v>#REF!</v>
      </c>
      <c r="BR48" s="598" t="e">
        <f t="shared" si="39"/>
        <v>#REF!</v>
      </c>
      <c r="BT48" s="598" t="e">
        <f t="shared" si="40"/>
        <v>#REF!</v>
      </c>
      <c r="BU48" s="599" t="e">
        <f t="shared" si="41"/>
        <v>#REF!</v>
      </c>
      <c r="BV48" s="596" t="e">
        <f t="shared" si="42"/>
        <v>#REF!</v>
      </c>
      <c r="CL48" s="595">
        <v>38000</v>
      </c>
      <c r="CM48" s="595"/>
      <c r="CN48" s="595"/>
      <c r="CO48" s="595">
        <f t="shared" si="15"/>
        <v>38000</v>
      </c>
      <c r="CP48" s="595"/>
      <c r="CQ48" s="595"/>
      <c r="CR48" s="595">
        <f t="shared" si="16"/>
        <v>76000</v>
      </c>
      <c r="CS48" s="595"/>
      <c r="CT48" s="595"/>
      <c r="CU48" s="595">
        <f t="shared" si="17"/>
        <v>76000</v>
      </c>
      <c r="CV48" s="596">
        <f t="shared" si="29"/>
        <v>0.05</v>
      </c>
      <c r="CW48" s="595">
        <f t="shared" si="18"/>
        <v>1900</v>
      </c>
      <c r="CX48" s="596"/>
      <c r="CY48" s="596">
        <f t="shared" si="30"/>
        <v>0.03</v>
      </c>
      <c r="CZ48" s="595">
        <f t="shared" si="19"/>
        <v>1140</v>
      </c>
      <c r="DA48" s="596"/>
      <c r="DB48" s="596">
        <f t="shared" si="31"/>
        <v>0.18</v>
      </c>
      <c r="DC48" s="595">
        <f t="shared" si="20"/>
        <v>14227.199999999999</v>
      </c>
      <c r="DD48" s="596"/>
      <c r="DE48" s="597">
        <f t="shared" si="32"/>
        <v>-0.06</v>
      </c>
      <c r="DF48" s="595">
        <f t="shared" si="21"/>
        <v>-4560</v>
      </c>
      <c r="DH48" s="598">
        <f t="shared" si="22"/>
        <v>6209.5040000000008</v>
      </c>
      <c r="DJ48" s="598">
        <f t="shared" si="23"/>
        <v>94916.703999999998</v>
      </c>
      <c r="DK48" s="599">
        <f t="shared" si="24"/>
        <v>12707.199999999999</v>
      </c>
      <c r="DL48" s="596">
        <f t="shared" si="25"/>
        <v>0.13387738369001939</v>
      </c>
    </row>
    <row r="49" spans="1:116" s="585" customFormat="1">
      <c r="A49" s="1085">
        <f>(A44*B44)+(A45*B45)+(A46*B46)+(A47*B47)</f>
        <v>15</v>
      </c>
      <c r="B49" s="1086">
        <f>Epoxy!B52</f>
        <v>0</v>
      </c>
      <c r="C49" s="756">
        <v>32.200000000000003</v>
      </c>
      <c r="D49" s="757">
        <f>(A49*B49*C49)</f>
        <v>0</v>
      </c>
      <c r="E49" s="758" t="str">
        <f>Epoxy!E52</f>
        <v>Drive Time: ?</v>
      </c>
      <c r="F49" s="753"/>
      <c r="G49" s="705"/>
      <c r="H49" s="1143"/>
      <c r="I49" s="760">
        <f>(((D50-D49)/C44)/A44)/40</f>
        <v>0.99999999999999978</v>
      </c>
      <c r="J49" s="761" t="s">
        <v>117</v>
      </c>
      <c r="K49" s="762"/>
      <c r="L49" s="763"/>
      <c r="M49" s="770" t="s">
        <v>604</v>
      </c>
      <c r="N49" s="763"/>
      <c r="O49" s="684">
        <f>O50/M39</f>
        <v>0</v>
      </c>
      <c r="P49" s="685" t="s">
        <v>1158</v>
      </c>
      <c r="AA49" s="1382" t="s">
        <v>1038</v>
      </c>
      <c r="AB49" s="1476"/>
      <c r="AV49" s="595">
        <v>39000</v>
      </c>
      <c r="AW49" s="595"/>
      <c r="AX49" s="595"/>
      <c r="AY49" s="595">
        <f t="shared" si="4"/>
        <v>39000</v>
      </c>
      <c r="AZ49" s="595"/>
      <c r="BA49" s="595"/>
      <c r="BB49" s="595">
        <f t="shared" si="33"/>
        <v>78000</v>
      </c>
      <c r="BC49" s="595"/>
      <c r="BD49" s="595"/>
      <c r="BE49" s="595">
        <f t="shared" si="34"/>
        <v>78000</v>
      </c>
      <c r="BF49" s="596" t="e">
        <f>IF(AV49&lt;=#REF!,#REF!,IF(AV49&lt;=#REF!,#REF!,IF(AV49&lt;=#REF!,#REF!,IF(AV49&lt;=#REF!,#REF!,IF(AV49&lt;=#REF!,#REF!,IF(AV49&lt;=#REF!,#REF!,IF(AV49&lt;=#REF!,#REF!,0.05)))))))</f>
        <v>#REF!</v>
      </c>
      <c r="BG49" s="595" t="e">
        <f t="shared" si="35"/>
        <v>#REF!</v>
      </c>
      <c r="BH49" s="596"/>
      <c r="BI49" s="596" t="e">
        <f>IF(AY49&lt;=#REF!,#REF!,IF(AY49&lt;=#REF!,#REF!,IF(AY49&lt;=#REF!,#REF!,IF(AY49&lt;=#REF!,#REF!,IF(AY49&lt;=#REF!,#REF!,IF(AY49&lt;=#REF!,#REF!,IF(AY49&lt;=#REF!,#REF!,0.05)))))))</f>
        <v>#REF!</v>
      </c>
      <c r="BJ49" s="595" t="e">
        <f t="shared" si="36"/>
        <v>#REF!</v>
      </c>
      <c r="BK49" s="596"/>
      <c r="BL49" s="596" t="e">
        <f>IF(BB49&lt;=#REF!,#REF!,IF(BB49&lt;=#REF!,#REF!,IF(BB49&lt;=#REF!,#REF!,IF(BB49&lt;=#REF!,#REF!,IF(BB49&lt;=#REF!,#REF!,IF(BB49&lt;=#REF!,#REF!,IF(BB49&lt;=#REF!,#REF!,0.05)))))))</f>
        <v>#REF!</v>
      </c>
      <c r="BM49" s="595" t="e">
        <f t="shared" si="37"/>
        <v>#REF!</v>
      </c>
      <c r="BN49" s="596"/>
      <c r="BO49" s="597" t="e">
        <f>IF(BE49&lt;=#REF!,#REF!,IF(BE49&lt;=#REF!,#REF!,IF(BE49&lt;=#REF!,#REF!,IF(BE49&lt;=#REF!,#REF!,IF(BE49&lt;=#REF!,#REF!,IF(BE49&lt;=#REF!,#REF!,IF(BE49&lt;=#REF!,#REF!,0.05)))))))</f>
        <v>#REF!</v>
      </c>
      <c r="BP49" s="595" t="e">
        <f t="shared" si="38"/>
        <v>#REF!</v>
      </c>
      <c r="BR49" s="598" t="e">
        <f t="shared" si="39"/>
        <v>#REF!</v>
      </c>
      <c r="BT49" s="598" t="e">
        <f t="shared" si="40"/>
        <v>#REF!</v>
      </c>
      <c r="BU49" s="599" t="e">
        <f t="shared" si="41"/>
        <v>#REF!</v>
      </c>
      <c r="BV49" s="596" t="e">
        <f t="shared" si="42"/>
        <v>#REF!</v>
      </c>
      <c r="CL49" s="595">
        <v>39000</v>
      </c>
      <c r="CM49" s="595"/>
      <c r="CN49" s="595"/>
      <c r="CO49" s="595">
        <f t="shared" si="15"/>
        <v>39000</v>
      </c>
      <c r="CP49" s="595"/>
      <c r="CQ49" s="595"/>
      <c r="CR49" s="595">
        <f t="shared" si="16"/>
        <v>78000</v>
      </c>
      <c r="CS49" s="595"/>
      <c r="CT49" s="595"/>
      <c r="CU49" s="595">
        <f t="shared" si="17"/>
        <v>78000</v>
      </c>
      <c r="CV49" s="596">
        <f t="shared" si="29"/>
        <v>0.05</v>
      </c>
      <c r="CW49" s="595">
        <f t="shared" si="18"/>
        <v>1950</v>
      </c>
      <c r="CX49" s="596"/>
      <c r="CY49" s="596">
        <f t="shared" si="30"/>
        <v>0.03</v>
      </c>
      <c r="CZ49" s="595">
        <f t="shared" si="19"/>
        <v>1170</v>
      </c>
      <c r="DA49" s="596"/>
      <c r="DB49" s="596">
        <f t="shared" si="31"/>
        <v>0.18</v>
      </c>
      <c r="DC49" s="595">
        <f t="shared" si="20"/>
        <v>14601.6</v>
      </c>
      <c r="DD49" s="596"/>
      <c r="DE49" s="597">
        <f t="shared" si="32"/>
        <v>-0.06</v>
      </c>
      <c r="DF49" s="595">
        <f t="shared" si="21"/>
        <v>-4680</v>
      </c>
      <c r="DH49" s="598">
        <f t="shared" si="22"/>
        <v>6372.9120000000012</v>
      </c>
      <c r="DJ49" s="598">
        <f t="shared" si="23"/>
        <v>97414.512000000002</v>
      </c>
      <c r="DK49" s="599">
        <f t="shared" si="24"/>
        <v>13041.6</v>
      </c>
      <c r="DL49" s="596">
        <f t="shared" si="25"/>
        <v>0.13387738369001942</v>
      </c>
    </row>
    <row r="50" spans="1:116" s="585" customFormat="1">
      <c r="A50" s="764" t="s">
        <v>144</v>
      </c>
      <c r="B50" s="765"/>
      <c r="C50" s="766"/>
      <c r="D50" s="767">
        <f>ROUNDUP(SUM(D44:D49),0)</f>
        <v>3864</v>
      </c>
      <c r="E50" s="766" t="e">
        <f>D50/B42</f>
        <v>#DIV/0!</v>
      </c>
      <c r="F50" s="766" t="s">
        <v>87</v>
      </c>
      <c r="G50" s="1144"/>
      <c r="H50" s="1145"/>
      <c r="I50" s="768">
        <f>ROUNDUP(I49,0)</f>
        <v>1</v>
      </c>
      <c r="J50" s="769" t="s">
        <v>118</v>
      </c>
      <c r="K50" s="762"/>
      <c r="M50" s="763" t="s">
        <v>62</v>
      </c>
      <c r="O50" s="1460">
        <f>I45</f>
        <v>0</v>
      </c>
      <c r="P50" s="1459" t="s">
        <v>939</v>
      </c>
      <c r="Q50" s="1461">
        <f>J45</f>
        <v>0</v>
      </c>
      <c r="R50" s="699" t="s">
        <v>941</v>
      </c>
      <c r="S50" s="1462" t="e">
        <f>Q50/O50</f>
        <v>#DIV/0!</v>
      </c>
      <c r="T50" s="1094" t="s">
        <v>940</v>
      </c>
      <c r="AA50" s="1460">
        <f>B42</f>
        <v>0</v>
      </c>
      <c r="AB50" s="1459" t="s">
        <v>939</v>
      </c>
      <c r="AC50" s="1461">
        <f>D42</f>
        <v>0</v>
      </c>
      <c r="AD50" s="699" t="s">
        <v>941</v>
      </c>
      <c r="AE50" s="1462" t="e">
        <f>AC50/AA50</f>
        <v>#DIV/0!</v>
      </c>
      <c r="AF50" s="1094" t="s">
        <v>940</v>
      </c>
    </row>
    <row r="51" spans="1:116" s="585" customFormat="1" ht="16.2" thickBot="1">
      <c r="A51" s="1527" t="s">
        <v>1030</v>
      </c>
      <c r="B51" s="1533" t="s">
        <v>1047</v>
      </c>
      <c r="C51" s="1557">
        <f>IF(D5="Yes",5%,0)</f>
        <v>0</v>
      </c>
      <c r="D51" s="1529">
        <f>ROUNDUP((D50*C51),0)</f>
        <v>0</v>
      </c>
      <c r="E51" s="1556" t="s">
        <v>1044</v>
      </c>
      <c r="F51" s="1558"/>
      <c r="G51" s="827"/>
      <c r="H51" s="1525"/>
      <c r="I51" s="1526"/>
      <c r="J51" s="1043"/>
      <c r="K51" s="629"/>
      <c r="M51" s="763" t="s">
        <v>63</v>
      </c>
      <c r="O51" s="1481" t="s">
        <v>715</v>
      </c>
      <c r="P51" s="1130" t="s">
        <v>714</v>
      </c>
      <c r="Q51" s="1091" t="s">
        <v>712</v>
      </c>
      <c r="R51" s="1138" t="s">
        <v>713</v>
      </c>
      <c r="AA51" s="1132" t="s">
        <v>715</v>
      </c>
      <c r="AB51" s="1130" t="s">
        <v>714</v>
      </c>
      <c r="AC51" s="1091" t="s">
        <v>712</v>
      </c>
      <c r="AD51" s="1138" t="s">
        <v>713</v>
      </c>
    </row>
    <row r="52" spans="1:116" s="585" customFormat="1">
      <c r="A52" s="771" t="s">
        <v>145</v>
      </c>
      <c r="B52" s="766"/>
      <c r="C52" s="772">
        <v>0.12</v>
      </c>
      <c r="D52" s="773">
        <f>ROUNDUP((D50+D51)*C52,0)</f>
        <v>464</v>
      </c>
      <c r="E52" s="600"/>
      <c r="F52" s="600"/>
      <c r="G52" s="1146"/>
      <c r="H52" s="1146"/>
      <c r="I52" s="1585" t="s">
        <v>1052</v>
      </c>
      <c r="J52" s="1586"/>
      <c r="K52" s="1587" t="s">
        <v>1062</v>
      </c>
      <c r="L52" s="1588"/>
      <c r="M52" s="763" t="s">
        <v>64</v>
      </c>
      <c r="O52" s="1480">
        <v>3</v>
      </c>
      <c r="P52" s="1131">
        <f>P57/O52</f>
        <v>5</v>
      </c>
      <c r="Q52" s="1136">
        <f>O52*P52*R52*8</f>
        <v>3864.0000000000005</v>
      </c>
      <c r="R52" s="1137">
        <f>C45</f>
        <v>32.200000000000003</v>
      </c>
      <c r="AA52" s="1480">
        <v>3</v>
      </c>
      <c r="AB52" s="1131">
        <f>AB57/AA52</f>
        <v>6</v>
      </c>
      <c r="AC52" s="1136">
        <f>AA52*AB52*AD52*8</f>
        <v>4636.8</v>
      </c>
      <c r="AD52" s="1137">
        <f>C44</f>
        <v>32.200000000000003</v>
      </c>
    </row>
    <row r="53" spans="1:116" s="585" customFormat="1">
      <c r="A53" s="600"/>
      <c r="B53" s="775"/>
      <c r="C53" s="629"/>
      <c r="D53" s="629"/>
      <c r="E53" s="629"/>
      <c r="F53" s="600"/>
      <c r="G53" s="600"/>
      <c r="H53" s="834"/>
      <c r="I53" s="1576" t="s">
        <v>1049</v>
      </c>
      <c r="J53" s="1577">
        <f>SUM(J54:J55)</f>
        <v>0</v>
      </c>
      <c r="K53" s="1576" t="s">
        <v>1049</v>
      </c>
      <c r="L53" s="1577">
        <f>SUM(L54:L55)</f>
        <v>0</v>
      </c>
      <c r="M53" s="763" t="s">
        <v>65</v>
      </c>
      <c r="O53" s="1456" t="s">
        <v>709</v>
      </c>
      <c r="P53" s="1508" t="s">
        <v>951</v>
      </c>
      <c r="Q53" s="1508" t="s">
        <v>707</v>
      </c>
      <c r="R53" s="1508" t="s">
        <v>441</v>
      </c>
      <c r="S53" s="1508" t="s">
        <v>443</v>
      </c>
      <c r="T53" s="1509" t="s">
        <v>710</v>
      </c>
      <c r="U53" s="1508" t="s">
        <v>103</v>
      </c>
      <c r="V53" s="1509" t="s">
        <v>711</v>
      </c>
      <c r="W53" s="1508" t="s">
        <v>442</v>
      </c>
      <c r="AA53" s="1456" t="s">
        <v>709</v>
      </c>
      <c r="AB53" s="1508" t="s">
        <v>951</v>
      </c>
      <c r="AC53" s="1508" t="s">
        <v>707</v>
      </c>
      <c r="AD53" s="1508" t="s">
        <v>441</v>
      </c>
      <c r="AE53" s="1508" t="s">
        <v>443</v>
      </c>
      <c r="AF53" s="1509" t="s">
        <v>710</v>
      </c>
      <c r="AG53" s="1508" t="s">
        <v>103</v>
      </c>
      <c r="AH53" s="1509" t="s">
        <v>711</v>
      </c>
      <c r="AI53" s="1508" t="s">
        <v>442</v>
      </c>
    </row>
    <row r="54" spans="1:116" s="585" customFormat="1">
      <c r="A54" s="621" t="s">
        <v>130</v>
      </c>
      <c r="B54" s="622" t="s">
        <v>11</v>
      </c>
      <c r="C54" s="778" t="s">
        <v>1</v>
      </c>
      <c r="D54" s="12" t="s">
        <v>51</v>
      </c>
      <c r="E54" s="600"/>
      <c r="F54" s="600"/>
      <c r="G54" s="780"/>
      <c r="H54" s="834"/>
      <c r="I54" s="1578" t="s">
        <v>1050</v>
      </c>
      <c r="J54" s="1579">
        <v>0</v>
      </c>
      <c r="K54" s="1578" t="s">
        <v>1050</v>
      </c>
      <c r="L54" s="1579">
        <v>0</v>
      </c>
      <c r="M54" s="763" t="s">
        <v>66</v>
      </c>
      <c r="O54" s="1457" t="s">
        <v>331</v>
      </c>
      <c r="P54" s="1061">
        <v>3</v>
      </c>
      <c r="Q54" s="585">
        <f>P54</f>
        <v>3</v>
      </c>
      <c r="R54" s="585">
        <f>P54</f>
        <v>3</v>
      </c>
      <c r="S54" s="585">
        <f>P54</f>
        <v>3</v>
      </c>
      <c r="T54" s="1066">
        <f>P54</f>
        <v>3</v>
      </c>
      <c r="U54" s="585">
        <f>P54</f>
        <v>3</v>
      </c>
      <c r="V54" s="1066">
        <f>P54</f>
        <v>3</v>
      </c>
      <c r="W54" s="585">
        <f>P54</f>
        <v>3</v>
      </c>
      <c r="AA54" s="1457" t="s">
        <v>331</v>
      </c>
      <c r="AB54" s="1061">
        <v>3</v>
      </c>
      <c r="AC54" s="585">
        <f>AB54</f>
        <v>3</v>
      </c>
      <c r="AD54" s="585">
        <f>AB54</f>
        <v>3</v>
      </c>
      <c r="AE54" s="585">
        <f>AB54</f>
        <v>3</v>
      </c>
      <c r="AF54" s="1066">
        <f>AB54</f>
        <v>3</v>
      </c>
      <c r="AG54" s="585">
        <f>AB54</f>
        <v>3</v>
      </c>
      <c r="AH54" s="1407"/>
      <c r="AI54" s="585">
        <f>AB54</f>
        <v>3</v>
      </c>
    </row>
    <row r="55" spans="1:116" s="585" customFormat="1">
      <c r="A55" s="628" t="s">
        <v>17</v>
      </c>
      <c r="B55" s="774">
        <f>ROUNDUP(IF(B42&gt;2000,B42/1000,2),0)</f>
        <v>2</v>
      </c>
      <c r="C55" s="629">
        <v>35</v>
      </c>
      <c r="D55" s="648">
        <f t="shared" ref="D55:D58" si="76">ROUNDUP(B55*C55,0)</f>
        <v>70</v>
      </c>
      <c r="E55" s="600"/>
      <c r="F55" s="600"/>
      <c r="G55" s="781"/>
      <c r="H55" s="782"/>
      <c r="I55" s="1580" t="s">
        <v>1051</v>
      </c>
      <c r="J55" s="1581">
        <v>0</v>
      </c>
      <c r="K55" s="1580" t="s">
        <v>1051</v>
      </c>
      <c r="L55" s="1581">
        <v>0</v>
      </c>
      <c r="M55" s="763" t="s">
        <v>67</v>
      </c>
      <c r="O55" s="1458" t="s">
        <v>42</v>
      </c>
      <c r="P55" s="784">
        <v>1.5</v>
      </c>
      <c r="Q55" s="784">
        <v>1</v>
      </c>
      <c r="R55" s="784">
        <v>0.5</v>
      </c>
      <c r="S55" s="784">
        <v>1</v>
      </c>
      <c r="T55" s="1334">
        <v>0</v>
      </c>
      <c r="U55" s="784">
        <v>0.5</v>
      </c>
      <c r="V55" s="1334">
        <v>0</v>
      </c>
      <c r="W55" s="784">
        <f>U55</f>
        <v>0.5</v>
      </c>
      <c r="AA55" s="1458" t="s">
        <v>42</v>
      </c>
      <c r="AB55" s="784">
        <v>1.5</v>
      </c>
      <c r="AC55" s="784">
        <v>1</v>
      </c>
      <c r="AD55" s="784">
        <v>0.5</v>
      </c>
      <c r="AE55" s="784">
        <v>1</v>
      </c>
      <c r="AF55" s="1334">
        <v>1</v>
      </c>
      <c r="AG55" s="784">
        <v>0.5</v>
      </c>
      <c r="AH55" s="1473"/>
      <c r="AI55" s="784">
        <v>0.5</v>
      </c>
    </row>
    <row r="56" spans="1:116" s="585" customFormat="1">
      <c r="A56" s="628" t="s">
        <v>75</v>
      </c>
      <c r="B56" s="774">
        <f>B42</f>
        <v>0</v>
      </c>
      <c r="C56" s="629">
        <v>0.33</v>
      </c>
      <c r="D56" s="648">
        <f>ROUNDUP(IF((B56*C56)&gt;150,(B56*C56),150),0)</f>
        <v>150</v>
      </c>
      <c r="E56" s="600"/>
      <c r="F56" s="600"/>
      <c r="G56" s="600"/>
      <c r="H56" s="774"/>
      <c r="I56" s="864" t="s">
        <v>1070</v>
      </c>
      <c r="J56" s="1582"/>
      <c r="K56" s="864" t="s">
        <v>1071</v>
      </c>
      <c r="L56" s="1582"/>
      <c r="O56" s="1103"/>
      <c r="P56" s="585">
        <f>P54*P55</f>
        <v>4.5</v>
      </c>
      <c r="Q56" s="585">
        <f t="shared" ref="Q56:W56" si="77">Q54*Q55</f>
        <v>3</v>
      </c>
      <c r="R56" s="585">
        <f t="shared" si="77"/>
        <v>1.5</v>
      </c>
      <c r="S56" s="585">
        <f t="shared" si="77"/>
        <v>3</v>
      </c>
      <c r="T56" s="1066">
        <f t="shared" si="77"/>
        <v>0</v>
      </c>
      <c r="U56" s="585">
        <f t="shared" si="77"/>
        <v>1.5</v>
      </c>
      <c r="V56" s="1066">
        <f t="shared" si="77"/>
        <v>0</v>
      </c>
      <c r="W56" s="585">
        <f t="shared" si="77"/>
        <v>1.5</v>
      </c>
      <c r="AA56" s="1103"/>
      <c r="AB56" s="585">
        <f>AB54*AB55</f>
        <v>4.5</v>
      </c>
      <c r="AC56" s="585">
        <f t="shared" ref="AC56:AI56" si="78">AC54*AC55</f>
        <v>3</v>
      </c>
      <c r="AD56" s="585">
        <f t="shared" si="78"/>
        <v>1.5</v>
      </c>
      <c r="AE56" s="585">
        <f t="shared" si="78"/>
        <v>3</v>
      </c>
      <c r="AF56" s="1066">
        <f t="shared" si="78"/>
        <v>3</v>
      </c>
      <c r="AG56" s="585">
        <f t="shared" si="78"/>
        <v>1.5</v>
      </c>
      <c r="AH56" s="1066">
        <f t="shared" si="78"/>
        <v>0</v>
      </c>
      <c r="AI56" s="585">
        <f t="shared" si="78"/>
        <v>1.5</v>
      </c>
    </row>
    <row r="57" spans="1:116" s="585" customFormat="1" ht="16.2" thickBot="1">
      <c r="A57" s="628" t="s">
        <v>174</v>
      </c>
      <c r="B57" s="774"/>
      <c r="C57" s="629">
        <v>0.33</v>
      </c>
      <c r="D57" s="648">
        <f t="shared" si="76"/>
        <v>0</v>
      </c>
      <c r="E57" s="787" t="s">
        <v>1246</v>
      </c>
      <c r="F57" s="600"/>
      <c r="G57" s="600"/>
      <c r="H57" s="774"/>
      <c r="I57" s="1583" t="s">
        <v>1082</v>
      </c>
      <c r="J57" s="1584"/>
      <c r="K57" s="1583" t="s">
        <v>1083</v>
      </c>
      <c r="L57" s="1584"/>
      <c r="P57" s="1134">
        <f>SUM(P56:W56)</f>
        <v>15</v>
      </c>
      <c r="Q57" s="954" t="s">
        <v>708</v>
      </c>
      <c r="AB57" s="1134">
        <f>SUM(AB56:AI56)</f>
        <v>18</v>
      </c>
      <c r="AC57" s="954" t="s">
        <v>708</v>
      </c>
    </row>
    <row r="58" spans="1:116" s="585" customFormat="1" ht="16.2" thickBot="1">
      <c r="A58" s="628" t="s">
        <v>28</v>
      </c>
      <c r="B58" s="774"/>
      <c r="C58" s="629"/>
      <c r="D58" s="648">
        <f t="shared" si="76"/>
        <v>0</v>
      </c>
      <c r="E58" s="600"/>
      <c r="F58" s="600"/>
      <c r="G58" s="600"/>
      <c r="H58" s="782"/>
      <c r="I58" s="1593" t="s">
        <v>1075</v>
      </c>
      <c r="J58" s="1591">
        <f>IF((J53/2)&lt;23,23,(J53/2))</f>
        <v>23</v>
      </c>
      <c r="K58" s="1592" t="s">
        <v>1075</v>
      </c>
      <c r="L58" s="1591">
        <f>IF((L53/2)&lt;23,23,(L53/2))</f>
        <v>23</v>
      </c>
      <c r="AA58" s="1478" t="s">
        <v>947</v>
      </c>
    </row>
    <row r="59" spans="1:116" s="585" customFormat="1" ht="16.2" thickBot="1">
      <c r="A59" s="1565" t="s">
        <v>132</v>
      </c>
      <c r="B59" s="1566"/>
      <c r="C59" s="1567"/>
      <c r="D59" s="1568">
        <f>SUM(D55:D58)</f>
        <v>220</v>
      </c>
      <c r="E59" s="600"/>
      <c r="F59" s="600"/>
      <c r="G59" s="662"/>
      <c r="H59" s="793"/>
      <c r="I59" s="629"/>
      <c r="J59" s="1595" t="s">
        <v>1076</v>
      </c>
      <c r="K59" s="1594"/>
      <c r="L59" s="590" t="s">
        <v>1080</v>
      </c>
      <c r="AA59" s="1460">
        <f>B42</f>
        <v>0</v>
      </c>
      <c r="AB59" s="1459" t="s">
        <v>939</v>
      </c>
      <c r="AC59" s="1461">
        <f>D42</f>
        <v>0</v>
      </c>
      <c r="AD59" s="699" t="s">
        <v>941</v>
      </c>
      <c r="AE59" s="1462" t="e">
        <f>AC59/AA59</f>
        <v>#DIV/0!</v>
      </c>
      <c r="AF59" s="1094" t="s">
        <v>940</v>
      </c>
    </row>
    <row r="60" spans="1:116" s="585" customFormat="1">
      <c r="A60" s="600"/>
      <c r="B60" s="775"/>
      <c r="C60" s="629"/>
      <c r="D60" s="629"/>
      <c r="E60" s="600"/>
      <c r="F60" s="600"/>
      <c r="G60" s="600"/>
      <c r="H60" s="1046" t="str">
        <f>E42</f>
        <v>8 hour days</v>
      </c>
      <c r="I60" s="714"/>
      <c r="J60" s="1561"/>
      <c r="AA60" s="1132" t="s">
        <v>715</v>
      </c>
      <c r="AB60" s="1130" t="s">
        <v>714</v>
      </c>
      <c r="AC60" s="1091" t="s">
        <v>712</v>
      </c>
      <c r="AD60" s="1138" t="s">
        <v>713</v>
      </c>
    </row>
    <row r="61" spans="1:116" s="585" customFormat="1">
      <c r="A61" s="621" t="s">
        <v>131</v>
      </c>
      <c r="B61" s="622" t="s">
        <v>11</v>
      </c>
      <c r="C61" s="778" t="s">
        <v>1</v>
      </c>
      <c r="D61" s="12" t="s">
        <v>51</v>
      </c>
      <c r="E61" s="600"/>
      <c r="F61" s="600"/>
      <c r="G61" s="1409" t="s">
        <v>567</v>
      </c>
      <c r="H61" s="1410">
        <f>(((A44*B44)+(A45*B45)+(A46*B46)+(A47*B47))*IF($E$42="8 hour days",8,10))+(A49*B49)</f>
        <v>120</v>
      </c>
      <c r="I61" s="600"/>
      <c r="J61" s="605"/>
      <c r="K61" s="605"/>
      <c r="AA61" s="1480">
        <v>3</v>
      </c>
      <c r="AB61" s="1131">
        <f>AB66/AA61</f>
        <v>4</v>
      </c>
      <c r="AC61" s="1136">
        <f>AA61*AB61*AD61*8</f>
        <v>3091.2000000000003</v>
      </c>
      <c r="AD61" s="1137">
        <f>C44</f>
        <v>32.200000000000003</v>
      </c>
    </row>
    <row r="62" spans="1:116" s="585" customFormat="1">
      <c r="A62" s="628" t="s">
        <v>68</v>
      </c>
      <c r="B62" s="774" t="b">
        <f>IF(B4="No",((D50-D49)/C44)/8)</f>
        <v>0</v>
      </c>
      <c r="C62" s="629">
        <v>70</v>
      </c>
      <c r="D62" s="648">
        <f t="shared" ref="D62:D63" si="79">ROUNDUP(B62*C62,0)</f>
        <v>0</v>
      </c>
      <c r="E62" s="600"/>
      <c r="F62" s="600"/>
      <c r="G62" s="1048" t="s">
        <v>568</v>
      </c>
      <c r="H62" s="1389">
        <f>H61/IF($E$42="8 hour days",8,10)/H63</f>
        <v>5</v>
      </c>
      <c r="I62" s="629"/>
      <c r="J62" s="1562"/>
      <c r="AA62" s="1456" t="s">
        <v>709</v>
      </c>
      <c r="AB62" s="1508" t="s">
        <v>951</v>
      </c>
      <c r="AC62" s="1508" t="s">
        <v>707</v>
      </c>
      <c r="AD62" s="1508" t="s">
        <v>950</v>
      </c>
      <c r="AE62" s="1712" t="s">
        <v>949</v>
      </c>
      <c r="AF62" s="1509" t="s">
        <v>710</v>
      </c>
      <c r="AG62" s="1508" t="s">
        <v>103</v>
      </c>
      <c r="AH62" s="1509" t="s">
        <v>711</v>
      </c>
      <c r="AI62" s="1508" t="s">
        <v>442</v>
      </c>
    </row>
    <row r="63" spans="1:116" s="585" customFormat="1">
      <c r="A63" s="628" t="s">
        <v>69</v>
      </c>
      <c r="B63" s="774" t="b">
        <f>B62</f>
        <v>0</v>
      </c>
      <c r="C63" s="629">
        <v>45</v>
      </c>
      <c r="D63" s="648">
        <f t="shared" si="79"/>
        <v>0</v>
      </c>
      <c r="E63" s="795"/>
      <c r="F63" s="600"/>
      <c r="G63" s="1444" t="s">
        <v>931</v>
      </c>
      <c r="H63" s="1445">
        <f>A44</f>
        <v>3</v>
      </c>
      <c r="I63" s="662"/>
      <c r="J63" s="1562"/>
      <c r="AA63" s="1457" t="s">
        <v>331</v>
      </c>
      <c r="AB63" s="1061">
        <v>3</v>
      </c>
      <c r="AC63" s="585">
        <f>AB63</f>
        <v>3</v>
      </c>
      <c r="AD63" s="1407"/>
      <c r="AE63" s="585">
        <f>AB63</f>
        <v>3</v>
      </c>
      <c r="AF63" s="1407"/>
      <c r="AG63" s="1407"/>
      <c r="AH63" s="1407"/>
      <c r="AI63" s="585">
        <f>AB63</f>
        <v>3</v>
      </c>
    </row>
    <row r="64" spans="1:116" s="585" customFormat="1">
      <c r="A64" s="628"/>
      <c r="B64" s="774"/>
      <c r="C64" s="629"/>
      <c r="D64" s="648"/>
      <c r="E64" s="600"/>
      <c r="F64" s="600"/>
      <c r="G64" s="600"/>
      <c r="H64" s="774"/>
      <c r="I64" s="629"/>
      <c r="J64" s="1562"/>
      <c r="AA64" s="1458" t="s">
        <v>42</v>
      </c>
      <c r="AB64" s="784">
        <v>1.5</v>
      </c>
      <c r="AC64" s="784">
        <v>1</v>
      </c>
      <c r="AD64" s="1473"/>
      <c r="AE64" s="784">
        <v>1</v>
      </c>
      <c r="AF64" s="1473"/>
      <c r="AG64" s="1473"/>
      <c r="AH64" s="1473"/>
      <c r="AI64" s="784">
        <v>0.5</v>
      </c>
    </row>
    <row r="65" spans="1:35" s="585" customFormat="1">
      <c r="A65" s="1565" t="s">
        <v>133</v>
      </c>
      <c r="B65" s="1566"/>
      <c r="C65" s="1567"/>
      <c r="D65" s="1568">
        <f>SUM(D62:D64)</f>
        <v>0</v>
      </c>
      <c r="E65" s="600"/>
      <c r="F65" s="600"/>
      <c r="G65" s="662"/>
      <c r="H65" s="793"/>
      <c r="I65" s="714"/>
      <c r="J65" s="1561"/>
      <c r="AA65" s="1103"/>
      <c r="AB65" s="585">
        <f>AB63*AB64</f>
        <v>4.5</v>
      </c>
      <c r="AC65" s="585">
        <f t="shared" ref="AC65:AI65" si="80">AC63*AC64</f>
        <v>3</v>
      </c>
      <c r="AD65" s="585">
        <f t="shared" si="80"/>
        <v>0</v>
      </c>
      <c r="AE65" s="585">
        <f t="shared" si="80"/>
        <v>3</v>
      </c>
      <c r="AF65" s="1066">
        <f t="shared" si="80"/>
        <v>0</v>
      </c>
      <c r="AG65" s="585">
        <f t="shared" si="80"/>
        <v>0</v>
      </c>
      <c r="AH65" s="1066">
        <f t="shared" si="80"/>
        <v>0</v>
      </c>
      <c r="AI65" s="585">
        <f t="shared" si="80"/>
        <v>1.5</v>
      </c>
    </row>
    <row r="66" spans="1:35" s="585" customFormat="1">
      <c r="A66" s="600"/>
      <c r="B66" s="775"/>
      <c r="C66" s="629"/>
      <c r="D66" s="629"/>
      <c r="E66" s="600"/>
      <c r="F66" s="600"/>
      <c r="G66" s="600"/>
      <c r="I66" s="714"/>
      <c r="J66" s="1561"/>
      <c r="AB66" s="1134">
        <f>SUM(AB65:AI65)</f>
        <v>12</v>
      </c>
      <c r="AC66" s="954" t="s">
        <v>708</v>
      </c>
    </row>
    <row r="67" spans="1:35" s="585" customFormat="1">
      <c r="A67" s="796" t="s">
        <v>9</v>
      </c>
      <c r="B67" s="797"/>
      <c r="C67" s="798"/>
      <c r="D67" s="799">
        <f>ROUNDUP(SUM(D40,D50:D52,D59,D65),0)</f>
        <v>4548</v>
      </c>
      <c r="E67" s="800" t="e">
        <f>D67/B42</f>
        <v>#DIV/0!</v>
      </c>
      <c r="F67" s="801" t="s">
        <v>377</v>
      </c>
      <c r="G67" s="600"/>
      <c r="AA67" s="1479" t="s">
        <v>948</v>
      </c>
    </row>
    <row r="68" spans="1:35" s="585" customFormat="1">
      <c r="A68" s="600"/>
      <c r="B68" s="775"/>
      <c r="C68" s="629"/>
      <c r="D68" s="629"/>
      <c r="E68" s="600"/>
      <c r="F68" s="600"/>
      <c r="G68" s="600"/>
      <c r="AA68" s="1460">
        <f>B42</f>
        <v>0</v>
      </c>
      <c r="AB68" s="1459" t="s">
        <v>939</v>
      </c>
      <c r="AC68" s="1461">
        <f>D42</f>
        <v>0</v>
      </c>
      <c r="AD68" s="699" t="s">
        <v>941</v>
      </c>
      <c r="AE68" s="1462" t="e">
        <f>AC68/AA68</f>
        <v>#DIV/0!</v>
      </c>
      <c r="AF68" s="1094" t="s">
        <v>940</v>
      </c>
    </row>
    <row r="69" spans="1:35" s="585" customFormat="1">
      <c r="A69" s="621" t="s">
        <v>8</v>
      </c>
      <c r="B69" s="622" t="s">
        <v>7</v>
      </c>
      <c r="C69" s="816"/>
      <c r="D69" s="12" t="s">
        <v>51</v>
      </c>
      <c r="E69" s="600"/>
      <c r="F69" s="810">
        <f>SUM(D67,D79,D82)</f>
        <v>4548</v>
      </c>
      <c r="G69" s="811" t="s">
        <v>428</v>
      </c>
      <c r="H69" s="812"/>
      <c r="I69" s="813" t="e">
        <f>F69/C84</f>
        <v>#DIV/0!</v>
      </c>
      <c r="AA69" s="1132" t="s">
        <v>715</v>
      </c>
      <c r="AB69" s="1130" t="s">
        <v>714</v>
      </c>
      <c r="AC69" s="1091" t="s">
        <v>712</v>
      </c>
      <c r="AD69" s="1138" t="s">
        <v>713</v>
      </c>
    </row>
    <row r="70" spans="1:35" s="585" customFormat="1">
      <c r="A70" s="817" t="s">
        <v>215</v>
      </c>
      <c r="B70" s="122">
        <f>IF(D67&lt;6500,0.52,IF(D67&lt;15000,0.45,IF(D67&lt;22500,0.35,IF(D67&lt;32500,0.32,0.3))))</f>
        <v>0.52</v>
      </c>
      <c r="C70" s="629"/>
      <c r="D70" s="9">
        <f>ROUNDUP(SUM(D67,D77,D80)/(1-B70),0)-ROUNDUP(SUM(D67,D77,D80),0)</f>
        <v>4927</v>
      </c>
      <c r="E70" s="600"/>
      <c r="F70" s="814">
        <f>(((A44*B44)+(A45*B45)+(A46*B46)+(A47*B47))*IF($E$42="8 hour days",8,10))+(A49*B49)</f>
        <v>120</v>
      </c>
      <c r="G70" s="815" t="s">
        <v>505</v>
      </c>
      <c r="H70" s="815"/>
      <c r="AA70" s="1480">
        <v>3</v>
      </c>
      <c r="AB70" s="1131">
        <f>AB75/AA70</f>
        <v>6</v>
      </c>
      <c r="AC70" s="1136">
        <f>AA70*AB70*AD70*8</f>
        <v>4636.8</v>
      </c>
      <c r="AD70" s="1137">
        <f>C44</f>
        <v>32.200000000000003</v>
      </c>
    </row>
    <row r="71" spans="1:35" s="585" customFormat="1">
      <c r="A71" s="817" t="s">
        <v>148</v>
      </c>
      <c r="B71" s="818" t="b">
        <f>IF(B5="yes",IF(D67&gt;=60000,-0.04,IF(B4="yes",IF(D67&gt;=13000,-0.025,0))))</f>
        <v>0</v>
      </c>
      <c r="C71" s="629"/>
      <c r="D71" s="648">
        <f>ROUNDUP(SUM(D67,D70)*B71,0)</f>
        <v>0</v>
      </c>
      <c r="E71" s="600"/>
      <c r="F71" s="1446">
        <f>F84/H62</f>
        <v>985.4</v>
      </c>
      <c r="G71" s="1447" t="s">
        <v>1036</v>
      </c>
      <c r="H71" s="809" t="str">
        <f>E42</f>
        <v>8 hour days</v>
      </c>
      <c r="AA71" s="1456" t="s">
        <v>709</v>
      </c>
      <c r="AB71" s="1508" t="s">
        <v>951</v>
      </c>
      <c r="AC71" s="1508" t="s">
        <v>707</v>
      </c>
      <c r="AD71" s="1508" t="s">
        <v>441</v>
      </c>
      <c r="AE71" s="1712" t="s">
        <v>440</v>
      </c>
      <c r="AF71" s="1509" t="s">
        <v>710</v>
      </c>
      <c r="AG71" s="1508" t="s">
        <v>103</v>
      </c>
      <c r="AH71" s="1474" t="s">
        <v>711</v>
      </c>
      <c r="AI71" s="1508" t="s">
        <v>442</v>
      </c>
    </row>
    <row r="72" spans="1:35" s="585" customFormat="1">
      <c r="A72" s="628" t="s">
        <v>724</v>
      </c>
      <c r="B72" s="819">
        <v>0.03</v>
      </c>
      <c r="C72" s="803"/>
      <c r="D72" s="648">
        <f>ROUNDUP(SUM(D67:D71,D74,D77,D80)*B72,0)</f>
        <v>285</v>
      </c>
      <c r="E72" s="600"/>
      <c r="AA72" s="1457" t="s">
        <v>331</v>
      </c>
      <c r="AB72" s="1061">
        <v>3</v>
      </c>
      <c r="AC72" s="585">
        <f>AB72</f>
        <v>3</v>
      </c>
      <c r="AD72" s="1407"/>
      <c r="AE72" s="585">
        <f>AB72</f>
        <v>3</v>
      </c>
      <c r="AF72" s="1066">
        <f>AB72</f>
        <v>3</v>
      </c>
      <c r="AG72" s="585">
        <f>AB72</f>
        <v>3</v>
      </c>
      <c r="AH72" s="1066">
        <f>AB72</f>
        <v>3</v>
      </c>
      <c r="AI72" s="585">
        <f>AB72</f>
        <v>3</v>
      </c>
    </row>
    <row r="73" spans="1:35" s="585" customFormat="1">
      <c r="A73" s="628" t="s">
        <v>135</v>
      </c>
      <c r="B73" s="819">
        <v>0.13</v>
      </c>
      <c r="C73" s="803"/>
      <c r="D73" s="648">
        <f>(ROUNDUP(SUM(D67:D72,D74,D77,D80)*B73,0))+0</f>
        <v>1269</v>
      </c>
      <c r="E73" s="600"/>
      <c r="F73" s="600"/>
      <c r="G73" s="775"/>
      <c r="I73" s="808"/>
      <c r="AA73" s="1458" t="s">
        <v>42</v>
      </c>
      <c r="AB73" s="784">
        <v>1.5</v>
      </c>
      <c r="AC73" s="784">
        <v>1</v>
      </c>
      <c r="AD73" s="1473"/>
      <c r="AE73" s="784">
        <v>1</v>
      </c>
      <c r="AF73" s="1334">
        <v>1</v>
      </c>
      <c r="AG73" s="784">
        <v>0.5</v>
      </c>
      <c r="AH73" s="1475">
        <v>0.5</v>
      </c>
      <c r="AI73" s="784">
        <v>0.5</v>
      </c>
    </row>
    <row r="74" spans="1:35" s="585" customFormat="1">
      <c r="A74" s="820" t="s">
        <v>210</v>
      </c>
      <c r="B74" s="1575" t="s">
        <v>1060</v>
      </c>
      <c r="C74" s="1563"/>
      <c r="D74" s="1574">
        <v>0</v>
      </c>
      <c r="E74" s="600"/>
      <c r="J74" s="809"/>
      <c r="AA74" s="1103"/>
      <c r="AB74" s="585">
        <f>AB72*AB73</f>
        <v>4.5</v>
      </c>
      <c r="AC74" s="585">
        <f t="shared" ref="AC74:AI74" si="81">AC72*AC73</f>
        <v>3</v>
      </c>
      <c r="AD74" s="585">
        <f t="shared" si="81"/>
        <v>0</v>
      </c>
      <c r="AE74" s="585">
        <f t="shared" si="81"/>
        <v>3</v>
      </c>
      <c r="AF74" s="1066">
        <f t="shared" si="81"/>
        <v>3</v>
      </c>
      <c r="AG74" s="585">
        <f t="shared" si="81"/>
        <v>1.5</v>
      </c>
      <c r="AH74" s="1066">
        <f t="shared" si="81"/>
        <v>1.5</v>
      </c>
      <c r="AI74" s="585">
        <f t="shared" si="81"/>
        <v>1.5</v>
      </c>
    </row>
    <row r="75" spans="1:35" s="585" customFormat="1">
      <c r="A75" s="600"/>
      <c r="B75" s="775"/>
      <c r="C75" s="629"/>
      <c r="D75" s="629"/>
      <c r="E75" s="600"/>
      <c r="AB75" s="1134">
        <f>SUM(AB74:AI74)</f>
        <v>18</v>
      </c>
      <c r="AC75" s="954" t="s">
        <v>708</v>
      </c>
    </row>
    <row r="76" spans="1:35" s="585" customFormat="1">
      <c r="A76" s="621" t="s">
        <v>152</v>
      </c>
      <c r="B76" s="622" t="s">
        <v>7</v>
      </c>
      <c r="C76" s="778"/>
      <c r="D76" s="12" t="s">
        <v>51</v>
      </c>
      <c r="E76" s="600"/>
      <c r="J76" s="1646">
        <f>(J79-J77-J78)</f>
        <v>11029</v>
      </c>
      <c r="K76" s="590"/>
      <c r="AA76" s="1543" t="s">
        <v>437</v>
      </c>
    </row>
    <row r="77" spans="1:35" s="585" customFormat="1">
      <c r="A77" s="628" t="s">
        <v>15</v>
      </c>
      <c r="B77" s="802">
        <f>IF($B$6="no",0,0.09475)</f>
        <v>9.4750000000000001E-2</v>
      </c>
      <c r="C77" s="803"/>
      <c r="D77" s="648">
        <f>ROUNDUP(SUM(D40)*B77,0)</f>
        <v>0</v>
      </c>
      <c r="E77" s="600"/>
      <c r="J77" s="1646"/>
      <c r="K77" s="585" t="s">
        <v>1118</v>
      </c>
      <c r="AA77" s="1460">
        <f>B42</f>
        <v>0</v>
      </c>
      <c r="AB77" s="1459" t="s">
        <v>939</v>
      </c>
      <c r="AC77" s="1461">
        <f>D42</f>
        <v>0</v>
      </c>
      <c r="AD77" s="699" t="s">
        <v>941</v>
      </c>
      <c r="AE77" s="1462" t="e">
        <f>AC77/AA77</f>
        <v>#DIV/0!</v>
      </c>
      <c r="AF77" s="1094" t="s">
        <v>940</v>
      </c>
    </row>
    <row r="78" spans="1:35" s="585" customFormat="1">
      <c r="A78" s="804" t="str">
        <f>Polish!A75</f>
        <v>Kansas Remodel Tax</v>
      </c>
      <c r="B78" s="805">
        <f>IF(D6="yes",0.1,0)</f>
        <v>0</v>
      </c>
      <c r="C78" s="629"/>
      <c r="D78" s="648">
        <f>ROUNDUP(SUM(D50:D52,D59,D65,D70:D74,D80)*B78,0)</f>
        <v>0</v>
      </c>
      <c r="E78" s="758" t="str">
        <f>IF(D6="yes","*10% is placeholder. Adjust to actual if project awarded"," ")</f>
        <v xml:space="preserve"> </v>
      </c>
      <c r="J78" s="1647"/>
      <c r="K78" s="784" t="s">
        <v>1119</v>
      </c>
      <c r="AA78" s="1132" t="s">
        <v>715</v>
      </c>
      <c r="AB78" s="1130" t="s">
        <v>714</v>
      </c>
      <c r="AC78" s="1091" t="s">
        <v>712</v>
      </c>
      <c r="AD78" s="1138" t="s">
        <v>713</v>
      </c>
    </row>
    <row r="79" spans="1:35" s="585" customFormat="1">
      <c r="A79" s="1565" t="s">
        <v>1054</v>
      </c>
      <c r="B79" s="1566"/>
      <c r="C79" s="1567"/>
      <c r="D79" s="1568">
        <f>SUM(D77:D78)</f>
        <v>0</v>
      </c>
      <c r="E79" s="758"/>
      <c r="J79" s="1646">
        <f>D85</f>
        <v>11029</v>
      </c>
      <c r="K79" s="590" t="s">
        <v>1117</v>
      </c>
      <c r="AA79" s="1480">
        <v>3</v>
      </c>
      <c r="AB79" s="1131">
        <f>AB84/AA79</f>
        <v>4.5</v>
      </c>
      <c r="AC79" s="1136">
        <f>AA79*AB79*AD79*8</f>
        <v>3477.6000000000004</v>
      </c>
      <c r="AD79" s="1137">
        <f>C44</f>
        <v>32.200000000000003</v>
      </c>
    </row>
    <row r="80" spans="1:35" s="585" customFormat="1">
      <c r="A80" s="628" t="s">
        <v>1055</v>
      </c>
      <c r="B80" s="802"/>
      <c r="C80" s="629"/>
      <c r="D80" s="648">
        <f>ROUNDUP(B80*C80,0)</f>
        <v>0</v>
      </c>
      <c r="E80" s="600"/>
      <c r="F80" s="600"/>
      <c r="G80" s="600"/>
      <c r="AA80" s="1456" t="s">
        <v>709</v>
      </c>
      <c r="AB80" s="1508" t="s">
        <v>951</v>
      </c>
      <c r="AC80" s="1542" t="s">
        <v>707</v>
      </c>
      <c r="AD80" s="1508" t="s">
        <v>950</v>
      </c>
      <c r="AE80" s="1508" t="s">
        <v>1039</v>
      </c>
      <c r="AF80" s="1509" t="s">
        <v>710</v>
      </c>
      <c r="AG80" s="1508" t="s">
        <v>103</v>
      </c>
      <c r="AH80" s="1509" t="s">
        <v>711</v>
      </c>
      <c r="AI80" s="1508" t="s">
        <v>442</v>
      </c>
    </row>
    <row r="81" spans="1:35" s="585" customFormat="1">
      <c r="A81" s="635" t="s">
        <v>20</v>
      </c>
      <c r="B81" s="806">
        <v>0</v>
      </c>
      <c r="C81" s="636"/>
      <c r="D81" s="807">
        <f>ROUNDUP(SUM(D67,D70,D71,D72:D74,D77,D78:D80)*B81,0)</f>
        <v>0</v>
      </c>
      <c r="E81" s="600"/>
      <c r="F81" s="600"/>
      <c r="G81" s="600"/>
      <c r="AA81" s="1457" t="s">
        <v>331</v>
      </c>
      <c r="AB81" s="1061">
        <v>3</v>
      </c>
      <c r="AC81" s="1066">
        <f>AB81</f>
        <v>3</v>
      </c>
      <c r="AD81" s="585">
        <f>AB81</f>
        <v>3</v>
      </c>
      <c r="AE81" s="585">
        <f>AB81</f>
        <v>3</v>
      </c>
      <c r="AF81" s="1407"/>
      <c r="AG81" s="1407"/>
      <c r="AH81" s="1407"/>
      <c r="AI81" s="585">
        <f>AB81</f>
        <v>3</v>
      </c>
    </row>
    <row r="82" spans="1:35" s="585" customFormat="1">
      <c r="A82" s="789" t="s">
        <v>1061</v>
      </c>
      <c r="B82" s="790"/>
      <c r="C82" s="791"/>
      <c r="D82" s="792">
        <f>ROUNDUP(SUM(D80:D81),0)</f>
        <v>0</v>
      </c>
      <c r="E82" s="600"/>
      <c r="F82" s="600"/>
      <c r="AA82" s="1458" t="s">
        <v>42</v>
      </c>
      <c r="AB82" s="784">
        <v>1.5</v>
      </c>
      <c r="AC82" s="1334">
        <v>1</v>
      </c>
      <c r="AD82" s="784">
        <v>0.5</v>
      </c>
      <c r="AE82" s="784">
        <v>1</v>
      </c>
      <c r="AF82" s="1473"/>
      <c r="AG82" s="1473"/>
      <c r="AH82" s="1473"/>
      <c r="AI82" s="784">
        <v>0.5</v>
      </c>
    </row>
    <row r="83" spans="1:35" s="585" customFormat="1">
      <c r="A83" s="600"/>
      <c r="B83" s="821"/>
      <c r="C83" s="629"/>
      <c r="D83" s="629"/>
      <c r="E83" s="600"/>
      <c r="F83" s="759" t="s">
        <v>70</v>
      </c>
      <c r="G83" s="822" t="s">
        <v>378</v>
      </c>
      <c r="H83" s="1618" t="s">
        <v>1098</v>
      </c>
      <c r="I83" s="823"/>
      <c r="J83" s="1191"/>
      <c r="K83" s="1433" t="s">
        <v>211</v>
      </c>
      <c r="L83" s="1191"/>
      <c r="AA83" s="1103"/>
      <c r="AB83" s="585">
        <f>AB81*AB82</f>
        <v>4.5</v>
      </c>
      <c r="AC83" s="1066">
        <f t="shared" ref="AC83:AI83" si="82">AC81*AC82</f>
        <v>3</v>
      </c>
      <c r="AD83" s="585">
        <f t="shared" si="82"/>
        <v>1.5</v>
      </c>
      <c r="AE83" s="585">
        <f t="shared" si="82"/>
        <v>3</v>
      </c>
      <c r="AF83" s="1066">
        <f t="shared" si="82"/>
        <v>0</v>
      </c>
      <c r="AG83" s="585">
        <f t="shared" si="82"/>
        <v>0</v>
      </c>
      <c r="AH83" s="1066">
        <f t="shared" si="82"/>
        <v>0</v>
      </c>
      <c r="AI83" s="585">
        <f t="shared" si="82"/>
        <v>1.5</v>
      </c>
    </row>
    <row r="84" spans="1:35" s="585" customFormat="1" ht="16.2" thickBot="1">
      <c r="A84" s="600"/>
      <c r="B84" s="825" t="s">
        <v>45</v>
      </c>
      <c r="C84" s="826">
        <f>B42</f>
        <v>0</v>
      </c>
      <c r="D84" s="629"/>
      <c r="E84" s="705" t="s">
        <v>18</v>
      </c>
      <c r="F84" s="1623">
        <f>SUM(D70,D71,D74)</f>
        <v>4927</v>
      </c>
      <c r="G84" s="1622">
        <f>F84/F70</f>
        <v>41.05833333333333</v>
      </c>
      <c r="H84" s="1619">
        <f>SUM(D70:D74)</f>
        <v>6481</v>
      </c>
      <c r="J84" s="824" t="s">
        <v>212</v>
      </c>
      <c r="K84" s="822" t="s">
        <v>213</v>
      </c>
      <c r="L84" s="822" t="s">
        <v>214</v>
      </c>
      <c r="AB84" s="1134">
        <f>SUM(AB83:AI83)</f>
        <v>13.5</v>
      </c>
      <c r="AC84" s="954" t="s">
        <v>708</v>
      </c>
    </row>
    <row r="85" spans="1:35" s="585" customFormat="1" ht="16.2" thickBot="1">
      <c r="A85" s="829" t="s">
        <v>6</v>
      </c>
      <c r="B85" s="830"/>
      <c r="C85" s="831" t="e">
        <f>D85/C84</f>
        <v>#DIV/0!</v>
      </c>
      <c r="D85" s="832">
        <f>SUM(D67,D70:D74,D79,D82)</f>
        <v>11029</v>
      </c>
      <c r="E85" s="629">
        <f>D85-(D77+D78)</f>
        <v>11029</v>
      </c>
      <c r="F85" s="1624">
        <f>F84/(D85)</f>
        <v>0.44673134463686642</v>
      </c>
      <c r="G85" s="1622">
        <f>C44</f>
        <v>32.200000000000003</v>
      </c>
      <c r="H85" s="1620">
        <f>H84/D85</f>
        <v>0.58763260495058478</v>
      </c>
      <c r="I85" s="1625" t="s">
        <v>1099</v>
      </c>
      <c r="J85" s="828">
        <f>(H40+D59)/D85</f>
        <v>1.9947411370024482E-2</v>
      </c>
      <c r="K85" s="828">
        <f>(SUM(D50:D52)/D85)</f>
        <v>0.39241998367939068</v>
      </c>
      <c r="L85" s="828">
        <f>D65/D85</f>
        <v>0</v>
      </c>
    </row>
    <row r="86" spans="1:35" s="585" customFormat="1">
      <c r="A86" s="834"/>
      <c r="B86" s="600" t="s">
        <v>5</v>
      </c>
      <c r="C86" s="629" t="e">
        <f>D86/C84</f>
        <v>#DIV/0!</v>
      </c>
      <c r="D86" s="629">
        <f>D85-D78</f>
        <v>11029</v>
      </c>
      <c r="E86" s="753" t="s">
        <v>146</v>
      </c>
      <c r="F86" s="833"/>
      <c r="G86" s="1621" t="s">
        <v>1100</v>
      </c>
      <c r="H86" s="590"/>
      <c r="I86" s="1632" t="s">
        <v>1105</v>
      </c>
    </row>
    <row r="87" spans="1:35" s="585" customFormat="1">
      <c r="A87" s="834"/>
      <c r="B87" s="835"/>
      <c r="C87" s="836"/>
      <c r="D87" s="836"/>
      <c r="E87" s="753"/>
      <c r="J87" s="1098">
        <f>SUM(D40,D59)</f>
        <v>220</v>
      </c>
      <c r="K87" s="1099">
        <f>J87/J90</f>
        <v>1.9947411370024482E-2</v>
      </c>
      <c r="L87" s="1100" t="s">
        <v>674</v>
      </c>
      <c r="M87" s="759" t="s">
        <v>675</v>
      </c>
    </row>
    <row r="88" spans="1:35" s="585" customFormat="1">
      <c r="A88" s="834"/>
      <c r="B88" s="835"/>
      <c r="C88" s="836"/>
      <c r="D88" s="836"/>
      <c r="E88" s="753"/>
      <c r="J88" s="1101">
        <f>SUM(D50:D52,D65)</f>
        <v>4328</v>
      </c>
      <c r="K88" s="1102">
        <f>J88/J90</f>
        <v>0.39241998367939068</v>
      </c>
      <c r="L88" s="1103" t="s">
        <v>676</v>
      </c>
      <c r="M88" s="600"/>
    </row>
    <row r="89" spans="1:35" s="585" customFormat="1">
      <c r="A89" s="633"/>
      <c r="B89" s="677"/>
      <c r="C89" s="640"/>
      <c r="D89" s="640"/>
      <c r="E89" s="775"/>
      <c r="J89" s="1104">
        <f>SUM(D70:D74,D79,D82)</f>
        <v>6481</v>
      </c>
      <c r="K89" s="1105">
        <f>J89/J90</f>
        <v>0.58763260495058478</v>
      </c>
      <c r="L89" s="1106" t="s">
        <v>677</v>
      </c>
      <c r="M89" s="600"/>
    </row>
    <row r="90" spans="1:35" s="585" customFormat="1">
      <c r="A90" s="633"/>
      <c r="B90" s="677"/>
      <c r="C90" s="640"/>
      <c r="D90" s="640"/>
      <c r="E90" s="775"/>
      <c r="J90" s="1104">
        <f>SUM(J87:J89)</f>
        <v>11029</v>
      </c>
      <c r="K90" s="1107">
        <f>SUM(K87:K89)</f>
        <v>1</v>
      </c>
      <c r="L90" s="1106" t="s">
        <v>2</v>
      </c>
    </row>
    <row r="91" spans="1:35" s="585" customFormat="1">
      <c r="A91" s="633"/>
      <c r="B91" s="677"/>
      <c r="C91" s="640"/>
      <c r="D91" s="640"/>
      <c r="E91" s="775"/>
    </row>
    <row r="92" spans="1:35" s="585" customFormat="1" ht="21">
      <c r="A92" s="1871" t="s">
        <v>430</v>
      </c>
      <c r="B92" s="1872"/>
      <c r="C92" s="1872"/>
      <c r="D92" s="1872"/>
      <c r="E92" s="1872"/>
      <c r="F92" s="1872"/>
      <c r="G92" s="1872"/>
      <c r="H92" s="1872"/>
      <c r="I92" s="1872"/>
      <c r="J92" s="1872"/>
      <c r="K92" s="1872"/>
      <c r="L92" s="1872"/>
      <c r="M92" s="1872"/>
      <c r="N92" s="1873"/>
    </row>
    <row r="93" spans="1:35" s="585" customFormat="1">
      <c r="A93" s="687"/>
      <c r="B93" s="837" t="s">
        <v>431</v>
      </c>
      <c r="C93" s="698"/>
      <c r="D93" s="837" t="s">
        <v>432</v>
      </c>
      <c r="E93" s="698"/>
      <c r="F93" s="837" t="s">
        <v>433</v>
      </c>
      <c r="G93" s="698"/>
      <c r="H93" s="837" t="s">
        <v>434</v>
      </c>
      <c r="I93" s="698"/>
      <c r="J93" s="837" t="s">
        <v>435</v>
      </c>
      <c r="K93" s="698"/>
      <c r="L93" s="837" t="s">
        <v>436</v>
      </c>
      <c r="M93" s="698"/>
      <c r="N93" s="837" t="s">
        <v>437</v>
      </c>
    </row>
    <row r="94" spans="1:35" s="585" customFormat="1">
      <c r="A94" s="687">
        <v>1</v>
      </c>
      <c r="B94" s="687" t="s">
        <v>438</v>
      </c>
      <c r="C94" s="687">
        <v>1</v>
      </c>
      <c r="D94" s="687" t="s">
        <v>438</v>
      </c>
      <c r="E94" s="687">
        <v>1</v>
      </c>
      <c r="F94" s="687" t="s">
        <v>438</v>
      </c>
      <c r="G94" s="687">
        <v>1</v>
      </c>
      <c r="H94" s="687" t="s">
        <v>438</v>
      </c>
      <c r="I94" s="687">
        <v>1</v>
      </c>
      <c r="J94" s="687" t="s">
        <v>438</v>
      </c>
      <c r="K94" s="687">
        <v>1</v>
      </c>
      <c r="L94" s="687" t="s">
        <v>438</v>
      </c>
      <c r="M94" s="687">
        <v>1</v>
      </c>
      <c r="N94" s="687" t="s">
        <v>438</v>
      </c>
    </row>
    <row r="95" spans="1:35" s="585" customFormat="1">
      <c r="A95" s="687">
        <v>2</v>
      </c>
      <c r="B95" s="687" t="s">
        <v>439</v>
      </c>
      <c r="C95" s="687">
        <v>2</v>
      </c>
      <c r="D95" s="687" t="s">
        <v>440</v>
      </c>
      <c r="E95" s="687">
        <v>2</v>
      </c>
      <c r="F95" s="687" t="s">
        <v>440</v>
      </c>
      <c r="G95" s="687">
        <v>2</v>
      </c>
      <c r="H95" s="687" t="s">
        <v>441</v>
      </c>
      <c r="I95" s="687">
        <v>2</v>
      </c>
      <c r="J95" s="687" t="s">
        <v>441</v>
      </c>
      <c r="K95" s="687">
        <v>2</v>
      </c>
      <c r="L95" s="687" t="s">
        <v>441</v>
      </c>
      <c r="M95" s="687">
        <v>2</v>
      </c>
      <c r="N95" s="687" t="s">
        <v>441</v>
      </c>
    </row>
    <row r="96" spans="1:35" s="585" customFormat="1">
      <c r="A96" s="687">
        <v>3</v>
      </c>
      <c r="B96" s="687" t="s">
        <v>442</v>
      </c>
      <c r="C96" s="687">
        <v>3</v>
      </c>
      <c r="D96" s="687" t="s">
        <v>443</v>
      </c>
      <c r="E96" s="687">
        <v>3</v>
      </c>
      <c r="F96" s="687" t="s">
        <v>443</v>
      </c>
      <c r="G96" s="687">
        <v>3</v>
      </c>
      <c r="H96" s="687" t="s">
        <v>443</v>
      </c>
      <c r="I96" s="687">
        <v>3</v>
      </c>
      <c r="J96" s="687" t="s">
        <v>443</v>
      </c>
      <c r="K96" s="687">
        <v>3</v>
      </c>
      <c r="L96" s="687" t="s">
        <v>443</v>
      </c>
      <c r="M96" s="687">
        <v>3</v>
      </c>
      <c r="N96" s="687" t="s">
        <v>444</v>
      </c>
    </row>
    <row r="97" spans="1:14" s="585" customFormat="1">
      <c r="A97" s="687">
        <v>4</v>
      </c>
      <c r="B97" s="687" t="s">
        <v>445</v>
      </c>
      <c r="C97" s="687">
        <v>4</v>
      </c>
      <c r="D97" s="687" t="s">
        <v>103</v>
      </c>
      <c r="E97" s="687">
        <v>4</v>
      </c>
      <c r="F97" s="687" t="s">
        <v>103</v>
      </c>
      <c r="G97" s="687">
        <v>4</v>
      </c>
      <c r="H97" s="687" t="s">
        <v>443</v>
      </c>
      <c r="I97" s="687">
        <v>4</v>
      </c>
      <c r="J97" s="687" t="s">
        <v>443</v>
      </c>
      <c r="K97" s="687">
        <v>4</v>
      </c>
      <c r="L97" s="687" t="s">
        <v>103</v>
      </c>
      <c r="M97" s="687">
        <v>4</v>
      </c>
      <c r="N97" s="687" t="s">
        <v>442</v>
      </c>
    </row>
    <row r="98" spans="1:14" s="585" customFormat="1">
      <c r="A98" s="687">
        <v>5</v>
      </c>
      <c r="B98" s="687" t="s">
        <v>446</v>
      </c>
      <c r="C98" s="687">
        <v>5</v>
      </c>
      <c r="D98" s="685" t="s">
        <v>447</v>
      </c>
      <c r="E98" s="687">
        <v>5</v>
      </c>
      <c r="F98" s="687" t="s">
        <v>442</v>
      </c>
      <c r="G98" s="687">
        <v>5</v>
      </c>
      <c r="H98" s="687" t="s">
        <v>103</v>
      </c>
      <c r="I98" s="687">
        <v>5</v>
      </c>
      <c r="J98" s="687" t="s">
        <v>103</v>
      </c>
      <c r="K98" s="687">
        <v>5</v>
      </c>
      <c r="L98" s="687" t="s">
        <v>442</v>
      </c>
      <c r="M98" s="687">
        <v>5</v>
      </c>
      <c r="N98" s="687" t="s">
        <v>445</v>
      </c>
    </row>
    <row r="99" spans="1:14" s="585" customFormat="1">
      <c r="A99" s="687"/>
      <c r="B99" s="687"/>
      <c r="C99" s="687">
        <v>6</v>
      </c>
      <c r="D99" s="687" t="s">
        <v>442</v>
      </c>
      <c r="E99" s="687">
        <v>6</v>
      </c>
      <c r="F99" s="687" t="s">
        <v>445</v>
      </c>
      <c r="G99" s="687">
        <v>6</v>
      </c>
      <c r="H99" s="687" t="s">
        <v>442</v>
      </c>
      <c r="I99" s="687">
        <v>6</v>
      </c>
      <c r="J99" s="687" t="s">
        <v>442</v>
      </c>
      <c r="K99" s="687">
        <v>6</v>
      </c>
      <c r="L99" s="687" t="s">
        <v>445</v>
      </c>
      <c r="M99" s="687">
        <v>6</v>
      </c>
      <c r="N99" s="687" t="s">
        <v>446</v>
      </c>
    </row>
    <row r="100" spans="1:14" s="585" customFormat="1">
      <c r="A100" s="687"/>
      <c r="B100" s="687"/>
      <c r="C100" s="687">
        <v>7</v>
      </c>
      <c r="D100" s="687" t="s">
        <v>445</v>
      </c>
      <c r="E100" s="687">
        <v>7</v>
      </c>
      <c r="F100" s="687" t="s">
        <v>446</v>
      </c>
      <c r="G100" s="687">
        <v>7</v>
      </c>
      <c r="H100" s="687" t="s">
        <v>445</v>
      </c>
      <c r="I100" s="687">
        <v>7</v>
      </c>
      <c r="J100" s="687" t="s">
        <v>445</v>
      </c>
      <c r="K100" s="687">
        <v>7</v>
      </c>
      <c r="L100" s="687" t="s">
        <v>446</v>
      </c>
      <c r="M100" s="687"/>
      <c r="N100" s="687"/>
    </row>
    <row r="101" spans="1:14" s="585" customFormat="1">
      <c r="A101" s="687"/>
      <c r="B101" s="687"/>
      <c r="C101" s="687">
        <v>8</v>
      </c>
      <c r="D101" s="687" t="s">
        <v>446</v>
      </c>
      <c r="E101" s="687"/>
      <c r="F101" s="687"/>
      <c r="G101" s="687">
        <v>8</v>
      </c>
      <c r="H101" s="687" t="s">
        <v>446</v>
      </c>
      <c r="I101" s="687">
        <v>8</v>
      </c>
      <c r="J101" s="687" t="s">
        <v>446</v>
      </c>
      <c r="K101" s="687"/>
      <c r="L101" s="687"/>
      <c r="M101" s="687"/>
      <c r="N101" s="687"/>
    </row>
    <row r="102" spans="1:14" s="585" customFormat="1">
      <c r="I102" s="838"/>
    </row>
    <row r="103" spans="1:14" s="585" customFormat="1"/>
    <row r="104" spans="1:14" s="585" customFormat="1">
      <c r="A104" s="839"/>
      <c r="E104" s="847" t="s">
        <v>1048</v>
      </c>
      <c r="F104" s="776" t="s">
        <v>396</v>
      </c>
      <c r="G104" s="777" t="s">
        <v>397</v>
      </c>
      <c r="H104" s="585" t="s">
        <v>1002</v>
      </c>
    </row>
    <row r="105" spans="1:14" s="585" customFormat="1">
      <c r="A105" s="840"/>
      <c r="F105" s="834"/>
      <c r="G105" s="777" t="s">
        <v>397</v>
      </c>
      <c r="H105" s="585" t="s">
        <v>394</v>
      </c>
    </row>
    <row r="106" spans="1:14" s="585" customFormat="1">
      <c r="A106" s="842"/>
      <c r="F106" s="1437" t="s">
        <v>930</v>
      </c>
      <c r="G106" s="783" t="e">
        <f>G105/2</f>
        <v>#VALUE!</v>
      </c>
      <c r="H106" s="784" t="s">
        <v>929</v>
      </c>
    </row>
    <row r="107" spans="1:14" s="585" customFormat="1">
      <c r="A107" s="844"/>
      <c r="F107" s="714" t="s">
        <v>470</v>
      </c>
      <c r="G107" s="785" t="e">
        <f>AVERAGE(G104:G106)</f>
        <v>#VALUE!</v>
      </c>
      <c r="H107" s="786" t="s">
        <v>395</v>
      </c>
    </row>
    <row r="108" spans="1:14" s="585" customFormat="1">
      <c r="A108" s="845"/>
    </row>
    <row r="109" spans="1:14" s="585" customFormat="1">
      <c r="A109" s="846"/>
      <c r="F109" s="629"/>
      <c r="G109" s="788" t="str">
        <f>G104</f>
        <v>enter rate here</v>
      </c>
      <c r="H109" s="585" t="str">
        <f>H104</f>
        <v>Foreman (Full) *min $30 Cement Mason, Mason</v>
      </c>
    </row>
    <row r="110" spans="1:14" s="585" customFormat="1">
      <c r="A110" s="847"/>
      <c r="F110" s="629"/>
      <c r="G110" s="794" t="str">
        <f>G105</f>
        <v>enter rate here</v>
      </c>
      <c r="H110" s="784" t="s">
        <v>394</v>
      </c>
      <c r="I110" s="838"/>
      <c r="L110" s="848"/>
      <c r="M110" s="827"/>
    </row>
    <row r="111" spans="1:14" s="585" customFormat="1">
      <c r="A111" s="849"/>
      <c r="F111" s="714" t="s">
        <v>469</v>
      </c>
      <c r="G111" s="785" t="e">
        <f>AVERAGE(G109:G110)</f>
        <v>#DIV/0!</v>
      </c>
      <c r="H111" s="786" t="s">
        <v>395</v>
      </c>
      <c r="I111" s="838"/>
      <c r="L111" s="848"/>
      <c r="M111" s="827"/>
    </row>
    <row r="112" spans="1:14" s="585" customFormat="1">
      <c r="F112" s="600"/>
      <c r="G112" s="605"/>
      <c r="H112" s="605"/>
      <c r="I112" s="838"/>
      <c r="L112" s="848"/>
      <c r="M112" s="827"/>
    </row>
    <row r="113" spans="1:26" s="585" customFormat="1">
      <c r="A113"/>
      <c r="B113"/>
      <c r="C113"/>
      <c r="D113"/>
      <c r="E113"/>
      <c r="F113" s="629"/>
      <c r="G113" s="788" t="str">
        <f>G104</f>
        <v>enter rate here</v>
      </c>
      <c r="H113" s="585" t="str">
        <f>H104</f>
        <v>Foreman (Full) *min $30 Cement Mason, Mason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 s="585" customFormat="1">
      <c r="A114"/>
      <c r="B114"/>
      <c r="C114"/>
      <c r="D114"/>
      <c r="E114"/>
      <c r="F114" s="662"/>
      <c r="G114" s="1369" t="str">
        <f>G105</f>
        <v>enter rate here</v>
      </c>
      <c r="H114" s="585" t="s">
        <v>394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 s="585" customFormat="1" ht="16.05" customHeight="1">
      <c r="A115"/>
      <c r="B115"/>
      <c r="C115"/>
      <c r="D115"/>
      <c r="E115"/>
      <c r="F115" s="629"/>
      <c r="G115" s="1369" t="str">
        <f>G105</f>
        <v>enter rate here</v>
      </c>
      <c r="H115" s="585" t="s">
        <v>394</v>
      </c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 s="585" customFormat="1">
      <c r="A116"/>
      <c r="B116"/>
      <c r="C116"/>
      <c r="D116"/>
      <c r="E116"/>
      <c r="F116" s="1437" t="s">
        <v>930</v>
      </c>
      <c r="G116" s="783" t="e">
        <f>G106</f>
        <v>#VALUE!</v>
      </c>
      <c r="H116" s="784" t="s">
        <v>929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 s="585" customFormat="1">
      <c r="A117"/>
      <c r="B117"/>
      <c r="C117"/>
      <c r="D117"/>
      <c r="E117"/>
      <c r="F117" s="714" t="s">
        <v>896</v>
      </c>
      <c r="G117" s="785" t="e">
        <f>AVERAGE(G113:G116)</f>
        <v>#VALUE!</v>
      </c>
      <c r="H117" s="786" t="s">
        <v>395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 s="585" customFormat="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 s="585" customFormat="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 s="585" customFormat="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 s="585" customFormat="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 s="585" customFormat="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1:26" s="58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1:26" s="585" customForma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1:26" s="585" customForma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1:26" s="585" customFormat="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1:26" s="585" customFormat="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1:26" s="585" customFormat="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1:26" s="585" customFormat="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1:26" s="585" customFormat="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1:26" s="585" customFormat="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1:26" s="585" customFormat="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1:26" s="585" customFormat="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1:26" s="585" customFormat="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1:26" s="585" customFormat="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1:26" s="585" customFormat="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1:26" s="585" customFormat="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1:26" s="585" customFormat="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1:26" s="585" customFormat="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1:26" s="585" customFormat="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1:26" s="585" customFormat="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1:26" s="585" customFormat="1">
      <c r="A142" s="695"/>
      <c r="B142" s="695"/>
      <c r="S142" s="633"/>
      <c r="T142" s="852"/>
    </row>
    <row r="143" spans="1:26" s="585" customFormat="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1:26" s="585" customFormat="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1:26" s="585" customFormat="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1:26" s="585" customFormat="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1:26" s="585" customFormat="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1:26" s="585" customFormat="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1:26" s="585" customFormat="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1:26" s="585" customFormat="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1:26" s="585" customFormat="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1:26" s="585" customFormat="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1:26" s="585" customFormat="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1:26" s="585" customFormat="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1:26" s="585" customFormat="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1:26" s="585" customFormat="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1:26" s="585" customFormat="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1:26" s="585" customFormat="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1:26" s="585" customFormat="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1:26" s="585" customFormat="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1:26" s="585" customFormat="1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1:26" s="585" customFormat="1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1:26" s="585" customFormat="1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1:26" s="585" customFormat="1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1:26" s="585" customFormat="1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1:26" s="585" customFormat="1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1:26" s="585" customFormat="1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1:26" s="585" customFormat="1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1:26" s="585" customFormat="1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1:26" s="585" customFormat="1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1:26" s="585" customFormat="1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1:26" s="585" customFormat="1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1:26" s="585" customFormat="1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1:26" s="585" customFormat="1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1:26" s="585" customForma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1:26" s="585" customFormat="1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1:26" s="594" customFormat="1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1:26" s="594" customFormat="1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1:26" s="594" customFormat="1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1:26" s="594" customFormat="1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1:26" s="594" customFormat="1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1:26" s="594" customFormat="1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1:26" s="594" customFormat="1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  <row r="184" spans="1:26" s="594" customFormat="1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</row>
    <row r="185" spans="1:26" s="594" customFormat="1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</row>
    <row r="186" spans="1:26" s="594" customFormat="1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</row>
    <row r="187" spans="1:26" s="594" customFormat="1">
      <c r="A187" s="593"/>
      <c r="B187" s="593"/>
      <c r="C187" s="605"/>
      <c r="D187" s="605"/>
      <c r="E187" s="859"/>
      <c r="F187" s="593"/>
      <c r="Q187" s="593"/>
      <c r="R187" s="593"/>
      <c r="S187" s="593"/>
    </row>
    <row r="188" spans="1:26" s="594" customFormat="1">
      <c r="A188" s="593"/>
      <c r="B188" s="593"/>
      <c r="C188" s="605"/>
      <c r="D188" s="605"/>
      <c r="E188" s="593"/>
      <c r="F188" s="593"/>
      <c r="Q188" s="593"/>
      <c r="R188" s="593"/>
      <c r="S188" s="593"/>
    </row>
    <row r="189" spans="1:26" s="594" customFormat="1">
      <c r="A189" s="593"/>
      <c r="B189" s="593"/>
      <c r="C189" s="605"/>
      <c r="D189" s="605"/>
      <c r="E189" s="593"/>
      <c r="F189" s="593"/>
      <c r="Q189" s="593"/>
      <c r="R189" s="593"/>
      <c r="S189" s="593"/>
    </row>
    <row r="190" spans="1:26" s="594" customFormat="1">
      <c r="A190" s="593"/>
      <c r="B190" s="593"/>
      <c r="C190" s="605"/>
      <c r="D190" s="605"/>
      <c r="E190" s="593"/>
      <c r="F190" s="593"/>
    </row>
    <row r="191" spans="1:26" s="64" customFormat="1">
      <c r="A191" s="53"/>
      <c r="B191" s="53"/>
      <c r="C191" s="79"/>
      <c r="D191" s="79"/>
      <c r="E191" s="53"/>
      <c r="F191" s="53"/>
    </row>
    <row r="192" spans="1:26" s="64" customFormat="1">
      <c r="A192" s="103"/>
      <c r="B192" s="103"/>
      <c r="C192" s="104"/>
      <c r="D192" s="104"/>
      <c r="E192" s="53"/>
      <c r="F192" s="53"/>
    </row>
    <row r="193" spans="1:12" s="64" customFormat="1">
      <c r="A193" s="103"/>
      <c r="B193" s="105"/>
      <c r="C193" s="104"/>
      <c r="D193" s="104"/>
      <c r="E193" s="53"/>
      <c r="F193" s="53"/>
    </row>
    <row r="194" spans="1:12" s="64" customFormat="1">
      <c r="A194" s="103"/>
      <c r="B194" s="103"/>
      <c r="C194" s="104"/>
      <c r="D194" s="104"/>
      <c r="E194" s="53"/>
      <c r="F194" s="53"/>
    </row>
    <row r="195" spans="1:12" s="64" customFormat="1">
      <c r="A195" s="103"/>
      <c r="B195" s="105"/>
      <c r="C195" s="104"/>
      <c r="D195" s="104"/>
      <c r="E195" s="53"/>
      <c r="G195" s="53"/>
      <c r="H195" s="53"/>
      <c r="I195" s="53"/>
      <c r="J195" s="53"/>
      <c r="K195" s="53"/>
      <c r="L195" s="53"/>
    </row>
    <row r="196" spans="1:12" s="64" customFormat="1">
      <c r="A196" s="53"/>
      <c r="B196" s="53"/>
      <c r="C196" s="79"/>
      <c r="D196" s="79"/>
      <c r="E196" s="53"/>
      <c r="G196" s="53"/>
      <c r="H196" s="53"/>
      <c r="I196" s="53"/>
      <c r="J196" s="106"/>
      <c r="K196" s="106"/>
      <c r="L196" s="106"/>
    </row>
    <row r="197" spans="1:12" s="64" customFormat="1">
      <c r="A197" s="3"/>
      <c r="B197" s="102"/>
      <c r="C197" s="3"/>
      <c r="D197" s="102"/>
      <c r="E197" s="107"/>
      <c r="G197" s="53"/>
      <c r="H197" s="108"/>
      <c r="I197" s="53"/>
      <c r="J197" s="106"/>
      <c r="K197" s="106"/>
      <c r="L197" s="106"/>
    </row>
    <row r="198" spans="1:12" s="64" customFormat="1">
      <c r="A198" s="53"/>
      <c r="B198" s="53"/>
      <c r="C198" s="53"/>
      <c r="D198" s="53"/>
      <c r="E198" s="107"/>
      <c r="G198" s="53"/>
      <c r="H198" s="53"/>
      <c r="I198" s="53"/>
      <c r="J198" s="79"/>
      <c r="K198" s="79"/>
      <c r="L198" s="53"/>
    </row>
    <row r="199" spans="1:12" s="64" customFormat="1">
      <c r="A199" s="53"/>
      <c r="B199" s="53"/>
      <c r="C199" s="53"/>
      <c r="D199" s="106"/>
      <c r="E199" s="106"/>
      <c r="G199" s="53"/>
      <c r="H199" s="93"/>
      <c r="I199" s="79"/>
      <c r="J199" s="79"/>
      <c r="K199" s="79"/>
      <c r="L199" s="106"/>
    </row>
    <row r="200" spans="1:12" s="64" customFormat="1">
      <c r="A200" s="53"/>
      <c r="B200" s="53"/>
      <c r="C200" s="53"/>
      <c r="D200" s="53"/>
      <c r="E200" s="53"/>
      <c r="G200" s="53"/>
      <c r="H200" s="93"/>
      <c r="I200" s="79"/>
      <c r="J200" s="79"/>
      <c r="K200" s="79"/>
      <c r="L200" s="53"/>
    </row>
    <row r="201" spans="1:12" s="64" customFormat="1">
      <c r="A201" s="53"/>
      <c r="B201" s="53"/>
      <c r="C201" s="53"/>
      <c r="D201" s="106"/>
      <c r="E201" s="106"/>
      <c r="G201" s="53"/>
      <c r="H201" s="93"/>
      <c r="I201" s="79"/>
      <c r="J201" s="79"/>
      <c r="K201" s="79"/>
      <c r="L201" s="106"/>
    </row>
    <row r="202" spans="1:12" s="64" customFormat="1">
      <c r="A202" s="53"/>
      <c r="B202" s="53"/>
      <c r="C202" s="53"/>
      <c r="D202" s="109"/>
      <c r="E202" s="109"/>
      <c r="F202" s="53"/>
      <c r="G202" s="103"/>
      <c r="H202" s="103"/>
      <c r="I202" s="104"/>
      <c r="J202" s="104"/>
      <c r="K202" s="79"/>
      <c r="L202" s="106"/>
    </row>
    <row r="203" spans="1:12" s="64" customFormat="1">
      <c r="A203" s="53"/>
      <c r="B203" s="53"/>
      <c r="C203" s="79"/>
      <c r="D203" s="79"/>
      <c r="E203" s="79"/>
      <c r="F203" s="53"/>
      <c r="G203" s="53"/>
      <c r="H203" s="53"/>
    </row>
    <row r="204" spans="1:12" s="64" customFormat="1">
      <c r="A204" s="53"/>
      <c r="B204" s="53"/>
      <c r="C204" s="53"/>
      <c r="D204" s="79"/>
      <c r="E204" s="53"/>
      <c r="F204" s="53"/>
      <c r="G204" s="110"/>
      <c r="H204" s="53"/>
      <c r="I204" s="53"/>
      <c r="J204" s="79"/>
      <c r="K204" s="79"/>
    </row>
    <row r="205" spans="1:12" s="64" customFormat="1">
      <c r="A205" s="53"/>
      <c r="B205" s="93"/>
      <c r="C205" s="79"/>
      <c r="D205" s="79"/>
      <c r="E205" s="53"/>
      <c r="F205" s="53"/>
      <c r="G205" s="102"/>
      <c r="H205" s="93"/>
      <c r="I205" s="79"/>
      <c r="J205" s="79"/>
      <c r="K205" s="79"/>
    </row>
    <row r="206" spans="1:12" s="64" customFormat="1">
      <c r="A206" s="53"/>
      <c r="B206" s="93"/>
      <c r="C206" s="79"/>
      <c r="D206" s="79"/>
      <c r="E206" s="53"/>
      <c r="F206" s="53"/>
      <c r="G206" s="53"/>
      <c r="H206" s="93"/>
      <c r="I206" s="79"/>
      <c r="J206" s="79"/>
      <c r="K206" s="79"/>
    </row>
    <row r="207" spans="1:12" s="64" customFormat="1">
      <c r="A207" s="53"/>
      <c r="B207" s="93"/>
      <c r="C207" s="79"/>
      <c r="D207" s="79"/>
      <c r="E207" s="53"/>
      <c r="F207" s="53"/>
      <c r="G207" s="53"/>
      <c r="H207" s="93"/>
      <c r="I207" s="79"/>
      <c r="J207" s="79"/>
      <c r="K207" s="79"/>
    </row>
    <row r="208" spans="1:12" s="64" customFormat="1">
      <c r="A208" s="53"/>
      <c r="B208" s="93"/>
      <c r="C208" s="79"/>
      <c r="D208" s="79"/>
      <c r="E208" s="111"/>
      <c r="F208" s="53"/>
      <c r="G208" s="53"/>
      <c r="H208" s="93"/>
      <c r="I208" s="79"/>
      <c r="J208" s="79"/>
      <c r="K208" s="79"/>
    </row>
    <row r="209" spans="1:14" s="64" customFormat="1">
      <c r="A209" s="53"/>
      <c r="B209" s="93"/>
      <c r="C209" s="79"/>
      <c r="D209" s="79"/>
      <c r="E209" s="111"/>
      <c r="F209" s="53"/>
      <c r="G209" s="53"/>
      <c r="H209" s="93"/>
      <c r="I209" s="79"/>
      <c r="J209" s="79"/>
      <c r="K209" s="79"/>
    </row>
    <row r="210" spans="1:14" s="64" customFormat="1">
      <c r="A210" s="53"/>
      <c r="B210" s="93"/>
      <c r="C210" s="79"/>
      <c r="D210" s="79"/>
      <c r="E210" s="53"/>
      <c r="F210" s="53"/>
      <c r="G210" s="53"/>
      <c r="H210" s="93"/>
      <c r="I210" s="79"/>
      <c r="J210" s="79"/>
      <c r="K210" s="79"/>
    </row>
    <row r="211" spans="1:14" s="64" customFormat="1">
      <c r="A211" s="53"/>
      <c r="B211" s="93"/>
      <c r="C211" s="79"/>
      <c r="D211" s="79"/>
      <c r="E211" s="53"/>
      <c r="F211" s="53"/>
      <c r="G211" s="53"/>
      <c r="H211" s="93"/>
      <c r="I211" s="79"/>
      <c r="J211" s="79"/>
      <c r="K211" s="79"/>
    </row>
    <row r="212" spans="1:14" s="64" customFormat="1">
      <c r="A212" s="103"/>
      <c r="B212" s="103"/>
      <c r="C212" s="104"/>
      <c r="D212" s="104"/>
      <c r="E212" s="53"/>
      <c r="F212" s="53"/>
      <c r="G212" s="103"/>
      <c r="H212" s="103"/>
      <c r="I212" s="104"/>
      <c r="J212" s="104"/>
      <c r="K212" s="104"/>
    </row>
    <row r="213" spans="1:14" s="64" customFormat="1">
      <c r="A213" s="53"/>
      <c r="B213" s="53"/>
      <c r="C213" s="79"/>
      <c r="D213" s="79"/>
      <c r="E213" s="53"/>
      <c r="F213" s="53"/>
    </row>
    <row r="214" spans="1:14" s="64" customFormat="1">
      <c r="A214" s="53"/>
      <c r="B214" s="53"/>
      <c r="C214" s="79"/>
      <c r="D214" s="104"/>
      <c r="E214" s="53"/>
      <c r="F214" s="53"/>
    </row>
    <row r="215" spans="1:14" s="64" customFormat="1">
      <c r="A215" s="53"/>
      <c r="B215" s="53"/>
      <c r="C215" s="79"/>
      <c r="D215" s="79"/>
      <c r="E215" s="53"/>
      <c r="F215" s="53"/>
    </row>
    <row r="216" spans="1:14" s="64" customFormat="1">
      <c r="A216" s="53"/>
      <c r="B216" s="53"/>
      <c r="C216" s="79"/>
      <c r="D216" s="79"/>
      <c r="E216" s="53"/>
      <c r="F216" s="53"/>
    </row>
    <row r="217" spans="1:14" s="64" customFormat="1">
      <c r="A217" s="53"/>
      <c r="B217" s="112"/>
      <c r="C217" s="79"/>
      <c r="D217" s="79"/>
      <c r="E217" s="53"/>
      <c r="F217" s="53"/>
    </row>
    <row r="218" spans="1:14" s="64" customFormat="1">
      <c r="A218" s="53"/>
      <c r="B218" s="112"/>
      <c r="C218" s="79"/>
      <c r="D218" s="79"/>
      <c r="E218" s="53"/>
      <c r="F218" s="53"/>
    </row>
    <row r="219" spans="1:14" s="64" customFormat="1">
      <c r="A219" s="53"/>
      <c r="B219" s="113"/>
      <c r="C219" s="79"/>
      <c r="D219" s="79"/>
      <c r="E219" s="53"/>
      <c r="F219" s="53"/>
    </row>
    <row r="220" spans="1:14" s="64" customFormat="1">
      <c r="A220" s="53"/>
      <c r="B220" s="113"/>
      <c r="C220" s="79"/>
      <c r="D220" s="79"/>
      <c r="E220" s="53"/>
      <c r="F220" s="53"/>
    </row>
    <row r="221" spans="1:14" s="64" customFormat="1">
      <c r="A221" s="53"/>
      <c r="B221" s="113"/>
      <c r="C221" s="79"/>
      <c r="D221" s="79"/>
      <c r="E221" s="53"/>
      <c r="F221" s="53"/>
    </row>
    <row r="222" spans="1:14" s="64" customFormat="1">
      <c r="A222" s="53"/>
      <c r="B222" s="113"/>
      <c r="C222" s="79"/>
      <c r="D222" s="79"/>
      <c r="E222" s="53"/>
      <c r="F222" s="53"/>
    </row>
    <row r="223" spans="1:14" s="64" customFormat="1">
      <c r="A223" s="53"/>
      <c r="B223" s="112"/>
      <c r="C223" s="79"/>
      <c r="D223" s="79"/>
      <c r="E223" s="53"/>
      <c r="F223" s="53"/>
    </row>
    <row r="224" spans="1:14" s="64" customFormat="1">
      <c r="A224" s="53"/>
      <c r="B224" s="113"/>
      <c r="C224" s="79"/>
      <c r="D224" s="66"/>
      <c r="E224" s="53"/>
      <c r="F224" s="53"/>
      <c r="N224" s="53"/>
    </row>
    <row r="225" spans="1:19" s="64" customFormat="1">
      <c r="A225" s="53"/>
      <c r="B225" s="113"/>
      <c r="C225" s="79"/>
      <c r="D225" s="79"/>
      <c r="E225" s="53"/>
      <c r="F225" s="53"/>
      <c r="G225" s="53"/>
      <c r="I225" s="114"/>
      <c r="N225" s="53"/>
    </row>
    <row r="226" spans="1:19" s="64" customFormat="1">
      <c r="A226" s="53"/>
      <c r="B226" s="53"/>
      <c r="C226" s="79"/>
      <c r="D226" s="79"/>
      <c r="E226" s="79"/>
      <c r="F226" s="79"/>
      <c r="N226" s="53"/>
    </row>
    <row r="227" spans="1:19" s="64" customFormat="1">
      <c r="A227" s="53"/>
      <c r="B227" s="53"/>
      <c r="C227" s="79"/>
      <c r="D227" s="79"/>
      <c r="F227" s="108"/>
      <c r="N227" s="53"/>
    </row>
    <row r="228" spans="1:19" s="64" customFormat="1">
      <c r="D228" s="79"/>
      <c r="L228" s="53"/>
      <c r="M228" s="53"/>
      <c r="N228" s="53"/>
      <c r="O228" s="53"/>
      <c r="P228" s="53"/>
    </row>
    <row r="229" spans="1:19" s="64" customFormat="1">
      <c r="L229" s="53"/>
      <c r="M229" s="53"/>
      <c r="N229" s="53"/>
      <c r="O229" s="53"/>
      <c r="P229" s="53"/>
    </row>
    <row r="230" spans="1:19" s="64" customFormat="1">
      <c r="L230" s="53"/>
      <c r="M230" s="53"/>
      <c r="N230" s="53"/>
      <c r="O230" s="53"/>
      <c r="P230" s="53"/>
    </row>
    <row r="231" spans="1:19" s="64" customFormat="1">
      <c r="A231" s="53"/>
      <c r="B231" s="53"/>
      <c r="C231" s="53"/>
      <c r="D231" s="53"/>
      <c r="L231" s="53"/>
      <c r="M231" s="53"/>
      <c r="N231" s="53"/>
      <c r="O231" s="53"/>
      <c r="P231" s="53"/>
    </row>
    <row r="232" spans="1:19" s="64" customFormat="1">
      <c r="A232" s="53"/>
      <c r="B232" s="53"/>
      <c r="C232" s="53"/>
      <c r="D232" s="53"/>
      <c r="E232" s="53"/>
      <c r="F232" s="53"/>
      <c r="L232" s="53"/>
      <c r="M232" s="53"/>
      <c r="N232" s="53"/>
      <c r="O232" s="53"/>
      <c r="P232" s="79"/>
    </row>
    <row r="233" spans="1:19" s="64" customFormat="1">
      <c r="A233" s="53"/>
      <c r="B233" s="101"/>
      <c r="C233" s="79"/>
      <c r="D233" s="79"/>
      <c r="E233" s="102"/>
      <c r="F233" s="53"/>
      <c r="L233" s="53"/>
      <c r="M233" s="53"/>
      <c r="N233" s="79"/>
      <c r="O233" s="79"/>
      <c r="P233" s="79"/>
      <c r="Q233" s="53"/>
      <c r="R233" s="53"/>
    </row>
    <row r="234" spans="1:19" s="64" customFormat="1">
      <c r="A234" s="53"/>
      <c r="B234" s="53"/>
      <c r="C234" s="79"/>
      <c r="D234" s="79"/>
      <c r="E234" s="53"/>
      <c r="F234" s="53"/>
      <c r="L234" s="53"/>
      <c r="M234" s="53"/>
      <c r="N234" s="79"/>
      <c r="O234" s="102"/>
      <c r="P234" s="79"/>
      <c r="Q234" s="53"/>
      <c r="R234" s="53"/>
    </row>
    <row r="235" spans="1:19" s="64" customFormat="1">
      <c r="A235" s="53"/>
      <c r="B235" s="53"/>
      <c r="C235" s="79"/>
      <c r="D235" s="79"/>
      <c r="E235" s="53"/>
      <c r="F235" s="53"/>
      <c r="L235" s="53"/>
      <c r="M235" s="53"/>
      <c r="N235" s="79"/>
      <c r="O235" s="102"/>
      <c r="P235" s="79"/>
      <c r="Q235" s="53"/>
      <c r="R235" s="53"/>
    </row>
    <row r="236" spans="1:19" s="64" customFormat="1">
      <c r="A236" s="53"/>
      <c r="B236" s="53"/>
      <c r="C236" s="79"/>
      <c r="D236" s="79"/>
      <c r="E236" s="53"/>
      <c r="F236" s="53"/>
      <c r="L236" s="53"/>
      <c r="M236" s="79"/>
      <c r="N236" s="66"/>
      <c r="O236" s="53"/>
      <c r="P236" s="53"/>
      <c r="Q236" s="53"/>
      <c r="R236" s="53"/>
      <c r="S236" s="53"/>
    </row>
    <row r="237" spans="1:19" s="64" customFormat="1">
      <c r="A237" s="53"/>
      <c r="B237" s="53"/>
      <c r="C237" s="79"/>
      <c r="D237" s="79"/>
      <c r="E237" s="53"/>
      <c r="F237" s="53"/>
      <c r="L237" s="53"/>
      <c r="M237" s="53"/>
      <c r="N237" s="66"/>
      <c r="O237" s="53"/>
      <c r="P237" s="53"/>
      <c r="Q237" s="79"/>
      <c r="R237" s="79"/>
      <c r="S237" s="53"/>
    </row>
    <row r="238" spans="1:19" s="64" customFormat="1">
      <c r="A238" s="53"/>
      <c r="B238" s="53"/>
      <c r="C238" s="79"/>
      <c r="D238" s="79"/>
      <c r="E238" s="53"/>
      <c r="F238" s="53"/>
      <c r="L238" s="53"/>
      <c r="M238" s="53"/>
      <c r="N238" s="66"/>
      <c r="O238" s="53"/>
      <c r="P238" s="53"/>
      <c r="Q238" s="79"/>
      <c r="R238" s="79"/>
      <c r="S238" s="53"/>
    </row>
    <row r="239" spans="1:19" s="64" customFormat="1">
      <c r="A239" s="53"/>
      <c r="B239" s="53"/>
      <c r="C239" s="79"/>
      <c r="D239" s="79"/>
      <c r="E239" s="53"/>
      <c r="F239" s="53"/>
      <c r="L239" s="53"/>
      <c r="M239" s="53"/>
      <c r="N239" s="66"/>
      <c r="O239" s="53"/>
      <c r="P239" s="53"/>
      <c r="Q239" s="79"/>
      <c r="R239" s="79"/>
      <c r="S239" s="53"/>
    </row>
    <row r="240" spans="1:19" s="64" customFormat="1">
      <c r="A240" s="53"/>
      <c r="B240" s="53"/>
      <c r="C240" s="79"/>
      <c r="D240" s="79"/>
      <c r="E240" s="53"/>
      <c r="F240" s="53"/>
      <c r="L240" s="53"/>
      <c r="M240" s="53"/>
      <c r="N240" s="66"/>
      <c r="O240" s="53"/>
      <c r="P240" s="53"/>
      <c r="Q240" s="79"/>
      <c r="R240" s="79"/>
      <c r="S240" s="53"/>
    </row>
    <row r="241" spans="1:19" s="64" customFormat="1">
      <c r="A241" s="53"/>
      <c r="B241" s="53"/>
      <c r="C241" s="79"/>
      <c r="D241" s="79"/>
      <c r="E241" s="53"/>
      <c r="F241" s="53"/>
      <c r="L241" s="53"/>
      <c r="M241" s="53"/>
      <c r="N241" s="66"/>
      <c r="O241" s="53"/>
      <c r="P241" s="53"/>
      <c r="Q241" s="53"/>
      <c r="R241" s="53"/>
      <c r="S241" s="53"/>
    </row>
    <row r="242" spans="1:19" s="64" customFormat="1">
      <c r="A242" s="53"/>
      <c r="B242" s="53"/>
      <c r="C242" s="79"/>
      <c r="D242" s="79"/>
      <c r="E242" s="53"/>
      <c r="F242" s="53"/>
      <c r="L242" s="53"/>
      <c r="M242" s="53"/>
      <c r="N242" s="66"/>
      <c r="O242" s="53"/>
      <c r="P242" s="53"/>
      <c r="Q242" s="53"/>
      <c r="R242" s="53"/>
      <c r="S242" s="53"/>
    </row>
    <row r="243" spans="1:19" s="64" customFormat="1">
      <c r="A243" s="53"/>
      <c r="B243" s="53"/>
      <c r="C243" s="79"/>
      <c r="D243" s="79"/>
      <c r="E243" s="53"/>
      <c r="F243" s="53"/>
      <c r="Q243" s="53"/>
      <c r="R243" s="53"/>
      <c r="S243" s="53"/>
    </row>
    <row r="244" spans="1:19" s="64" customFormat="1">
      <c r="A244" s="53"/>
      <c r="B244" s="53"/>
      <c r="C244" s="79"/>
      <c r="D244" s="79"/>
      <c r="E244" s="53"/>
      <c r="F244" s="53"/>
      <c r="Q244" s="53"/>
      <c r="R244" s="53"/>
      <c r="S244" s="53"/>
    </row>
    <row r="245" spans="1:19" s="64" customFormat="1">
      <c r="A245" s="53"/>
      <c r="B245" s="53"/>
      <c r="C245" s="79"/>
      <c r="D245" s="79"/>
      <c r="E245" s="102"/>
      <c r="F245" s="53"/>
      <c r="Q245" s="53"/>
      <c r="R245" s="53"/>
      <c r="S245" s="53"/>
    </row>
    <row r="246" spans="1:19" s="64" customFormat="1">
      <c r="A246" s="53"/>
      <c r="B246" s="53"/>
      <c r="C246" s="79"/>
      <c r="D246" s="79"/>
      <c r="E246" s="53"/>
      <c r="F246" s="53"/>
      <c r="Q246" s="53"/>
      <c r="R246" s="53"/>
      <c r="S246" s="53"/>
    </row>
    <row r="247" spans="1:19" s="64" customFormat="1">
      <c r="A247" s="53"/>
      <c r="B247" s="53"/>
      <c r="C247" s="79"/>
      <c r="D247" s="79"/>
      <c r="E247" s="53"/>
      <c r="F247" s="53"/>
      <c r="Q247" s="53"/>
      <c r="R247" s="53"/>
      <c r="S247" s="53"/>
    </row>
    <row r="248" spans="1:19" s="64" customFormat="1">
      <c r="A248" s="53"/>
      <c r="B248" s="53"/>
      <c r="C248" s="79"/>
      <c r="D248" s="79"/>
      <c r="E248" s="53"/>
      <c r="F248" s="53"/>
    </row>
    <row r="249" spans="1:19" s="64" customFormat="1">
      <c r="A249" s="53"/>
      <c r="B249" s="53"/>
      <c r="C249" s="79"/>
      <c r="D249" s="79"/>
      <c r="E249" s="53"/>
      <c r="F249" s="53"/>
    </row>
    <row r="250" spans="1:19" s="64" customFormat="1">
      <c r="A250" s="103"/>
      <c r="B250" s="103"/>
      <c r="C250" s="104"/>
      <c r="D250" s="104"/>
      <c r="E250" s="53"/>
      <c r="F250" s="53"/>
    </row>
    <row r="251" spans="1:19" s="64" customFormat="1">
      <c r="A251" s="103"/>
      <c r="B251" s="105"/>
      <c r="C251" s="104"/>
      <c r="D251" s="104"/>
      <c r="E251" s="53"/>
      <c r="F251" s="53"/>
    </row>
    <row r="252" spans="1:19" s="64" customFormat="1">
      <c r="A252" s="103"/>
      <c r="B252" s="103"/>
      <c r="C252" s="104"/>
      <c r="D252" s="104"/>
      <c r="E252" s="53"/>
      <c r="F252" s="53"/>
    </row>
    <row r="253" spans="1:19" s="64" customFormat="1">
      <c r="A253" s="103"/>
      <c r="B253" s="105"/>
      <c r="C253" s="104"/>
      <c r="D253" s="104"/>
      <c r="E253" s="53"/>
      <c r="G253" s="53"/>
      <c r="H253" s="53"/>
      <c r="I253" s="53"/>
      <c r="J253" s="53"/>
      <c r="K253" s="53"/>
      <c r="L253" s="53"/>
    </row>
    <row r="254" spans="1:19" s="64" customFormat="1">
      <c r="A254" s="53"/>
      <c r="B254" s="53"/>
      <c r="C254" s="79"/>
      <c r="D254" s="79"/>
      <c r="E254" s="53"/>
      <c r="G254" s="53"/>
      <c r="H254" s="53"/>
      <c r="I254" s="53"/>
      <c r="J254" s="106"/>
      <c r="K254" s="106"/>
      <c r="L254" s="106"/>
    </row>
    <row r="255" spans="1:19" s="64" customFormat="1">
      <c r="A255" s="3"/>
      <c r="B255" s="102"/>
      <c r="C255" s="3"/>
      <c r="D255" s="102"/>
      <c r="E255" s="107"/>
      <c r="G255" s="53"/>
      <c r="H255" s="108"/>
      <c r="I255" s="53"/>
      <c r="J255" s="106"/>
      <c r="K255" s="106"/>
      <c r="L255" s="106"/>
    </row>
    <row r="256" spans="1:19" s="64" customFormat="1">
      <c r="A256" s="53"/>
      <c r="B256" s="53"/>
      <c r="C256" s="53"/>
      <c r="D256" s="53"/>
      <c r="E256" s="107"/>
      <c r="G256" s="53"/>
      <c r="H256" s="53"/>
      <c r="I256" s="53"/>
      <c r="J256" s="79"/>
      <c r="K256" s="79"/>
      <c r="L256" s="53"/>
    </row>
    <row r="257" spans="1:12" s="64" customFormat="1">
      <c r="A257" s="53"/>
      <c r="B257" s="53"/>
      <c r="C257" s="53"/>
      <c r="D257" s="106"/>
      <c r="E257" s="106"/>
      <c r="G257" s="53"/>
      <c r="H257" s="93"/>
      <c r="I257" s="79"/>
      <c r="J257" s="79"/>
      <c r="K257" s="79"/>
      <c r="L257" s="106"/>
    </row>
    <row r="258" spans="1:12" s="64" customFormat="1">
      <c r="A258" s="53"/>
      <c r="B258" s="53"/>
      <c r="C258" s="53"/>
      <c r="D258" s="53"/>
      <c r="E258" s="53"/>
      <c r="G258" s="53"/>
      <c r="H258" s="93"/>
      <c r="I258" s="79"/>
      <c r="J258" s="79"/>
      <c r="K258" s="79"/>
      <c r="L258" s="53"/>
    </row>
    <row r="259" spans="1:12" s="64" customFormat="1">
      <c r="A259" s="53"/>
      <c r="B259" s="53"/>
      <c r="C259" s="53"/>
      <c r="D259" s="106"/>
      <c r="E259" s="106"/>
      <c r="G259" s="53"/>
      <c r="H259" s="93"/>
      <c r="I259" s="79"/>
      <c r="J259" s="79"/>
      <c r="K259" s="79"/>
      <c r="L259" s="106"/>
    </row>
    <row r="260" spans="1:12" s="64" customFormat="1">
      <c r="A260" s="53"/>
      <c r="B260" s="53"/>
      <c r="C260" s="53"/>
      <c r="D260" s="109"/>
      <c r="E260" s="109"/>
      <c r="F260" s="53"/>
      <c r="G260" s="103"/>
      <c r="H260" s="103"/>
      <c r="I260" s="104"/>
      <c r="J260" s="104"/>
      <c r="K260" s="79"/>
      <c r="L260" s="106"/>
    </row>
    <row r="261" spans="1:12" s="64" customFormat="1">
      <c r="A261" s="53"/>
      <c r="B261" s="53"/>
      <c r="C261" s="79"/>
      <c r="D261" s="79"/>
      <c r="E261" s="79"/>
      <c r="F261" s="53"/>
      <c r="G261" s="53"/>
      <c r="H261" s="53"/>
    </row>
    <row r="262" spans="1:12" s="64" customFormat="1">
      <c r="A262" s="53"/>
      <c r="B262" s="53"/>
      <c r="C262" s="53"/>
      <c r="D262" s="79"/>
      <c r="E262" s="53"/>
      <c r="F262" s="53"/>
      <c r="G262" s="110"/>
      <c r="H262" s="53"/>
      <c r="I262" s="53"/>
      <c r="J262" s="79"/>
      <c r="K262" s="79"/>
    </row>
    <row r="263" spans="1:12" s="64" customFormat="1">
      <c r="A263" s="53"/>
      <c r="B263" s="93"/>
      <c r="C263" s="79"/>
      <c r="D263" s="79"/>
      <c r="E263" s="53"/>
      <c r="F263" s="53"/>
      <c r="G263" s="102"/>
      <c r="H263" s="93"/>
      <c r="I263" s="79"/>
      <c r="J263" s="79"/>
      <c r="K263" s="79"/>
    </row>
    <row r="264" spans="1:12" s="64" customFormat="1">
      <c r="A264" s="53"/>
      <c r="B264" s="93"/>
      <c r="C264" s="79"/>
      <c r="D264" s="79"/>
      <c r="E264" s="53"/>
      <c r="F264" s="53"/>
      <c r="G264" s="53"/>
      <c r="H264" s="93"/>
      <c r="I264" s="79"/>
      <c r="J264" s="79"/>
      <c r="K264" s="79"/>
    </row>
    <row r="265" spans="1:12" s="64" customFormat="1">
      <c r="A265" s="53"/>
      <c r="B265" s="93"/>
      <c r="C265" s="79"/>
      <c r="D265" s="79"/>
      <c r="E265" s="53"/>
      <c r="F265" s="53"/>
      <c r="G265" s="53"/>
      <c r="H265" s="93"/>
      <c r="I265" s="79"/>
      <c r="J265" s="79"/>
      <c r="K265" s="79"/>
    </row>
    <row r="266" spans="1:12" s="64" customFormat="1">
      <c r="A266" s="53"/>
      <c r="B266" s="93"/>
      <c r="C266" s="79"/>
      <c r="D266" s="79"/>
      <c r="E266" s="111"/>
      <c r="F266" s="53"/>
      <c r="G266" s="53"/>
      <c r="H266" s="93"/>
      <c r="I266" s="79"/>
      <c r="J266" s="79"/>
      <c r="K266" s="79"/>
    </row>
    <row r="267" spans="1:12" s="64" customFormat="1">
      <c r="A267" s="53"/>
      <c r="B267" s="93"/>
      <c r="C267" s="79"/>
      <c r="D267" s="79"/>
      <c r="E267" s="111"/>
      <c r="F267" s="53"/>
      <c r="G267" s="53"/>
      <c r="H267" s="93"/>
      <c r="I267" s="79"/>
      <c r="J267" s="79"/>
      <c r="K267" s="79"/>
    </row>
    <row r="268" spans="1:12" s="64" customFormat="1">
      <c r="A268" s="53"/>
      <c r="B268" s="93"/>
      <c r="C268" s="79"/>
      <c r="D268" s="79"/>
      <c r="E268" s="53"/>
      <c r="F268" s="53"/>
      <c r="G268" s="53"/>
      <c r="H268" s="93"/>
      <c r="I268" s="79"/>
      <c r="J268" s="79"/>
      <c r="K268" s="79"/>
    </row>
    <row r="269" spans="1:12" s="64" customFormat="1">
      <c r="A269" s="53"/>
      <c r="B269" s="93"/>
      <c r="C269" s="79"/>
      <c r="D269" s="79"/>
      <c r="E269" s="53"/>
      <c r="F269" s="53"/>
      <c r="G269" s="53"/>
      <c r="H269" s="93"/>
      <c r="I269" s="79"/>
      <c r="J269" s="79"/>
      <c r="K269" s="79"/>
    </row>
    <row r="270" spans="1:12" s="64" customFormat="1">
      <c r="A270" s="103"/>
      <c r="B270" s="103"/>
      <c r="C270" s="104"/>
      <c r="D270" s="104"/>
      <c r="E270" s="53"/>
      <c r="F270" s="53"/>
      <c r="G270" s="103"/>
      <c r="H270" s="103"/>
      <c r="I270" s="104"/>
      <c r="J270" s="104"/>
      <c r="K270" s="104"/>
    </row>
    <row r="271" spans="1:12" s="64" customFormat="1">
      <c r="A271" s="53"/>
      <c r="B271" s="53"/>
      <c r="C271" s="79"/>
      <c r="D271" s="79"/>
      <c r="E271" s="53"/>
      <c r="F271" s="53"/>
    </row>
    <row r="272" spans="1:12" s="64" customFormat="1">
      <c r="A272" s="53"/>
      <c r="B272" s="53"/>
      <c r="C272" s="79"/>
      <c r="D272" s="104"/>
      <c r="E272" s="53"/>
      <c r="F272" s="53"/>
    </row>
    <row r="273" spans="1:14" s="64" customFormat="1">
      <c r="A273" s="53"/>
      <c r="B273" s="53"/>
      <c r="C273" s="79"/>
      <c r="D273" s="79"/>
      <c r="E273" s="53"/>
      <c r="F273" s="53"/>
    </row>
    <row r="274" spans="1:14" s="64" customFormat="1">
      <c r="A274" s="53"/>
      <c r="B274" s="53"/>
      <c r="C274" s="79"/>
      <c r="D274" s="79"/>
      <c r="E274" s="53"/>
      <c r="F274" s="53"/>
    </row>
    <row r="275" spans="1:14" s="64" customFormat="1">
      <c r="A275" s="53"/>
      <c r="B275" s="112"/>
      <c r="C275" s="79"/>
      <c r="D275" s="79"/>
      <c r="E275" s="53"/>
      <c r="F275" s="53"/>
    </row>
    <row r="276" spans="1:14" s="64" customFormat="1">
      <c r="A276" s="53"/>
      <c r="B276" s="112"/>
      <c r="C276" s="79"/>
      <c r="D276" s="79"/>
      <c r="E276" s="53"/>
      <c r="F276" s="53"/>
    </row>
    <row r="277" spans="1:14" s="64" customFormat="1">
      <c r="A277" s="53"/>
      <c r="B277" s="113"/>
      <c r="C277" s="79"/>
      <c r="D277" s="79"/>
      <c r="E277" s="53"/>
      <c r="F277" s="53"/>
    </row>
    <row r="278" spans="1:14" s="64" customFormat="1">
      <c r="A278" s="53"/>
      <c r="B278" s="113"/>
      <c r="C278" s="79"/>
      <c r="D278" s="79"/>
      <c r="E278" s="53"/>
      <c r="F278" s="53"/>
    </row>
    <row r="279" spans="1:14" s="64" customFormat="1">
      <c r="A279" s="53"/>
      <c r="B279" s="113"/>
      <c r="C279" s="79"/>
      <c r="D279" s="79"/>
      <c r="E279" s="53"/>
      <c r="F279" s="53"/>
    </row>
    <row r="280" spans="1:14" s="64" customFormat="1">
      <c r="A280" s="53"/>
      <c r="B280" s="113"/>
      <c r="C280" s="79"/>
      <c r="D280" s="79"/>
      <c r="E280" s="53"/>
      <c r="F280" s="53"/>
    </row>
    <row r="281" spans="1:14" s="64" customFormat="1">
      <c r="A281" s="53"/>
      <c r="B281" s="112"/>
      <c r="C281" s="79"/>
      <c r="D281" s="79"/>
      <c r="E281" s="53"/>
      <c r="F281" s="53"/>
    </row>
    <row r="282" spans="1:14" s="64" customFormat="1">
      <c r="A282" s="53"/>
      <c r="B282" s="112"/>
      <c r="C282" s="79"/>
      <c r="D282" s="79"/>
      <c r="E282" s="53"/>
      <c r="F282" s="53"/>
    </row>
    <row r="283" spans="1:14" s="64" customFormat="1">
      <c r="A283" s="53"/>
      <c r="B283" s="112"/>
      <c r="C283" s="79"/>
      <c r="D283" s="66"/>
      <c r="E283" s="53"/>
      <c r="F283" s="53"/>
      <c r="N283" s="53"/>
    </row>
    <row r="284" spans="1:14" s="64" customFormat="1">
      <c r="A284" s="53"/>
      <c r="B284" s="113"/>
      <c r="C284" s="79"/>
      <c r="D284" s="79"/>
      <c r="E284" s="53"/>
      <c r="F284" s="53"/>
      <c r="G284" s="53"/>
      <c r="I284" s="114"/>
      <c r="N284" s="53"/>
    </row>
    <row r="285" spans="1:14" s="64" customFormat="1">
      <c r="A285" s="53"/>
      <c r="B285" s="53"/>
      <c r="C285" s="79"/>
      <c r="D285" s="79"/>
      <c r="E285" s="79"/>
      <c r="F285" s="79"/>
      <c r="N285" s="53"/>
    </row>
    <row r="286" spans="1:14" s="64" customFormat="1">
      <c r="A286" s="53"/>
      <c r="B286" s="53"/>
      <c r="C286" s="79"/>
      <c r="D286" s="79"/>
      <c r="F286" s="108"/>
      <c r="N286" s="53"/>
    </row>
    <row r="287" spans="1:14" s="64" customFormat="1">
      <c r="D287" s="79"/>
    </row>
    <row r="288" spans="1:14" s="64" customFormat="1">
      <c r="A288" s="115"/>
    </row>
    <row r="289" spans="1:19" s="64" customFormat="1"/>
    <row r="290" spans="1:19" s="64" customFormat="1">
      <c r="A290" s="53"/>
      <c r="B290" s="53"/>
      <c r="C290" s="53"/>
      <c r="D290" s="53"/>
      <c r="L290" s="53"/>
      <c r="M290" s="53"/>
      <c r="N290" s="53"/>
      <c r="O290" s="53"/>
      <c r="P290" s="53"/>
    </row>
    <row r="291" spans="1:19" s="64" customFormat="1">
      <c r="A291" s="53"/>
      <c r="B291" s="53"/>
      <c r="C291" s="53"/>
      <c r="D291" s="53"/>
      <c r="E291" s="53"/>
      <c r="F291" s="53"/>
      <c r="L291" s="53"/>
      <c r="M291" s="53"/>
      <c r="N291" s="53"/>
      <c r="O291" s="53"/>
      <c r="P291" s="79"/>
    </row>
    <row r="292" spans="1:19" s="64" customFormat="1">
      <c r="A292" s="53"/>
      <c r="B292" s="101"/>
      <c r="C292" s="79"/>
      <c r="D292" s="79"/>
      <c r="E292" s="102"/>
      <c r="F292" s="53"/>
      <c r="L292" s="53"/>
      <c r="M292" s="53"/>
      <c r="N292" s="79"/>
      <c r="O292" s="79"/>
      <c r="P292" s="79"/>
    </row>
    <row r="293" spans="1:19" s="64" customFormat="1">
      <c r="A293" s="53"/>
      <c r="B293" s="53"/>
      <c r="C293" s="79"/>
      <c r="D293" s="79"/>
      <c r="E293" s="53"/>
      <c r="F293" s="53"/>
      <c r="L293" s="53"/>
      <c r="M293" s="53"/>
      <c r="N293" s="79"/>
      <c r="O293" s="102"/>
      <c r="P293" s="79"/>
    </row>
    <row r="294" spans="1:19" s="64" customFormat="1">
      <c r="A294" s="53"/>
      <c r="B294" s="53"/>
      <c r="C294" s="79"/>
      <c r="D294" s="79"/>
      <c r="E294" s="53"/>
      <c r="F294" s="53"/>
      <c r="L294" s="53"/>
      <c r="M294" s="53"/>
      <c r="N294" s="79"/>
      <c r="O294" s="102"/>
      <c r="P294" s="79"/>
    </row>
    <row r="295" spans="1:19" s="64" customFormat="1">
      <c r="A295" s="53"/>
      <c r="B295" s="53"/>
      <c r="C295" s="79"/>
      <c r="D295" s="79"/>
      <c r="E295" s="53"/>
      <c r="F295" s="53"/>
      <c r="L295" s="53"/>
      <c r="M295" s="79"/>
      <c r="N295" s="66"/>
      <c r="O295" s="53"/>
      <c r="P295" s="53"/>
      <c r="Q295" s="53"/>
      <c r="R295" s="53"/>
      <c r="S295" s="53"/>
    </row>
    <row r="296" spans="1:19" s="64" customFormat="1">
      <c r="A296" s="53"/>
      <c r="B296" s="53"/>
      <c r="C296" s="79"/>
      <c r="D296" s="79"/>
      <c r="E296" s="53"/>
      <c r="F296" s="53"/>
      <c r="L296" s="53"/>
      <c r="M296" s="53"/>
      <c r="N296" s="66"/>
      <c r="O296" s="53"/>
      <c r="P296" s="53"/>
      <c r="Q296" s="79"/>
      <c r="R296" s="79"/>
      <c r="S296" s="53"/>
    </row>
    <row r="297" spans="1:19" s="64" customFormat="1">
      <c r="A297" s="53"/>
      <c r="B297" s="53"/>
      <c r="C297" s="79"/>
      <c r="D297" s="79"/>
      <c r="E297" s="53"/>
      <c r="F297" s="53"/>
      <c r="L297" s="53"/>
      <c r="M297" s="53"/>
      <c r="N297" s="66"/>
      <c r="O297" s="53"/>
      <c r="P297" s="53"/>
      <c r="Q297" s="79"/>
      <c r="R297" s="79"/>
      <c r="S297" s="53"/>
    </row>
    <row r="298" spans="1:19" s="64" customFormat="1">
      <c r="A298" s="53"/>
      <c r="B298" s="53"/>
      <c r="C298" s="79"/>
      <c r="D298" s="79"/>
      <c r="E298" s="53"/>
      <c r="F298" s="53"/>
      <c r="L298" s="53"/>
      <c r="M298" s="53"/>
      <c r="N298" s="66"/>
      <c r="O298" s="53"/>
      <c r="P298" s="53"/>
      <c r="Q298" s="79"/>
      <c r="R298" s="79"/>
      <c r="S298" s="53"/>
    </row>
    <row r="299" spans="1:19" s="64" customFormat="1">
      <c r="A299" s="53"/>
      <c r="B299" s="53"/>
      <c r="C299" s="79"/>
      <c r="D299" s="79"/>
      <c r="E299" s="53"/>
      <c r="F299" s="53"/>
      <c r="L299" s="53"/>
      <c r="M299" s="53"/>
      <c r="N299" s="66"/>
      <c r="O299" s="53"/>
      <c r="P299" s="53"/>
      <c r="Q299" s="79"/>
      <c r="R299" s="79"/>
      <c r="S299" s="53"/>
    </row>
    <row r="300" spans="1:19" s="64" customFormat="1">
      <c r="A300" s="53"/>
      <c r="B300" s="53"/>
      <c r="C300" s="79"/>
      <c r="D300" s="79"/>
      <c r="E300" s="53"/>
      <c r="F300" s="53"/>
      <c r="L300" s="53"/>
      <c r="M300" s="53"/>
      <c r="N300" s="66"/>
      <c r="O300" s="53"/>
      <c r="P300" s="53"/>
      <c r="Q300" s="53"/>
      <c r="R300" s="53"/>
      <c r="S300" s="53"/>
    </row>
    <row r="301" spans="1:19" s="64" customFormat="1">
      <c r="A301" s="53"/>
      <c r="B301" s="53"/>
      <c r="C301" s="79"/>
      <c r="D301" s="79"/>
      <c r="E301" s="53"/>
      <c r="F301" s="53"/>
      <c r="L301" s="53"/>
      <c r="M301" s="53"/>
      <c r="N301" s="66"/>
      <c r="O301" s="53"/>
      <c r="P301" s="53"/>
      <c r="Q301" s="53"/>
      <c r="R301" s="53"/>
      <c r="S301" s="53"/>
    </row>
    <row r="302" spans="1:19" s="64" customFormat="1">
      <c r="A302" s="53"/>
      <c r="B302" s="53"/>
      <c r="C302" s="79"/>
      <c r="D302" s="79"/>
      <c r="E302" s="53"/>
      <c r="F302" s="53"/>
      <c r="Q302" s="53"/>
      <c r="R302" s="53"/>
      <c r="S302" s="53"/>
    </row>
    <row r="303" spans="1:19" s="64" customFormat="1">
      <c r="A303" s="53"/>
      <c r="B303" s="53"/>
      <c r="C303" s="79"/>
      <c r="D303" s="79"/>
      <c r="E303" s="53"/>
      <c r="F303" s="53"/>
      <c r="Q303" s="53"/>
      <c r="R303" s="53"/>
      <c r="S303" s="53"/>
    </row>
    <row r="304" spans="1:19" s="64" customFormat="1">
      <c r="A304" s="53"/>
      <c r="B304" s="53"/>
      <c r="C304" s="79"/>
      <c r="D304" s="79"/>
      <c r="E304" s="102"/>
      <c r="F304" s="53"/>
      <c r="Q304" s="53"/>
      <c r="R304" s="53"/>
      <c r="S304" s="53"/>
    </row>
    <row r="305" spans="1:19" s="64" customFormat="1">
      <c r="A305" s="53"/>
      <c r="B305" s="53"/>
      <c r="C305" s="79"/>
      <c r="D305" s="79"/>
      <c r="E305" s="53"/>
      <c r="F305" s="53"/>
      <c r="Q305" s="53"/>
      <c r="R305" s="53"/>
      <c r="S305" s="53"/>
    </row>
    <row r="306" spans="1:19" s="64" customFormat="1">
      <c r="A306" s="53"/>
      <c r="B306" s="53"/>
      <c r="C306" s="79"/>
      <c r="D306" s="79"/>
      <c r="E306" s="53"/>
      <c r="F306" s="53"/>
      <c r="Q306" s="53"/>
      <c r="R306" s="53"/>
      <c r="S306" s="53"/>
    </row>
    <row r="307" spans="1:19" s="64" customFormat="1">
      <c r="A307" s="53"/>
      <c r="B307" s="53"/>
      <c r="C307" s="79"/>
      <c r="D307" s="79"/>
      <c r="E307" s="53"/>
      <c r="F307" s="53"/>
    </row>
    <row r="308" spans="1:19" s="64" customFormat="1">
      <c r="A308" s="53"/>
      <c r="B308" s="53"/>
      <c r="C308" s="79"/>
      <c r="D308" s="79"/>
      <c r="E308" s="53"/>
      <c r="F308" s="53"/>
    </row>
    <row r="309" spans="1:19" s="64" customFormat="1">
      <c r="A309" s="103"/>
      <c r="B309" s="103"/>
      <c r="C309" s="104"/>
      <c r="D309" s="104"/>
      <c r="E309" s="53"/>
      <c r="F309" s="53"/>
    </row>
    <row r="310" spans="1:19" s="64" customFormat="1">
      <c r="A310" s="103"/>
      <c r="B310" s="105"/>
      <c r="C310" s="104"/>
      <c r="D310" s="104"/>
      <c r="E310" s="53"/>
      <c r="F310" s="53"/>
    </row>
    <row r="311" spans="1:19" s="64" customFormat="1">
      <c r="A311" s="103"/>
      <c r="B311" s="103"/>
      <c r="C311" s="104"/>
      <c r="D311" s="104"/>
      <c r="E311" s="53"/>
      <c r="F311" s="53"/>
    </row>
    <row r="312" spans="1:19" s="64" customFormat="1">
      <c r="A312" s="103"/>
      <c r="B312" s="105"/>
      <c r="C312" s="104"/>
      <c r="D312" s="104"/>
      <c r="E312" s="53"/>
      <c r="G312" s="53"/>
      <c r="H312" s="53"/>
      <c r="I312" s="53"/>
      <c r="J312" s="53"/>
      <c r="K312" s="53"/>
      <c r="L312" s="53"/>
    </row>
    <row r="313" spans="1:19" s="64" customFormat="1">
      <c r="A313" s="53"/>
      <c r="B313" s="53"/>
      <c r="C313" s="79"/>
      <c r="D313" s="79"/>
      <c r="E313" s="53"/>
      <c r="G313" s="53"/>
      <c r="H313" s="53"/>
      <c r="I313" s="53"/>
      <c r="J313" s="106"/>
      <c r="K313" s="106"/>
      <c r="L313" s="106"/>
    </row>
    <row r="314" spans="1:19" s="64" customFormat="1">
      <c r="A314" s="3"/>
      <c r="B314" s="102"/>
      <c r="C314" s="3"/>
      <c r="D314" s="102"/>
      <c r="E314" s="107"/>
      <c r="G314" s="53"/>
      <c r="H314" s="108"/>
      <c r="I314" s="53"/>
      <c r="J314" s="106"/>
      <c r="K314" s="106"/>
      <c r="L314" s="106"/>
    </row>
    <row r="315" spans="1:19" s="64" customFormat="1">
      <c r="A315" s="53"/>
      <c r="B315" s="53"/>
      <c r="C315" s="53"/>
      <c r="D315" s="53"/>
      <c r="E315" s="107"/>
      <c r="G315" s="53"/>
      <c r="H315" s="53"/>
      <c r="I315" s="53"/>
      <c r="J315" s="79"/>
      <c r="K315" s="79"/>
      <c r="L315" s="53"/>
    </row>
    <row r="316" spans="1:19" s="64" customFormat="1">
      <c r="A316" s="53"/>
      <c r="B316" s="53"/>
      <c r="C316" s="53"/>
      <c r="D316" s="106"/>
      <c r="E316" s="106"/>
      <c r="G316" s="53"/>
      <c r="H316" s="93"/>
      <c r="I316" s="79"/>
      <c r="J316" s="79"/>
      <c r="K316" s="79"/>
      <c r="L316" s="106"/>
    </row>
    <row r="317" spans="1:19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79"/>
      <c r="L317" s="53"/>
    </row>
    <row r="318" spans="1:19" s="64" customFormat="1">
      <c r="A318" s="53"/>
      <c r="B318" s="53"/>
      <c r="C318" s="53"/>
      <c r="D318" s="106"/>
      <c r="E318" s="106"/>
      <c r="G318" s="53"/>
      <c r="H318" s="93"/>
      <c r="I318" s="79"/>
      <c r="J318" s="79"/>
      <c r="K318" s="79"/>
      <c r="L318" s="106"/>
    </row>
    <row r="319" spans="1:19" s="64" customFormat="1">
      <c r="A319" s="53"/>
      <c r="B319" s="53"/>
      <c r="C319" s="53"/>
      <c r="D319" s="109"/>
      <c r="E319" s="109"/>
      <c r="F319" s="53"/>
      <c r="G319" s="103"/>
      <c r="H319" s="103"/>
      <c r="I319" s="104"/>
      <c r="J319" s="104"/>
      <c r="K319" s="79"/>
      <c r="L319" s="106"/>
    </row>
    <row r="320" spans="1:19" s="64" customFormat="1">
      <c r="A320" s="53"/>
      <c r="B320" s="53"/>
      <c r="C320" s="79"/>
      <c r="D320" s="79"/>
      <c r="E320" s="79"/>
      <c r="F320" s="53"/>
      <c r="G320" s="53"/>
      <c r="H320" s="53"/>
    </row>
    <row r="321" spans="1:11" s="64" customFormat="1">
      <c r="A321" s="53"/>
      <c r="B321" s="53"/>
      <c r="C321" s="53"/>
      <c r="D321" s="79"/>
      <c r="E321" s="53"/>
      <c r="F321" s="53"/>
      <c r="G321" s="110"/>
      <c r="H321" s="53"/>
      <c r="I321" s="53"/>
      <c r="J321" s="79"/>
      <c r="K321" s="79"/>
    </row>
    <row r="322" spans="1:11" s="64" customFormat="1">
      <c r="A322" s="53"/>
      <c r="B322" s="93"/>
      <c r="C322" s="79"/>
      <c r="D322" s="79"/>
      <c r="E322" s="53"/>
      <c r="F322" s="53"/>
      <c r="G322" s="102"/>
      <c r="H322" s="93"/>
      <c r="I322" s="79"/>
      <c r="J322" s="79"/>
      <c r="K322" s="79"/>
    </row>
    <row r="323" spans="1:11" s="64" customFormat="1">
      <c r="A323" s="53"/>
      <c r="B323" s="93"/>
      <c r="C323" s="79"/>
      <c r="D323" s="79"/>
      <c r="E323" s="53"/>
      <c r="F323" s="53"/>
      <c r="G323" s="53"/>
      <c r="H323" s="93"/>
      <c r="I323" s="79"/>
      <c r="J323" s="79"/>
      <c r="K323" s="79"/>
    </row>
    <row r="324" spans="1:11" s="64" customFormat="1">
      <c r="A324" s="53"/>
      <c r="B324" s="93"/>
      <c r="C324" s="79"/>
      <c r="D324" s="79"/>
      <c r="E324" s="53"/>
      <c r="F324" s="53"/>
      <c r="G324" s="53"/>
      <c r="H324" s="93"/>
      <c r="I324" s="79"/>
      <c r="J324" s="79"/>
      <c r="K324" s="79"/>
    </row>
    <row r="325" spans="1:11" s="64" customFormat="1">
      <c r="A325" s="53"/>
      <c r="B325" s="93"/>
      <c r="C325" s="79"/>
      <c r="D325" s="79"/>
      <c r="E325" s="111"/>
      <c r="F325" s="53"/>
      <c r="G325" s="53"/>
      <c r="H325" s="93"/>
      <c r="I325" s="79"/>
      <c r="J325" s="79"/>
      <c r="K325" s="79"/>
    </row>
    <row r="326" spans="1:11" s="64" customFormat="1">
      <c r="A326" s="53"/>
      <c r="B326" s="93"/>
      <c r="C326" s="79"/>
      <c r="D326" s="79"/>
      <c r="E326" s="111"/>
      <c r="F326" s="53"/>
      <c r="G326" s="53"/>
      <c r="H326" s="93"/>
      <c r="I326" s="79"/>
      <c r="J326" s="79"/>
      <c r="K326" s="79"/>
    </row>
    <row r="327" spans="1:11" s="64" customFormat="1">
      <c r="A327" s="53"/>
      <c r="B327" s="93"/>
      <c r="C327" s="79"/>
      <c r="D327" s="79"/>
      <c r="E327" s="53"/>
      <c r="F327" s="53"/>
      <c r="G327" s="53"/>
      <c r="H327" s="93"/>
      <c r="I327" s="79"/>
      <c r="J327" s="79"/>
      <c r="K327" s="79"/>
    </row>
    <row r="328" spans="1:11" s="64" customFormat="1">
      <c r="A328" s="53"/>
      <c r="B328" s="93"/>
      <c r="C328" s="79"/>
      <c r="D328" s="79"/>
      <c r="E328" s="53"/>
      <c r="F328" s="53"/>
      <c r="G328" s="53"/>
      <c r="H328" s="93"/>
      <c r="I328" s="79"/>
      <c r="J328" s="79"/>
      <c r="K328" s="79"/>
    </row>
    <row r="329" spans="1:11" s="64" customFormat="1">
      <c r="A329" s="103"/>
      <c r="B329" s="103"/>
      <c r="C329" s="104"/>
      <c r="D329" s="104"/>
      <c r="E329" s="53"/>
      <c r="F329" s="53"/>
      <c r="G329" s="103"/>
      <c r="H329" s="103"/>
      <c r="I329" s="104"/>
      <c r="J329" s="104"/>
      <c r="K329" s="104"/>
    </row>
    <row r="330" spans="1:11" s="64" customFormat="1">
      <c r="A330" s="53"/>
      <c r="B330" s="53"/>
      <c r="C330" s="79"/>
      <c r="D330" s="79"/>
      <c r="E330" s="53"/>
      <c r="F330" s="53"/>
    </row>
    <row r="331" spans="1:11" s="64" customFormat="1">
      <c r="A331" s="53"/>
      <c r="B331" s="53"/>
      <c r="C331" s="79"/>
      <c r="D331" s="104"/>
      <c r="E331" s="53"/>
      <c r="F331" s="53"/>
    </row>
    <row r="332" spans="1:11" s="64" customFormat="1">
      <c r="A332" s="53"/>
      <c r="B332" s="53"/>
      <c r="C332" s="79"/>
      <c r="D332" s="79"/>
      <c r="E332" s="53"/>
      <c r="F332" s="53"/>
    </row>
    <row r="333" spans="1:11" s="64" customFormat="1">
      <c r="A333" s="53"/>
      <c r="B333" s="53"/>
      <c r="C333" s="79"/>
      <c r="D333" s="79"/>
      <c r="E333" s="53"/>
      <c r="F333" s="53"/>
    </row>
    <row r="334" spans="1:11" s="64" customFormat="1">
      <c r="A334" s="53"/>
      <c r="B334" s="112"/>
      <c r="C334" s="79"/>
      <c r="D334" s="79"/>
      <c r="E334" s="53"/>
      <c r="F334" s="53"/>
    </row>
    <row r="335" spans="1:11" s="64" customFormat="1">
      <c r="A335" s="53"/>
      <c r="B335" s="112"/>
      <c r="C335" s="79"/>
      <c r="D335" s="79"/>
      <c r="E335" s="53"/>
      <c r="F335" s="53"/>
    </row>
    <row r="336" spans="1:11" s="64" customFormat="1">
      <c r="A336" s="53"/>
      <c r="B336" s="113"/>
      <c r="C336" s="79"/>
      <c r="D336" s="79"/>
      <c r="E336" s="53"/>
      <c r="F336" s="53"/>
    </row>
    <row r="337" spans="1:16" s="64" customFormat="1">
      <c r="A337" s="53"/>
      <c r="B337" s="113"/>
      <c r="C337" s="79"/>
      <c r="D337" s="79"/>
      <c r="E337" s="53"/>
      <c r="F337" s="53"/>
    </row>
    <row r="338" spans="1:16" s="64" customFormat="1">
      <c r="A338" s="53"/>
      <c r="B338" s="113"/>
      <c r="C338" s="79"/>
      <c r="D338" s="79"/>
      <c r="E338" s="53"/>
      <c r="F338" s="53"/>
    </row>
    <row r="339" spans="1:16" s="64" customFormat="1">
      <c r="A339" s="53"/>
      <c r="B339" s="113"/>
      <c r="C339" s="79"/>
      <c r="D339" s="79"/>
      <c r="E339" s="53"/>
      <c r="F339" s="53"/>
    </row>
    <row r="340" spans="1:16" s="64" customFormat="1">
      <c r="A340" s="53"/>
      <c r="B340" s="112"/>
      <c r="C340" s="79"/>
      <c r="D340" s="79"/>
      <c r="E340" s="53"/>
      <c r="F340" s="53"/>
    </row>
    <row r="341" spans="1:16" s="64" customFormat="1">
      <c r="A341" s="53"/>
      <c r="B341" s="112"/>
      <c r="C341" s="79"/>
      <c r="D341" s="79"/>
      <c r="E341" s="53"/>
      <c r="F341" s="53"/>
    </row>
    <row r="342" spans="1:16" s="64" customFormat="1">
      <c r="A342" s="53"/>
      <c r="B342" s="112"/>
      <c r="C342" s="79"/>
      <c r="D342" s="66"/>
      <c r="E342" s="53"/>
      <c r="F342" s="53"/>
      <c r="N342" s="53"/>
    </row>
    <row r="343" spans="1:16" s="64" customFormat="1">
      <c r="A343" s="53"/>
      <c r="B343" s="113"/>
      <c r="C343" s="79"/>
      <c r="D343" s="79"/>
      <c r="E343" s="53"/>
      <c r="F343" s="53"/>
      <c r="G343" s="53"/>
      <c r="I343" s="114"/>
      <c r="N343" s="53"/>
    </row>
    <row r="344" spans="1:16" s="64" customFormat="1">
      <c r="A344" s="53"/>
      <c r="B344" s="53"/>
      <c r="C344" s="79"/>
      <c r="D344" s="79"/>
      <c r="E344" s="79"/>
      <c r="F344" s="79"/>
      <c r="N344" s="53"/>
    </row>
    <row r="345" spans="1:16" s="64" customFormat="1">
      <c r="A345" s="53"/>
      <c r="B345" s="53"/>
      <c r="C345" s="79"/>
      <c r="D345" s="79"/>
      <c r="F345" s="108"/>
      <c r="N345" s="53"/>
    </row>
    <row r="346" spans="1:16" s="64" customFormat="1">
      <c r="A346" s="115"/>
      <c r="D346" s="79"/>
    </row>
    <row r="347" spans="1:16" s="64" customFormat="1"/>
    <row r="348" spans="1:16" s="64" customFormat="1">
      <c r="A348" s="116"/>
    </row>
    <row r="349" spans="1:16" s="64" customFormat="1">
      <c r="A349" s="53"/>
      <c r="B349" s="53"/>
      <c r="C349" s="53"/>
      <c r="D349" s="53"/>
      <c r="L349" s="53"/>
      <c r="M349" s="53"/>
      <c r="N349" s="53"/>
      <c r="O349" s="53"/>
      <c r="P349" s="53"/>
    </row>
    <row r="350" spans="1:16" s="64" customFormat="1">
      <c r="A350" s="53"/>
      <c r="B350" s="53"/>
      <c r="C350" s="53"/>
      <c r="D350" s="53"/>
      <c r="E350" s="53"/>
      <c r="F350" s="53"/>
      <c r="L350" s="53"/>
      <c r="M350" s="53"/>
      <c r="N350" s="53"/>
      <c r="O350" s="53"/>
      <c r="P350" s="79"/>
    </row>
    <row r="351" spans="1:16" s="64" customFormat="1">
      <c r="A351" s="53"/>
      <c r="B351" s="101"/>
      <c r="C351" s="79"/>
      <c r="D351" s="79"/>
      <c r="E351" s="102"/>
      <c r="F351" s="53"/>
      <c r="L351" s="53"/>
      <c r="M351" s="53"/>
      <c r="N351" s="79"/>
      <c r="O351" s="79"/>
      <c r="P351" s="79"/>
    </row>
    <row r="352" spans="1:16" s="64" customFormat="1">
      <c r="A352" s="53"/>
      <c r="B352" s="53"/>
      <c r="C352" s="79"/>
      <c r="D352" s="79"/>
      <c r="E352" s="53"/>
      <c r="F352" s="53"/>
      <c r="L352" s="53"/>
      <c r="M352" s="53"/>
      <c r="N352" s="79"/>
      <c r="O352" s="102"/>
      <c r="P352" s="79"/>
    </row>
    <row r="353" spans="1:19" s="64" customFormat="1">
      <c r="A353" s="53"/>
      <c r="B353" s="53"/>
      <c r="C353" s="79"/>
      <c r="D353" s="79"/>
      <c r="E353" s="53"/>
      <c r="F353" s="53"/>
      <c r="L353" s="53"/>
      <c r="M353" s="53"/>
      <c r="N353" s="79"/>
      <c r="O353" s="102"/>
      <c r="P353" s="79"/>
    </row>
    <row r="354" spans="1:19" s="64" customFormat="1">
      <c r="A354" s="53"/>
      <c r="B354" s="53"/>
      <c r="C354" s="79"/>
      <c r="D354" s="79"/>
      <c r="E354" s="53"/>
      <c r="F354" s="53"/>
      <c r="L354" s="53"/>
      <c r="M354" s="79"/>
      <c r="N354" s="66"/>
      <c r="O354" s="53"/>
      <c r="P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L355" s="53"/>
      <c r="M355" s="53"/>
      <c r="N355" s="66"/>
      <c r="O355" s="53"/>
      <c r="P355" s="53"/>
      <c r="Q355" s="79"/>
      <c r="R355" s="79"/>
      <c r="S355" s="53"/>
    </row>
    <row r="356" spans="1:19" s="64" customFormat="1">
      <c r="A356" s="53"/>
      <c r="B356" s="53"/>
      <c r="C356" s="79"/>
      <c r="D356" s="79"/>
      <c r="E356" s="53"/>
      <c r="F356" s="53"/>
      <c r="L356" s="53"/>
      <c r="M356" s="53"/>
      <c r="N356" s="66"/>
      <c r="O356" s="53"/>
      <c r="P356" s="53"/>
      <c r="Q356" s="79"/>
      <c r="R356" s="79"/>
      <c r="S356" s="53"/>
    </row>
    <row r="357" spans="1:19" s="64" customFormat="1">
      <c r="A357" s="53"/>
      <c r="B357" s="53"/>
      <c r="C357" s="79"/>
      <c r="D357" s="79"/>
      <c r="E357" s="53"/>
      <c r="F357" s="53"/>
      <c r="L357" s="53"/>
      <c r="M357" s="53"/>
      <c r="N357" s="66"/>
      <c r="O357" s="53"/>
      <c r="P357" s="53"/>
      <c r="Q357" s="79"/>
      <c r="R357" s="79"/>
      <c r="S357" s="53"/>
    </row>
    <row r="358" spans="1:19" s="64" customFormat="1">
      <c r="A358" s="53"/>
      <c r="B358" s="53"/>
      <c r="C358" s="79"/>
      <c r="D358" s="79"/>
      <c r="E358" s="53"/>
      <c r="F358" s="53"/>
      <c r="L358" s="53"/>
      <c r="M358" s="53"/>
      <c r="N358" s="66"/>
      <c r="O358" s="53"/>
      <c r="P358" s="53"/>
      <c r="Q358" s="79"/>
      <c r="R358" s="79"/>
      <c r="S358" s="53"/>
    </row>
    <row r="359" spans="1:19" s="64" customFormat="1">
      <c r="A359" s="53"/>
      <c r="B359" s="53"/>
      <c r="C359" s="79"/>
      <c r="D359" s="79"/>
      <c r="E359" s="53"/>
      <c r="F359" s="53"/>
      <c r="L359" s="53"/>
      <c r="M359" s="53"/>
      <c r="N359" s="66"/>
      <c r="O359" s="53"/>
      <c r="P359" s="53"/>
      <c r="Q359" s="53"/>
      <c r="R359" s="53"/>
      <c r="S359" s="53"/>
    </row>
    <row r="360" spans="1:19" s="64" customFormat="1">
      <c r="A360" s="53"/>
      <c r="B360" s="53"/>
      <c r="C360" s="79"/>
      <c r="D360" s="79"/>
      <c r="E360" s="53"/>
      <c r="F360" s="53"/>
      <c r="L360" s="53"/>
      <c r="M360" s="53"/>
      <c r="N360" s="66"/>
      <c r="O360" s="53"/>
      <c r="P360" s="53"/>
      <c r="Q360" s="53"/>
      <c r="R360" s="53"/>
      <c r="S360" s="53"/>
    </row>
    <row r="361" spans="1:19" s="64" customFormat="1">
      <c r="A361" s="53"/>
      <c r="B361" s="53"/>
      <c r="C361" s="79"/>
      <c r="D361" s="79"/>
      <c r="E361" s="53"/>
      <c r="F361" s="53"/>
      <c r="Q361" s="53"/>
      <c r="R361" s="53"/>
      <c r="S361" s="53"/>
    </row>
    <row r="362" spans="1:19" s="64" customFormat="1">
      <c r="A362" s="53"/>
      <c r="B362" s="53"/>
      <c r="C362" s="79"/>
      <c r="D362" s="79"/>
      <c r="E362" s="53"/>
      <c r="F362" s="53"/>
      <c r="Q362" s="53"/>
      <c r="R362" s="53"/>
      <c r="S362" s="53"/>
    </row>
    <row r="363" spans="1:19" s="64" customFormat="1">
      <c r="A363" s="53"/>
      <c r="B363" s="53"/>
      <c r="C363" s="79"/>
      <c r="D363" s="79"/>
      <c r="E363" s="102"/>
      <c r="F363" s="53"/>
      <c r="Q363" s="53"/>
      <c r="R363" s="53"/>
      <c r="S363" s="53"/>
    </row>
    <row r="364" spans="1:19" s="64" customFormat="1">
      <c r="A364" s="53"/>
      <c r="B364" s="53"/>
      <c r="C364" s="79"/>
      <c r="D364" s="79"/>
      <c r="E364" s="53"/>
      <c r="F364" s="53"/>
      <c r="Q364" s="53"/>
      <c r="R364" s="53"/>
      <c r="S364" s="53"/>
    </row>
    <row r="365" spans="1:19" s="64" customFormat="1">
      <c r="A365" s="53"/>
      <c r="B365" s="53"/>
      <c r="C365" s="79"/>
      <c r="D365" s="79"/>
      <c r="E365" s="53"/>
      <c r="F365" s="53"/>
      <c r="Q365" s="53"/>
      <c r="R365" s="53"/>
      <c r="S365" s="53"/>
    </row>
    <row r="366" spans="1:19" s="64" customFormat="1">
      <c r="A366" s="53"/>
      <c r="B366" s="53"/>
      <c r="C366" s="79"/>
      <c r="D366" s="79"/>
      <c r="E366" s="53"/>
      <c r="F366" s="53"/>
    </row>
    <row r="367" spans="1:19" s="64" customFormat="1">
      <c r="A367" s="53"/>
      <c r="B367" s="53"/>
      <c r="C367" s="79"/>
      <c r="D367" s="79"/>
      <c r="E367" s="53"/>
      <c r="F367" s="53"/>
    </row>
    <row r="368" spans="1:19" s="64" customFormat="1">
      <c r="A368" s="103"/>
      <c r="B368" s="103"/>
      <c r="C368" s="104"/>
      <c r="D368" s="104"/>
      <c r="E368" s="53"/>
      <c r="F368" s="53"/>
    </row>
    <row r="369" spans="1:12" s="64" customFormat="1">
      <c r="A369" s="103"/>
      <c r="B369" s="105"/>
      <c r="C369" s="104"/>
      <c r="D369" s="104"/>
      <c r="E369" s="53"/>
      <c r="F369" s="53"/>
    </row>
    <row r="370" spans="1:12" s="64" customFormat="1">
      <c r="A370" s="103"/>
      <c r="B370" s="103"/>
      <c r="C370" s="104"/>
      <c r="D370" s="104"/>
      <c r="E370" s="53"/>
      <c r="F370" s="53"/>
    </row>
    <row r="371" spans="1:12" s="64" customFormat="1">
      <c r="A371" s="103"/>
      <c r="B371" s="105"/>
      <c r="C371" s="104"/>
      <c r="D371" s="104"/>
      <c r="E371" s="53"/>
      <c r="G371" s="53"/>
      <c r="H371" s="53"/>
      <c r="I371" s="53"/>
      <c r="J371" s="53"/>
      <c r="K371" s="53"/>
      <c r="L371" s="53"/>
    </row>
    <row r="372" spans="1:12" s="64" customFormat="1">
      <c r="A372" s="53"/>
      <c r="B372" s="53"/>
      <c r="C372" s="79"/>
      <c r="D372" s="79"/>
      <c r="E372" s="53"/>
      <c r="G372" s="53"/>
      <c r="H372" s="53"/>
      <c r="I372" s="53"/>
      <c r="J372" s="106"/>
      <c r="K372" s="106"/>
      <c r="L372" s="106"/>
    </row>
    <row r="373" spans="1:12" s="64" customFormat="1">
      <c r="A373" s="3"/>
      <c r="B373" s="102"/>
      <c r="C373" s="3"/>
      <c r="D373" s="102"/>
      <c r="E373" s="107"/>
      <c r="G373" s="53"/>
      <c r="H373" s="108"/>
      <c r="I373" s="53"/>
      <c r="J373" s="106"/>
      <c r="K373" s="106"/>
      <c r="L373" s="106"/>
    </row>
    <row r="374" spans="1:12" s="64" customFormat="1">
      <c r="A374" s="53"/>
      <c r="B374" s="53"/>
      <c r="C374" s="53"/>
      <c r="D374" s="53"/>
      <c r="E374" s="107"/>
      <c r="G374" s="53"/>
      <c r="H374" s="53"/>
      <c r="I374" s="53"/>
      <c r="J374" s="79"/>
      <c r="K374" s="79"/>
      <c r="L374" s="53"/>
    </row>
    <row r="375" spans="1:12" s="64" customFormat="1">
      <c r="A375" s="53"/>
      <c r="B375" s="53"/>
      <c r="C375" s="53"/>
      <c r="D375" s="106"/>
      <c r="E375" s="106"/>
      <c r="G375" s="53"/>
      <c r="H375" s="93"/>
      <c r="I375" s="79"/>
      <c r="J375" s="79"/>
      <c r="K375" s="79"/>
      <c r="L375" s="106"/>
    </row>
    <row r="376" spans="1:12" s="64" customFormat="1">
      <c r="A376" s="53"/>
      <c r="B376" s="53"/>
      <c r="C376" s="53"/>
      <c r="D376" s="53"/>
      <c r="E376" s="53"/>
      <c r="G376" s="53"/>
      <c r="H376" s="93"/>
      <c r="I376" s="79"/>
      <c r="J376" s="79"/>
      <c r="K376" s="79"/>
      <c r="L376" s="53"/>
    </row>
    <row r="377" spans="1:12" s="64" customFormat="1">
      <c r="A377" s="53"/>
      <c r="B377" s="53"/>
      <c r="C377" s="53"/>
      <c r="D377" s="106"/>
      <c r="E377" s="106"/>
      <c r="G377" s="53"/>
      <c r="H377" s="93"/>
      <c r="I377" s="79"/>
      <c r="J377" s="79"/>
      <c r="K377" s="79"/>
      <c r="L377" s="106"/>
    </row>
    <row r="378" spans="1:12" s="64" customFormat="1">
      <c r="A378" s="53"/>
      <c r="B378" s="53"/>
      <c r="C378" s="53"/>
      <c r="D378" s="109"/>
      <c r="E378" s="109"/>
      <c r="F378" s="53"/>
      <c r="G378" s="103"/>
      <c r="H378" s="103"/>
      <c r="I378" s="104"/>
      <c r="J378" s="104"/>
      <c r="K378" s="79"/>
      <c r="L378" s="106"/>
    </row>
    <row r="379" spans="1:12" s="64" customFormat="1">
      <c r="A379" s="53"/>
      <c r="B379" s="53"/>
      <c r="C379" s="79"/>
      <c r="D379" s="79"/>
      <c r="E379" s="79"/>
      <c r="F379" s="53"/>
      <c r="G379" s="53"/>
      <c r="H379" s="53"/>
    </row>
    <row r="380" spans="1:12" s="64" customFormat="1">
      <c r="A380" s="53"/>
      <c r="B380" s="53"/>
      <c r="C380" s="53"/>
      <c r="D380" s="79"/>
      <c r="E380" s="53"/>
      <c r="F380" s="53"/>
      <c r="G380" s="110"/>
      <c r="H380" s="53"/>
      <c r="I380" s="53"/>
      <c r="J380" s="79"/>
      <c r="K380" s="79"/>
    </row>
    <row r="381" spans="1:12" s="64" customFormat="1">
      <c r="A381" s="53"/>
      <c r="B381" s="93"/>
      <c r="C381" s="79"/>
      <c r="D381" s="79"/>
      <c r="E381" s="53"/>
      <c r="F381" s="53"/>
      <c r="G381" s="102"/>
      <c r="H381" s="93"/>
      <c r="I381" s="79"/>
      <c r="J381" s="79"/>
      <c r="K381" s="79"/>
    </row>
    <row r="382" spans="1:12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79"/>
    </row>
    <row r="383" spans="1:12" s="64" customFormat="1">
      <c r="A383" s="53"/>
      <c r="B383" s="93"/>
      <c r="C383" s="79"/>
      <c r="D383" s="79"/>
      <c r="E383" s="53"/>
      <c r="F383" s="53"/>
      <c r="G383" s="53"/>
      <c r="H383" s="93"/>
      <c r="I383" s="79"/>
      <c r="J383" s="79"/>
      <c r="K383" s="79"/>
    </row>
    <row r="384" spans="1:12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79"/>
    </row>
    <row r="385" spans="1:11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79"/>
    </row>
    <row r="386" spans="1:11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79"/>
    </row>
    <row r="387" spans="1:11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79"/>
    </row>
    <row r="388" spans="1:11" s="64" customFormat="1">
      <c r="A388" s="103"/>
      <c r="B388" s="103"/>
      <c r="C388" s="104"/>
      <c r="D388" s="104"/>
      <c r="E388" s="53"/>
      <c r="F388" s="53"/>
      <c r="G388" s="103"/>
      <c r="H388" s="103"/>
      <c r="I388" s="104"/>
      <c r="J388" s="104"/>
      <c r="K388" s="104"/>
    </row>
    <row r="389" spans="1:11" s="64" customFormat="1">
      <c r="A389" s="53"/>
      <c r="B389" s="53"/>
      <c r="C389" s="79"/>
      <c r="D389" s="79"/>
      <c r="E389" s="53"/>
      <c r="F389" s="53"/>
    </row>
    <row r="390" spans="1:11" s="64" customFormat="1">
      <c r="A390" s="53"/>
      <c r="B390" s="53"/>
      <c r="C390" s="79"/>
      <c r="D390" s="104"/>
      <c r="E390" s="53"/>
      <c r="F390" s="53"/>
    </row>
    <row r="391" spans="1:11" s="64" customFormat="1">
      <c r="A391" s="53"/>
      <c r="B391" s="53"/>
      <c r="C391" s="79"/>
      <c r="D391" s="79"/>
      <c r="E391" s="53"/>
      <c r="F391" s="53"/>
    </row>
    <row r="392" spans="1:11" s="64" customFormat="1">
      <c r="A392" s="53"/>
      <c r="B392" s="53"/>
      <c r="C392" s="79"/>
      <c r="D392" s="79"/>
      <c r="E392" s="53"/>
      <c r="F392" s="53"/>
    </row>
    <row r="393" spans="1:11" s="64" customFormat="1">
      <c r="A393" s="53"/>
      <c r="B393" s="112"/>
      <c r="C393" s="79"/>
      <c r="D393" s="79"/>
      <c r="E393" s="53"/>
      <c r="F393" s="53"/>
    </row>
    <row r="394" spans="1:11" s="64" customFormat="1">
      <c r="A394" s="53"/>
      <c r="B394" s="112"/>
      <c r="C394" s="79"/>
      <c r="D394" s="79"/>
      <c r="E394" s="53"/>
      <c r="F394" s="53"/>
    </row>
    <row r="395" spans="1:11" s="64" customFormat="1">
      <c r="A395" s="53"/>
      <c r="B395" s="113"/>
      <c r="C395" s="79"/>
      <c r="D395" s="79"/>
      <c r="E395" s="53"/>
      <c r="F395" s="53"/>
    </row>
    <row r="396" spans="1:11" s="64" customFormat="1">
      <c r="A396" s="53"/>
      <c r="B396" s="113"/>
      <c r="C396" s="79"/>
      <c r="D396" s="79"/>
      <c r="E396" s="53"/>
      <c r="F396" s="53"/>
    </row>
    <row r="397" spans="1:11" s="64" customFormat="1">
      <c r="A397" s="53"/>
      <c r="B397" s="113"/>
      <c r="C397" s="79"/>
      <c r="D397" s="79"/>
      <c r="E397" s="53"/>
      <c r="F397" s="53"/>
    </row>
    <row r="398" spans="1:11" s="64" customFormat="1">
      <c r="A398" s="53"/>
      <c r="B398" s="113"/>
      <c r="C398" s="79"/>
      <c r="D398" s="79"/>
      <c r="E398" s="53"/>
      <c r="F398" s="53"/>
    </row>
    <row r="399" spans="1:11" s="64" customFormat="1">
      <c r="A399" s="53"/>
      <c r="B399" s="112"/>
      <c r="C399" s="79"/>
      <c r="D399" s="79"/>
      <c r="E399" s="53"/>
      <c r="F399" s="53"/>
    </row>
    <row r="400" spans="1:11" s="64" customFormat="1">
      <c r="A400" s="53"/>
      <c r="B400" s="112"/>
      <c r="C400" s="79"/>
      <c r="D400" s="79"/>
      <c r="E400" s="53"/>
      <c r="F400" s="53"/>
    </row>
    <row r="401" spans="1:19" s="64" customFormat="1">
      <c r="A401" s="53"/>
      <c r="B401" s="112"/>
      <c r="C401" s="79"/>
      <c r="D401" s="66"/>
      <c r="E401" s="53"/>
      <c r="F401" s="53"/>
      <c r="N401" s="53"/>
    </row>
    <row r="402" spans="1:19" s="64" customFormat="1">
      <c r="A402" s="53"/>
      <c r="B402" s="113"/>
      <c r="C402" s="79"/>
      <c r="D402" s="79"/>
      <c r="E402" s="53"/>
      <c r="F402" s="53"/>
      <c r="G402" s="53"/>
      <c r="I402" s="114"/>
      <c r="N402" s="53"/>
    </row>
    <row r="403" spans="1:19" s="64" customFormat="1">
      <c r="A403" s="53"/>
      <c r="B403" s="53"/>
      <c r="C403" s="79"/>
      <c r="D403" s="79"/>
      <c r="E403" s="79"/>
      <c r="F403" s="79"/>
      <c r="N403" s="53"/>
    </row>
    <row r="404" spans="1:19" s="64" customFormat="1">
      <c r="A404" s="53"/>
      <c r="B404" s="53"/>
      <c r="C404" s="79"/>
      <c r="D404" s="79"/>
      <c r="F404" s="108"/>
      <c r="N404" s="53"/>
    </row>
    <row r="405" spans="1:19" s="64" customFormat="1">
      <c r="D405" s="79"/>
    </row>
    <row r="406" spans="1:19" s="64" customFormat="1">
      <c r="A406" s="115"/>
    </row>
    <row r="407" spans="1:19" s="64" customFormat="1"/>
    <row r="408" spans="1:19" s="64" customFormat="1">
      <c r="A408" s="53"/>
      <c r="B408" s="53"/>
      <c r="C408" s="53"/>
      <c r="D408" s="53"/>
      <c r="L408" s="53"/>
      <c r="M408" s="53"/>
      <c r="N408" s="53"/>
      <c r="O408" s="53"/>
      <c r="P408" s="53"/>
    </row>
    <row r="409" spans="1:19" s="64" customFormat="1">
      <c r="A409" s="53"/>
      <c r="B409" s="53"/>
      <c r="C409" s="53"/>
      <c r="D409" s="53"/>
      <c r="E409" s="53"/>
      <c r="F409" s="53"/>
      <c r="L409" s="53"/>
      <c r="M409" s="53"/>
      <c r="N409" s="53"/>
      <c r="O409" s="53"/>
      <c r="P409" s="79"/>
    </row>
    <row r="410" spans="1:19" s="64" customFormat="1">
      <c r="A410" s="53"/>
      <c r="B410" s="101"/>
      <c r="C410" s="79"/>
      <c r="D410" s="79"/>
      <c r="E410" s="102"/>
      <c r="F410" s="53"/>
      <c r="L410" s="53"/>
      <c r="M410" s="53"/>
      <c r="N410" s="79"/>
      <c r="O410" s="79"/>
      <c r="P410" s="79"/>
    </row>
    <row r="411" spans="1:19" s="64" customFormat="1">
      <c r="A411" s="53"/>
      <c r="B411" s="53"/>
      <c r="C411" s="79"/>
      <c r="D411" s="79"/>
      <c r="E411" s="53"/>
      <c r="F411" s="53"/>
      <c r="L411" s="53"/>
      <c r="M411" s="53"/>
      <c r="N411" s="79"/>
      <c r="O411" s="102"/>
      <c r="P411" s="79"/>
    </row>
    <row r="412" spans="1:19" s="64" customFormat="1">
      <c r="A412" s="53"/>
      <c r="B412" s="53"/>
      <c r="C412" s="79"/>
      <c r="D412" s="79"/>
      <c r="E412" s="53"/>
      <c r="F412" s="53"/>
      <c r="L412" s="53"/>
      <c r="M412" s="53"/>
      <c r="N412" s="79"/>
      <c r="O412" s="102"/>
      <c r="P412" s="79"/>
    </row>
    <row r="413" spans="1:19" s="64" customFormat="1">
      <c r="A413" s="53"/>
      <c r="B413" s="53"/>
      <c r="C413" s="79"/>
      <c r="D413" s="79"/>
      <c r="E413" s="53"/>
      <c r="F413" s="53"/>
      <c r="L413" s="53"/>
      <c r="M413" s="79"/>
      <c r="N413" s="66"/>
      <c r="O413" s="53"/>
      <c r="P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L414" s="53"/>
      <c r="M414" s="53"/>
      <c r="N414" s="66"/>
      <c r="O414" s="53"/>
      <c r="P414" s="53"/>
      <c r="Q414" s="79"/>
      <c r="R414" s="79"/>
      <c r="S414" s="53"/>
    </row>
    <row r="415" spans="1:19" s="64" customFormat="1">
      <c r="A415" s="53"/>
      <c r="B415" s="53"/>
      <c r="C415" s="79"/>
      <c r="D415" s="79"/>
      <c r="E415" s="53"/>
      <c r="F415" s="53"/>
      <c r="L415" s="53"/>
      <c r="M415" s="53"/>
      <c r="N415" s="66"/>
      <c r="O415" s="53"/>
      <c r="P415" s="53"/>
      <c r="Q415" s="79"/>
      <c r="R415" s="79"/>
      <c r="S415" s="53"/>
    </row>
    <row r="416" spans="1:19" s="64" customFormat="1">
      <c r="A416" s="53"/>
      <c r="B416" s="53"/>
      <c r="C416" s="79"/>
      <c r="D416" s="79"/>
      <c r="E416" s="53"/>
      <c r="F416" s="53"/>
      <c r="L416" s="53"/>
      <c r="M416" s="53"/>
      <c r="N416" s="66"/>
      <c r="O416" s="53"/>
      <c r="P416" s="53"/>
      <c r="Q416" s="79"/>
      <c r="R416" s="79"/>
      <c r="S416" s="53"/>
    </row>
    <row r="417" spans="1:19" s="64" customFormat="1">
      <c r="A417" s="53"/>
      <c r="B417" s="53"/>
      <c r="C417" s="79"/>
      <c r="D417" s="79"/>
      <c r="E417" s="53"/>
      <c r="F417" s="53"/>
      <c r="L417" s="53"/>
      <c r="M417" s="53"/>
      <c r="N417" s="66"/>
      <c r="O417" s="53"/>
      <c r="P417" s="53"/>
      <c r="Q417" s="79"/>
      <c r="R417" s="79"/>
      <c r="S417" s="53"/>
    </row>
    <row r="418" spans="1:19" s="64" customFormat="1">
      <c r="A418" s="53"/>
      <c r="B418" s="53"/>
      <c r="C418" s="79"/>
      <c r="D418" s="79"/>
      <c r="E418" s="53"/>
      <c r="F418" s="53"/>
      <c r="L418" s="53"/>
      <c r="M418" s="53"/>
      <c r="N418" s="66"/>
      <c r="O418" s="53"/>
      <c r="P418" s="53"/>
      <c r="Q418" s="53"/>
      <c r="R418" s="53"/>
      <c r="S418" s="53"/>
    </row>
    <row r="419" spans="1:19" s="64" customFormat="1">
      <c r="A419" s="53"/>
      <c r="B419" s="53"/>
      <c r="C419" s="79"/>
      <c r="D419" s="79"/>
      <c r="E419" s="53"/>
      <c r="F419" s="53"/>
      <c r="L419" s="53"/>
      <c r="M419" s="53"/>
      <c r="N419" s="66"/>
      <c r="O419" s="53"/>
      <c r="P419" s="53"/>
      <c r="Q419" s="53"/>
      <c r="R419" s="53"/>
      <c r="S419" s="53"/>
    </row>
    <row r="420" spans="1:19" s="64" customFormat="1">
      <c r="A420" s="53"/>
      <c r="B420" s="53"/>
      <c r="C420" s="79"/>
      <c r="D420" s="79"/>
      <c r="E420" s="53"/>
      <c r="F420" s="53"/>
      <c r="Q420" s="53"/>
      <c r="R420" s="53"/>
      <c r="S420" s="53"/>
    </row>
    <row r="421" spans="1:19" s="64" customFormat="1">
      <c r="A421" s="53"/>
      <c r="B421" s="53"/>
      <c r="C421" s="79"/>
      <c r="D421" s="79"/>
      <c r="E421" s="53"/>
      <c r="F421" s="53"/>
      <c r="Q421" s="53"/>
      <c r="R421" s="53"/>
      <c r="S421" s="53"/>
    </row>
    <row r="422" spans="1:19" s="64" customFormat="1">
      <c r="A422" s="53"/>
      <c r="B422" s="53"/>
      <c r="C422" s="79"/>
      <c r="D422" s="79"/>
      <c r="E422" s="102"/>
      <c r="F422" s="53"/>
      <c r="Q422" s="53"/>
      <c r="R422" s="53"/>
      <c r="S422" s="53"/>
    </row>
    <row r="423" spans="1:19" s="64" customFormat="1">
      <c r="A423" s="53"/>
      <c r="B423" s="53"/>
      <c r="C423" s="79"/>
      <c r="D423" s="79"/>
      <c r="E423" s="53"/>
      <c r="F423" s="53"/>
      <c r="Q423" s="53"/>
      <c r="R423" s="53"/>
      <c r="S423" s="53"/>
    </row>
    <row r="424" spans="1:19" s="64" customFormat="1">
      <c r="A424" s="53"/>
      <c r="B424" s="53"/>
      <c r="C424" s="79"/>
      <c r="D424" s="79"/>
      <c r="E424" s="53"/>
      <c r="F424" s="53"/>
      <c r="Q424" s="53"/>
      <c r="R424" s="53"/>
      <c r="S424" s="53"/>
    </row>
    <row r="425" spans="1:19" s="64" customFormat="1">
      <c r="A425" s="53"/>
      <c r="B425" s="53"/>
      <c r="C425" s="79"/>
      <c r="D425" s="79"/>
      <c r="E425" s="53"/>
      <c r="F425" s="53"/>
    </row>
    <row r="426" spans="1:19" s="64" customFormat="1">
      <c r="A426" s="53"/>
      <c r="B426" s="53"/>
      <c r="C426" s="79"/>
      <c r="D426" s="79"/>
      <c r="E426" s="53"/>
      <c r="F426" s="53"/>
    </row>
    <row r="427" spans="1:19" s="64" customFormat="1">
      <c r="A427" s="103"/>
      <c r="B427" s="103"/>
      <c r="C427" s="104"/>
      <c r="D427" s="104"/>
      <c r="E427" s="53"/>
      <c r="F427" s="53"/>
    </row>
    <row r="428" spans="1:19" s="64" customFormat="1">
      <c r="A428" s="103"/>
      <c r="B428" s="105"/>
      <c r="C428" s="104"/>
      <c r="D428" s="104"/>
      <c r="E428" s="53"/>
      <c r="F428" s="53"/>
    </row>
    <row r="429" spans="1:19" s="64" customFormat="1">
      <c r="A429" s="103"/>
      <c r="B429" s="103"/>
      <c r="C429" s="104"/>
      <c r="D429" s="104"/>
      <c r="E429" s="53"/>
      <c r="F429" s="53"/>
    </row>
    <row r="430" spans="1:19" s="64" customFormat="1">
      <c r="A430" s="103"/>
      <c r="B430" s="105"/>
      <c r="C430" s="104"/>
      <c r="D430" s="104"/>
      <c r="E430" s="53"/>
      <c r="G430" s="53"/>
      <c r="H430" s="53"/>
      <c r="I430" s="53"/>
      <c r="J430" s="53"/>
      <c r="K430" s="53"/>
      <c r="L430" s="53"/>
    </row>
    <row r="431" spans="1:19" s="64" customFormat="1">
      <c r="A431" s="53"/>
      <c r="B431" s="53"/>
      <c r="C431" s="79"/>
      <c r="D431" s="79"/>
      <c r="E431" s="53"/>
      <c r="G431" s="53"/>
      <c r="H431" s="53"/>
      <c r="I431" s="53"/>
      <c r="J431" s="106"/>
      <c r="K431" s="106"/>
      <c r="L431" s="106"/>
    </row>
    <row r="432" spans="1:19" s="64" customFormat="1">
      <c r="A432" s="3"/>
      <c r="B432" s="102"/>
      <c r="C432" s="3"/>
      <c r="D432" s="102"/>
      <c r="E432" s="107"/>
      <c r="G432" s="53"/>
      <c r="H432" s="108"/>
      <c r="I432" s="53"/>
      <c r="J432" s="106"/>
      <c r="K432" s="106"/>
      <c r="L432" s="106"/>
    </row>
    <row r="433" spans="1:12" s="64" customFormat="1">
      <c r="A433" s="53"/>
      <c r="B433" s="53"/>
      <c r="C433" s="53"/>
      <c r="D433" s="53"/>
      <c r="E433" s="107"/>
      <c r="G433" s="53"/>
      <c r="H433" s="53"/>
      <c r="I433" s="53"/>
      <c r="J433" s="79"/>
      <c r="K433" s="79"/>
      <c r="L433" s="53"/>
    </row>
    <row r="434" spans="1:12" s="64" customFormat="1">
      <c r="A434" s="53"/>
      <c r="B434" s="53"/>
      <c r="C434" s="53"/>
      <c r="D434" s="106"/>
      <c r="E434" s="106"/>
      <c r="G434" s="53"/>
      <c r="H434" s="93"/>
      <c r="I434" s="79"/>
      <c r="J434" s="79"/>
      <c r="K434" s="79"/>
      <c r="L434" s="106"/>
    </row>
    <row r="435" spans="1:12" s="64" customFormat="1">
      <c r="A435" s="53"/>
      <c r="B435" s="53"/>
      <c r="C435" s="53"/>
      <c r="D435" s="53"/>
      <c r="E435" s="53"/>
      <c r="G435" s="53"/>
      <c r="H435" s="93"/>
      <c r="I435" s="79"/>
      <c r="J435" s="79"/>
      <c r="K435" s="79"/>
      <c r="L435" s="53"/>
    </row>
    <row r="436" spans="1:12" s="64" customFormat="1">
      <c r="A436" s="53"/>
      <c r="B436" s="53"/>
      <c r="C436" s="53"/>
      <c r="D436" s="106"/>
      <c r="E436" s="106"/>
      <c r="G436" s="53"/>
      <c r="H436" s="93"/>
      <c r="I436" s="79"/>
      <c r="J436" s="79"/>
      <c r="K436" s="79"/>
      <c r="L436" s="106"/>
    </row>
    <row r="437" spans="1:12" s="64" customFormat="1">
      <c r="A437" s="53"/>
      <c r="B437" s="53"/>
      <c r="C437" s="53"/>
      <c r="D437" s="109"/>
      <c r="E437" s="109"/>
      <c r="F437" s="53"/>
      <c r="G437" s="103"/>
      <c r="H437" s="103"/>
      <c r="I437" s="104"/>
      <c r="J437" s="104"/>
      <c r="K437" s="79"/>
      <c r="L437" s="106"/>
    </row>
    <row r="438" spans="1:12" s="64" customFormat="1">
      <c r="A438" s="53"/>
      <c r="B438" s="53"/>
      <c r="C438" s="79"/>
      <c r="D438" s="79"/>
      <c r="E438" s="79"/>
      <c r="F438" s="53"/>
      <c r="G438" s="53"/>
      <c r="H438" s="53"/>
    </row>
    <row r="439" spans="1:12" s="64" customFormat="1">
      <c r="A439" s="53"/>
      <c r="B439" s="53"/>
      <c r="C439" s="53"/>
      <c r="D439" s="79"/>
      <c r="E439" s="53"/>
      <c r="F439" s="53"/>
      <c r="G439" s="110"/>
      <c r="H439" s="53"/>
      <c r="I439" s="53"/>
      <c r="J439" s="79"/>
      <c r="K439" s="79"/>
    </row>
    <row r="440" spans="1:12" s="64" customFormat="1">
      <c r="A440" s="53"/>
      <c r="B440" s="93"/>
      <c r="C440" s="79"/>
      <c r="D440" s="79"/>
      <c r="E440" s="53"/>
      <c r="F440" s="53"/>
      <c r="G440" s="102"/>
      <c r="H440" s="93"/>
      <c r="I440" s="79"/>
      <c r="J440" s="79"/>
      <c r="K440" s="79"/>
    </row>
    <row r="441" spans="1:12" s="64" customFormat="1">
      <c r="A441" s="53"/>
      <c r="B441" s="93"/>
      <c r="C441" s="79"/>
      <c r="D441" s="79"/>
      <c r="E441" s="53"/>
      <c r="F441" s="53"/>
      <c r="G441" s="53"/>
      <c r="H441" s="93"/>
      <c r="I441" s="79"/>
      <c r="J441" s="79"/>
      <c r="K441" s="79"/>
    </row>
    <row r="442" spans="1:12" s="64" customFormat="1">
      <c r="A442" s="53"/>
      <c r="B442" s="93"/>
      <c r="C442" s="79"/>
      <c r="D442" s="79"/>
      <c r="E442" s="53"/>
      <c r="F442" s="53"/>
      <c r="G442" s="53"/>
      <c r="H442" s="93"/>
      <c r="I442" s="79"/>
      <c r="J442" s="79"/>
      <c r="K442" s="79"/>
    </row>
    <row r="443" spans="1:12" s="64" customFormat="1">
      <c r="A443" s="53"/>
      <c r="B443" s="93"/>
      <c r="C443" s="79"/>
      <c r="D443" s="79"/>
      <c r="E443" s="111"/>
      <c r="F443" s="53"/>
      <c r="G443" s="53"/>
      <c r="H443" s="93"/>
      <c r="I443" s="79"/>
      <c r="J443" s="79"/>
      <c r="K443" s="79"/>
    </row>
    <row r="444" spans="1:12" s="64" customFormat="1">
      <c r="A444" s="53"/>
      <c r="B444" s="93"/>
      <c r="C444" s="79"/>
      <c r="D444" s="79"/>
      <c r="E444" s="53"/>
      <c r="F444" s="53"/>
      <c r="G444" s="53"/>
      <c r="H444" s="93"/>
      <c r="I444" s="79"/>
      <c r="J444" s="79"/>
      <c r="K444" s="79"/>
    </row>
    <row r="445" spans="1:12" s="64" customFormat="1">
      <c r="A445" s="53"/>
      <c r="B445" s="93"/>
      <c r="C445" s="79"/>
      <c r="D445" s="79"/>
      <c r="E445" s="53"/>
      <c r="F445" s="53"/>
      <c r="G445" s="53"/>
      <c r="H445" s="93"/>
      <c r="I445" s="79"/>
      <c r="J445" s="79"/>
      <c r="K445" s="79"/>
    </row>
    <row r="446" spans="1:12" s="64" customFormat="1">
      <c r="A446" s="53"/>
      <c r="B446" s="93"/>
      <c r="C446" s="79"/>
      <c r="D446" s="79"/>
      <c r="E446" s="53"/>
      <c r="F446" s="53"/>
      <c r="G446" s="53"/>
      <c r="H446" s="93"/>
      <c r="I446" s="79"/>
      <c r="J446" s="79"/>
      <c r="K446" s="79"/>
    </row>
    <row r="447" spans="1:12" s="64" customFormat="1">
      <c r="A447" s="103"/>
      <c r="B447" s="103"/>
      <c r="C447" s="104"/>
      <c r="D447" s="104"/>
      <c r="E447" s="53"/>
      <c r="F447" s="53"/>
      <c r="G447" s="103"/>
      <c r="H447" s="103"/>
      <c r="I447" s="104"/>
      <c r="J447" s="104"/>
      <c r="K447" s="104"/>
    </row>
    <row r="448" spans="1:12" s="64" customFormat="1">
      <c r="A448" s="53"/>
      <c r="B448" s="53"/>
      <c r="C448" s="79"/>
      <c r="D448" s="79"/>
      <c r="E448" s="53"/>
      <c r="F448" s="53"/>
    </row>
    <row r="449" spans="1:14" s="64" customFormat="1">
      <c r="A449" s="53"/>
      <c r="B449" s="53"/>
      <c r="C449" s="79"/>
      <c r="D449" s="104"/>
      <c r="E449" s="53"/>
      <c r="F449" s="53"/>
    </row>
    <row r="450" spans="1:14" s="64" customFormat="1">
      <c r="A450" s="53"/>
      <c r="B450" s="53"/>
      <c r="C450" s="79"/>
      <c r="D450" s="79"/>
      <c r="E450" s="53"/>
      <c r="F450" s="53"/>
    </row>
    <row r="451" spans="1:14" s="64" customFormat="1">
      <c r="A451" s="53"/>
      <c r="B451" s="53"/>
      <c r="C451" s="79"/>
      <c r="D451" s="79"/>
      <c r="E451" s="53"/>
      <c r="F451" s="53"/>
    </row>
    <row r="452" spans="1:14" s="64" customFormat="1">
      <c r="A452" s="53"/>
      <c r="B452" s="112"/>
      <c r="C452" s="79"/>
      <c r="D452" s="79"/>
      <c r="E452" s="53"/>
      <c r="F452" s="53"/>
    </row>
    <row r="453" spans="1:14" s="64" customFormat="1">
      <c r="A453" s="53"/>
      <c r="B453" s="112"/>
      <c r="C453" s="79"/>
      <c r="D453" s="79"/>
      <c r="E453" s="53"/>
      <c r="F453" s="53"/>
    </row>
    <row r="454" spans="1:14" s="64" customFormat="1">
      <c r="A454" s="53"/>
      <c r="B454" s="113"/>
      <c r="C454" s="79"/>
      <c r="D454" s="79"/>
      <c r="E454" s="53"/>
      <c r="F454" s="53"/>
    </row>
    <row r="455" spans="1:14" s="64" customFormat="1">
      <c r="A455" s="53"/>
      <c r="B455" s="113"/>
      <c r="C455" s="79"/>
      <c r="D455" s="79"/>
      <c r="E455" s="53"/>
      <c r="F455" s="53"/>
    </row>
    <row r="456" spans="1:14" s="64" customFormat="1">
      <c r="A456" s="53"/>
      <c r="B456" s="113"/>
      <c r="C456" s="79"/>
      <c r="D456" s="79"/>
      <c r="E456" s="53"/>
      <c r="F456" s="53"/>
    </row>
    <row r="457" spans="1:14" s="64" customFormat="1">
      <c r="A457" s="53"/>
      <c r="B457" s="113"/>
      <c r="C457" s="79"/>
      <c r="D457" s="79"/>
      <c r="E457" s="53"/>
      <c r="F457" s="53"/>
    </row>
    <row r="458" spans="1:14" s="64" customFormat="1">
      <c r="A458" s="53"/>
      <c r="B458" s="112"/>
      <c r="C458" s="79"/>
      <c r="D458" s="79"/>
      <c r="E458" s="53"/>
      <c r="F458" s="53"/>
    </row>
    <row r="459" spans="1:14" s="64" customFormat="1">
      <c r="A459" s="53"/>
      <c r="B459" s="112"/>
      <c r="C459" s="79"/>
      <c r="D459" s="79"/>
      <c r="E459" s="53"/>
      <c r="F459" s="53"/>
    </row>
    <row r="460" spans="1:14" s="64" customFormat="1">
      <c r="A460" s="53"/>
      <c r="B460" s="112"/>
      <c r="C460" s="79"/>
      <c r="D460" s="66"/>
      <c r="E460" s="53"/>
      <c r="F460" s="53"/>
      <c r="N460" s="53"/>
    </row>
    <row r="461" spans="1:14" s="64" customFormat="1">
      <c r="A461" s="53"/>
      <c r="B461" s="113"/>
      <c r="C461" s="79"/>
      <c r="D461" s="79"/>
      <c r="E461" s="53"/>
      <c r="F461" s="53"/>
      <c r="G461" s="53"/>
      <c r="I461" s="114"/>
      <c r="N461" s="53"/>
    </row>
    <row r="462" spans="1:14" s="64" customFormat="1">
      <c r="A462" s="53"/>
      <c r="B462" s="53"/>
      <c r="C462" s="79"/>
      <c r="D462" s="79"/>
      <c r="E462" s="79"/>
      <c r="F462" s="79"/>
      <c r="N462" s="53"/>
    </row>
    <row r="463" spans="1:14" s="64" customFormat="1">
      <c r="A463" s="53"/>
      <c r="B463" s="53"/>
      <c r="C463" s="79"/>
      <c r="D463" s="79"/>
      <c r="F463" s="108"/>
      <c r="N463" s="53"/>
    </row>
    <row r="464" spans="1:14" s="64" customFormat="1">
      <c r="D464" s="79"/>
    </row>
    <row r="465" spans="1:19" s="64" customFormat="1"/>
    <row r="466" spans="1:19" s="64" customFormat="1"/>
    <row r="467" spans="1:19" s="64" customFormat="1">
      <c r="A467" s="53"/>
      <c r="B467" s="53"/>
      <c r="C467" s="53"/>
      <c r="D467" s="53"/>
      <c r="L467" s="53"/>
      <c r="M467" s="53"/>
      <c r="N467" s="53"/>
      <c r="O467" s="53"/>
      <c r="P467" s="53"/>
    </row>
    <row r="468" spans="1:19" s="64" customFormat="1">
      <c r="A468" s="53"/>
      <c r="B468" s="53"/>
      <c r="C468" s="53"/>
      <c r="D468" s="53"/>
      <c r="E468" s="53"/>
      <c r="F468" s="53"/>
      <c r="L468" s="53"/>
      <c r="M468" s="53"/>
      <c r="N468" s="53"/>
      <c r="O468" s="53"/>
      <c r="P468" s="79"/>
    </row>
    <row r="469" spans="1:19" s="64" customFormat="1">
      <c r="A469" s="53"/>
      <c r="B469" s="101"/>
      <c r="C469" s="79"/>
      <c r="D469" s="79"/>
      <c r="E469" s="102"/>
      <c r="F469" s="53"/>
      <c r="L469" s="53"/>
      <c r="M469" s="53"/>
      <c r="N469" s="79"/>
      <c r="O469" s="79"/>
      <c r="P469" s="79"/>
    </row>
    <row r="470" spans="1:19" s="64" customFormat="1">
      <c r="A470" s="53"/>
      <c r="B470" s="53"/>
      <c r="C470" s="79"/>
      <c r="D470" s="79"/>
      <c r="E470" s="53"/>
      <c r="F470" s="53"/>
      <c r="L470" s="53"/>
      <c r="M470" s="53"/>
      <c r="N470" s="79"/>
      <c r="O470" s="102"/>
      <c r="P470" s="79"/>
    </row>
    <row r="471" spans="1:19" s="64" customFormat="1">
      <c r="A471" s="53"/>
      <c r="B471" s="53"/>
      <c r="C471" s="79"/>
      <c r="D471" s="79"/>
      <c r="E471" s="53"/>
      <c r="F471" s="53"/>
      <c r="L471" s="53"/>
      <c r="M471" s="53"/>
      <c r="N471" s="79"/>
      <c r="O471" s="102"/>
      <c r="P471" s="79"/>
    </row>
    <row r="472" spans="1:19" s="64" customFormat="1">
      <c r="A472" s="53"/>
      <c r="B472" s="53"/>
      <c r="C472" s="79"/>
      <c r="D472" s="79"/>
      <c r="E472" s="53"/>
      <c r="F472" s="53"/>
      <c r="L472" s="53"/>
      <c r="M472" s="79"/>
      <c r="N472" s="66"/>
      <c r="O472" s="53"/>
      <c r="P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L473" s="53"/>
      <c r="M473" s="53"/>
      <c r="N473" s="66"/>
      <c r="O473" s="53"/>
      <c r="P473" s="53"/>
      <c r="Q473" s="79"/>
      <c r="R473" s="79"/>
      <c r="S473" s="53"/>
    </row>
    <row r="474" spans="1:19" s="64" customFormat="1">
      <c r="A474" s="53"/>
      <c r="B474" s="53"/>
      <c r="C474" s="79"/>
      <c r="D474" s="79"/>
      <c r="E474" s="53"/>
      <c r="F474" s="53"/>
      <c r="L474" s="53"/>
      <c r="M474" s="53"/>
      <c r="N474" s="66"/>
      <c r="O474" s="53"/>
      <c r="P474" s="53"/>
      <c r="Q474" s="79"/>
      <c r="R474" s="79"/>
      <c r="S474" s="53"/>
    </row>
    <row r="475" spans="1:19" s="64" customFormat="1">
      <c r="A475" s="53"/>
      <c r="B475" s="53"/>
      <c r="C475" s="79"/>
      <c r="D475" s="79"/>
      <c r="E475" s="53"/>
      <c r="F475" s="53"/>
      <c r="L475" s="53"/>
      <c r="M475" s="53"/>
      <c r="N475" s="66"/>
      <c r="O475" s="53"/>
      <c r="P475" s="53"/>
      <c r="Q475" s="79"/>
      <c r="R475" s="79"/>
      <c r="S475" s="53"/>
    </row>
    <row r="476" spans="1:19" s="64" customFormat="1">
      <c r="A476" s="53"/>
      <c r="B476" s="53"/>
      <c r="C476" s="79"/>
      <c r="D476" s="79"/>
      <c r="E476" s="53"/>
      <c r="F476" s="53"/>
      <c r="L476" s="53"/>
      <c r="M476" s="53"/>
      <c r="N476" s="66"/>
      <c r="O476" s="53"/>
      <c r="P476" s="53"/>
      <c r="Q476" s="79"/>
      <c r="R476" s="79"/>
      <c r="S476" s="53"/>
    </row>
    <row r="477" spans="1:19" s="64" customFormat="1">
      <c r="A477" s="53"/>
      <c r="B477" s="53"/>
      <c r="C477" s="79"/>
      <c r="D477" s="79"/>
      <c r="E477" s="53"/>
      <c r="F477" s="53"/>
      <c r="L477" s="53"/>
      <c r="M477" s="53"/>
      <c r="N477" s="66"/>
      <c r="O477" s="53"/>
      <c r="P477" s="53"/>
      <c r="Q477" s="53"/>
      <c r="R477" s="53"/>
      <c r="S477" s="53"/>
    </row>
    <row r="478" spans="1:19" s="64" customFormat="1">
      <c r="A478" s="53"/>
      <c r="B478" s="53"/>
      <c r="C478" s="79"/>
      <c r="D478" s="79"/>
      <c r="E478" s="53"/>
      <c r="F478" s="53"/>
      <c r="L478" s="53"/>
      <c r="M478" s="53"/>
      <c r="N478" s="66"/>
      <c r="O478" s="53"/>
      <c r="P478" s="53"/>
      <c r="Q478" s="53"/>
      <c r="R478" s="53"/>
      <c r="S478" s="53"/>
    </row>
    <row r="479" spans="1:19" s="64" customFormat="1">
      <c r="A479" s="53"/>
      <c r="B479" s="53"/>
      <c r="C479" s="79"/>
      <c r="D479" s="79"/>
      <c r="E479" s="53"/>
      <c r="F479" s="53"/>
      <c r="Q479" s="53"/>
      <c r="R479" s="53"/>
      <c r="S479" s="53"/>
    </row>
    <row r="480" spans="1:19" s="64" customFormat="1">
      <c r="A480" s="53"/>
      <c r="B480" s="53"/>
      <c r="C480" s="79"/>
      <c r="D480" s="79"/>
      <c r="E480" s="53"/>
      <c r="F480" s="53"/>
      <c r="Q480" s="53"/>
      <c r="R480" s="53"/>
      <c r="S480" s="53"/>
    </row>
    <row r="481" spans="1:19" s="64" customFormat="1">
      <c r="A481" s="53"/>
      <c r="B481" s="53"/>
      <c r="C481" s="79"/>
      <c r="D481" s="79"/>
      <c r="E481" s="102"/>
      <c r="F481" s="53"/>
      <c r="Q481" s="53"/>
      <c r="R481" s="53"/>
      <c r="S481" s="53"/>
    </row>
    <row r="482" spans="1:19" s="64" customFormat="1">
      <c r="A482" s="53"/>
      <c r="B482" s="53"/>
      <c r="C482" s="79"/>
      <c r="D482" s="79"/>
      <c r="E482" s="53"/>
      <c r="F482" s="53"/>
      <c r="Q482" s="53"/>
      <c r="R482" s="53"/>
      <c r="S482" s="53"/>
    </row>
    <row r="483" spans="1:19" s="64" customFormat="1">
      <c r="A483" s="53"/>
      <c r="B483" s="53"/>
      <c r="C483" s="79"/>
      <c r="D483" s="79"/>
      <c r="E483" s="53"/>
      <c r="F483" s="53"/>
      <c r="Q483" s="53"/>
      <c r="R483" s="53"/>
      <c r="S483" s="53"/>
    </row>
    <row r="484" spans="1:19" s="64" customFormat="1">
      <c r="A484" s="53"/>
      <c r="B484" s="53"/>
      <c r="C484" s="79"/>
      <c r="D484" s="79"/>
      <c r="E484" s="53"/>
      <c r="F484" s="53"/>
    </row>
    <row r="485" spans="1:19" s="64" customFormat="1">
      <c r="A485" s="53"/>
      <c r="B485" s="53"/>
      <c r="C485" s="79"/>
      <c r="D485" s="79"/>
      <c r="E485" s="53"/>
      <c r="F485" s="53"/>
    </row>
    <row r="486" spans="1:19" s="64" customFormat="1">
      <c r="A486" s="103"/>
      <c r="B486" s="103"/>
      <c r="C486" s="104"/>
      <c r="D486" s="104"/>
      <c r="E486" s="53"/>
      <c r="F486" s="53"/>
    </row>
    <row r="487" spans="1:19" s="64" customFormat="1">
      <c r="A487" s="103"/>
      <c r="B487" s="105"/>
      <c r="C487" s="104"/>
      <c r="D487" s="104"/>
      <c r="E487" s="53"/>
      <c r="F487" s="53"/>
    </row>
    <row r="488" spans="1:19" s="64" customFormat="1">
      <c r="A488" s="103"/>
      <c r="B488" s="103"/>
      <c r="C488" s="104"/>
      <c r="D488" s="104"/>
      <c r="E488" s="53"/>
      <c r="F488" s="53"/>
    </row>
    <row r="489" spans="1:19" s="64" customFormat="1">
      <c r="A489" s="103"/>
      <c r="B489" s="105"/>
      <c r="C489" s="104"/>
      <c r="D489" s="104"/>
      <c r="E489" s="53"/>
      <c r="G489" s="53"/>
      <c r="H489" s="53"/>
      <c r="I489" s="53"/>
      <c r="J489" s="53"/>
      <c r="K489" s="53"/>
      <c r="L489" s="53"/>
    </row>
    <row r="490" spans="1:19" s="64" customFormat="1">
      <c r="A490" s="53"/>
      <c r="B490" s="53"/>
      <c r="C490" s="79"/>
      <c r="D490" s="79"/>
      <c r="E490" s="53"/>
      <c r="G490" s="53"/>
      <c r="H490" s="53"/>
      <c r="I490" s="53"/>
      <c r="J490" s="106"/>
      <c r="K490" s="106"/>
      <c r="L490" s="106"/>
    </row>
    <row r="491" spans="1:19" s="64" customFormat="1">
      <c r="A491" s="3"/>
      <c r="B491" s="102"/>
      <c r="C491" s="3"/>
      <c r="D491" s="102"/>
      <c r="E491" s="107"/>
      <c r="G491" s="53"/>
      <c r="H491" s="108"/>
      <c r="I491" s="53"/>
      <c r="J491" s="106"/>
      <c r="K491" s="106"/>
      <c r="L491" s="106"/>
    </row>
    <row r="492" spans="1:19" s="64" customFormat="1">
      <c r="A492" s="53"/>
      <c r="B492" s="53"/>
      <c r="C492" s="53"/>
      <c r="D492" s="53"/>
      <c r="E492" s="107"/>
      <c r="G492" s="53"/>
      <c r="H492" s="53"/>
      <c r="I492" s="53"/>
      <c r="J492" s="79"/>
      <c r="K492" s="79"/>
      <c r="L492" s="53"/>
    </row>
    <row r="493" spans="1:19" s="64" customFormat="1">
      <c r="A493" s="53"/>
      <c r="B493" s="53"/>
      <c r="C493" s="53"/>
      <c r="D493" s="106"/>
      <c r="E493" s="106"/>
      <c r="G493" s="53"/>
      <c r="H493" s="93"/>
      <c r="I493" s="79"/>
      <c r="J493" s="79"/>
      <c r="K493" s="79"/>
      <c r="L493" s="106"/>
    </row>
    <row r="494" spans="1:19" s="64" customFormat="1">
      <c r="A494" s="53"/>
      <c r="B494" s="53"/>
      <c r="C494" s="53"/>
      <c r="D494" s="53"/>
      <c r="E494" s="53"/>
      <c r="G494" s="53"/>
      <c r="H494" s="93"/>
      <c r="I494" s="79"/>
      <c r="J494" s="79"/>
      <c r="K494" s="79"/>
      <c r="L494" s="53"/>
    </row>
    <row r="495" spans="1:19" s="64" customFormat="1">
      <c r="A495" s="53"/>
      <c r="B495" s="53"/>
      <c r="C495" s="53"/>
      <c r="D495" s="106"/>
      <c r="E495" s="106"/>
      <c r="G495" s="53"/>
      <c r="H495" s="93"/>
      <c r="I495" s="79"/>
      <c r="J495" s="79"/>
      <c r="K495" s="79"/>
      <c r="L495" s="106"/>
    </row>
    <row r="496" spans="1:19" s="64" customFormat="1">
      <c r="A496" s="53"/>
      <c r="B496" s="53"/>
      <c r="C496" s="53"/>
      <c r="D496" s="109"/>
      <c r="E496" s="109"/>
      <c r="F496" s="53"/>
      <c r="G496" s="103"/>
      <c r="H496" s="103"/>
      <c r="I496" s="104"/>
      <c r="J496" s="104"/>
      <c r="K496" s="79"/>
      <c r="L496" s="106"/>
    </row>
    <row r="497" spans="1:11" s="64" customFormat="1">
      <c r="A497" s="53"/>
      <c r="B497" s="53"/>
      <c r="C497" s="79"/>
      <c r="D497" s="79"/>
      <c r="E497" s="79"/>
      <c r="F497" s="53"/>
      <c r="G497" s="53"/>
      <c r="H497" s="53"/>
    </row>
    <row r="498" spans="1:11" s="64" customFormat="1">
      <c r="A498" s="53"/>
      <c r="B498" s="53"/>
      <c r="C498" s="53"/>
      <c r="D498" s="79"/>
      <c r="E498" s="53"/>
      <c r="F498" s="53"/>
      <c r="G498" s="110"/>
      <c r="H498" s="53"/>
      <c r="I498" s="53"/>
      <c r="J498" s="79"/>
      <c r="K498" s="79"/>
    </row>
    <row r="499" spans="1:11" s="64" customFormat="1">
      <c r="A499" s="53"/>
      <c r="B499" s="93"/>
      <c r="C499" s="79"/>
      <c r="D499" s="79"/>
      <c r="E499" s="53"/>
      <c r="F499" s="53"/>
      <c r="G499" s="102"/>
      <c r="H499" s="93"/>
      <c r="I499" s="79"/>
      <c r="J499" s="79"/>
      <c r="K499" s="79"/>
    </row>
    <row r="500" spans="1:11" s="64" customFormat="1">
      <c r="A500" s="53"/>
      <c r="B500" s="93"/>
      <c r="C500" s="79"/>
      <c r="D500" s="79"/>
      <c r="E500" s="53"/>
      <c r="F500" s="53"/>
      <c r="G500" s="53"/>
      <c r="H500" s="93"/>
      <c r="I500" s="79"/>
      <c r="J500" s="79"/>
      <c r="K500" s="79"/>
    </row>
    <row r="501" spans="1:11" s="64" customFormat="1">
      <c r="A501" s="53"/>
      <c r="B501" s="93"/>
      <c r="C501" s="79"/>
      <c r="D501" s="79"/>
      <c r="E501" s="53"/>
      <c r="F501" s="53"/>
      <c r="G501" s="53"/>
      <c r="H501" s="93"/>
      <c r="I501" s="79"/>
      <c r="J501" s="79"/>
      <c r="K501" s="79"/>
    </row>
    <row r="502" spans="1:11" s="64" customFormat="1">
      <c r="A502" s="53"/>
      <c r="B502" s="93"/>
      <c r="C502" s="79"/>
      <c r="D502" s="79"/>
      <c r="E502" s="111"/>
      <c r="F502" s="53"/>
      <c r="G502" s="53"/>
      <c r="H502" s="93"/>
      <c r="I502" s="79"/>
      <c r="J502" s="79"/>
      <c r="K502" s="79"/>
    </row>
    <row r="503" spans="1:11" s="64" customFormat="1">
      <c r="A503" s="53"/>
      <c r="B503" s="93"/>
      <c r="C503" s="79"/>
      <c r="D503" s="79"/>
      <c r="E503" s="111"/>
      <c r="F503" s="53"/>
      <c r="G503" s="53"/>
      <c r="H503" s="93"/>
      <c r="I503" s="79"/>
      <c r="J503" s="79"/>
      <c r="K503" s="79"/>
    </row>
    <row r="504" spans="1:11" s="64" customFormat="1">
      <c r="A504" s="53"/>
      <c r="B504" s="93"/>
      <c r="C504" s="79"/>
      <c r="D504" s="79"/>
      <c r="E504" s="53"/>
      <c r="F504" s="53"/>
      <c r="G504" s="53"/>
      <c r="H504" s="93"/>
      <c r="I504" s="79"/>
      <c r="J504" s="79"/>
      <c r="K504" s="79"/>
    </row>
    <row r="505" spans="1:11" s="64" customFormat="1">
      <c r="A505" s="53"/>
      <c r="B505" s="93"/>
      <c r="C505" s="79"/>
      <c r="D505" s="79"/>
      <c r="E505" s="53"/>
      <c r="F505" s="53"/>
      <c r="G505" s="53"/>
      <c r="H505" s="93"/>
      <c r="I505" s="79"/>
      <c r="J505" s="79"/>
      <c r="K505" s="79"/>
    </row>
    <row r="506" spans="1:11" s="64" customFormat="1">
      <c r="A506" s="103"/>
      <c r="B506" s="103"/>
      <c r="C506" s="104"/>
      <c r="D506" s="104"/>
      <c r="E506" s="53"/>
      <c r="F506" s="53"/>
      <c r="G506" s="103"/>
      <c r="H506" s="103"/>
      <c r="I506" s="104"/>
      <c r="J506" s="104"/>
      <c r="K506" s="104"/>
    </row>
    <row r="507" spans="1:11" s="64" customFormat="1">
      <c r="A507" s="53"/>
      <c r="B507" s="53"/>
      <c r="C507" s="79"/>
      <c r="D507" s="79"/>
      <c r="E507" s="53"/>
      <c r="F507" s="53"/>
    </row>
    <row r="508" spans="1:11" s="64" customFormat="1">
      <c r="A508" s="53"/>
      <c r="B508" s="53"/>
      <c r="C508" s="79"/>
      <c r="D508" s="104"/>
      <c r="E508" s="53"/>
      <c r="F508" s="53"/>
    </row>
    <row r="509" spans="1:11" s="64" customFormat="1">
      <c r="A509" s="53"/>
      <c r="B509" s="53"/>
      <c r="C509" s="79"/>
      <c r="D509" s="79"/>
      <c r="E509" s="53"/>
      <c r="F509" s="53"/>
    </row>
    <row r="510" spans="1:11" s="64" customFormat="1">
      <c r="A510" s="53"/>
      <c r="B510" s="53"/>
      <c r="C510" s="79"/>
      <c r="D510" s="79"/>
      <c r="E510" s="53"/>
      <c r="F510" s="53"/>
    </row>
    <row r="511" spans="1:11" s="64" customFormat="1">
      <c r="A511" s="53"/>
      <c r="B511" s="112"/>
      <c r="C511" s="79"/>
      <c r="D511" s="79"/>
      <c r="E511" s="53"/>
      <c r="F511" s="53"/>
    </row>
    <row r="512" spans="1:11" s="64" customFormat="1">
      <c r="A512" s="53"/>
      <c r="B512" s="112"/>
      <c r="C512" s="79"/>
      <c r="D512" s="79"/>
      <c r="E512" s="53"/>
      <c r="F512" s="53"/>
    </row>
    <row r="513" spans="1:16" s="64" customFormat="1">
      <c r="A513" s="53"/>
      <c r="B513" s="113"/>
      <c r="C513" s="79"/>
      <c r="D513" s="79"/>
      <c r="E513" s="53"/>
      <c r="F513" s="53"/>
    </row>
    <row r="514" spans="1:16" s="64" customFormat="1">
      <c r="A514" s="53"/>
      <c r="B514" s="113"/>
      <c r="C514" s="79"/>
      <c r="D514" s="79"/>
      <c r="E514" s="53"/>
      <c r="F514" s="53"/>
    </row>
    <row r="515" spans="1:16" s="64" customFormat="1">
      <c r="A515" s="53"/>
      <c r="B515" s="113"/>
      <c r="C515" s="79"/>
      <c r="D515" s="79"/>
      <c r="E515" s="53"/>
      <c r="F515" s="53"/>
    </row>
    <row r="516" spans="1:16" s="64" customFormat="1">
      <c r="A516" s="53"/>
      <c r="B516" s="113"/>
      <c r="C516" s="79"/>
      <c r="D516" s="79"/>
      <c r="E516" s="53"/>
      <c r="F516" s="53"/>
    </row>
    <row r="517" spans="1:16" s="64" customFormat="1">
      <c r="A517" s="53"/>
      <c r="B517" s="112"/>
      <c r="C517" s="79"/>
      <c r="D517" s="79"/>
      <c r="E517" s="53"/>
      <c r="F517" s="53"/>
    </row>
    <row r="518" spans="1:16" s="64" customFormat="1">
      <c r="A518" s="53"/>
      <c r="B518" s="112"/>
      <c r="C518" s="79"/>
      <c r="D518" s="79"/>
      <c r="E518" s="53"/>
      <c r="F518" s="53"/>
    </row>
    <row r="519" spans="1:16" s="64" customFormat="1">
      <c r="A519" s="53"/>
      <c r="B519" s="112"/>
      <c r="C519" s="79"/>
      <c r="D519" s="66"/>
      <c r="E519" s="53"/>
      <c r="F519" s="53"/>
      <c r="N519" s="53"/>
    </row>
    <row r="520" spans="1:16" s="64" customFormat="1">
      <c r="A520" s="53"/>
      <c r="B520" s="113"/>
      <c r="C520" s="79"/>
      <c r="D520" s="79"/>
      <c r="E520" s="53"/>
      <c r="F520" s="53"/>
      <c r="G520" s="53"/>
      <c r="I520" s="114"/>
      <c r="N520" s="53"/>
    </row>
    <row r="521" spans="1:16" s="64" customFormat="1">
      <c r="A521" s="53"/>
      <c r="B521" s="53"/>
      <c r="C521" s="79"/>
      <c r="D521" s="79"/>
      <c r="E521" s="79"/>
      <c r="F521" s="79"/>
      <c r="N521" s="53"/>
    </row>
    <row r="522" spans="1:16" s="64" customFormat="1">
      <c r="A522" s="53"/>
      <c r="B522" s="53"/>
      <c r="C522" s="79"/>
      <c r="D522" s="79"/>
      <c r="F522" s="108"/>
      <c r="N522" s="53"/>
    </row>
    <row r="523" spans="1:16" s="64" customFormat="1">
      <c r="D523" s="79"/>
    </row>
    <row r="524" spans="1:16" s="64" customFormat="1"/>
    <row r="525" spans="1:16" s="64" customFormat="1"/>
    <row r="526" spans="1:16" s="64" customFormat="1">
      <c r="A526" s="53"/>
      <c r="B526" s="53"/>
      <c r="C526" s="53"/>
      <c r="D526" s="53"/>
      <c r="L526" s="53"/>
      <c r="M526" s="53"/>
      <c r="N526" s="53"/>
      <c r="O526" s="53"/>
      <c r="P526" s="53"/>
    </row>
    <row r="527" spans="1:16" s="64" customFormat="1">
      <c r="A527" s="53"/>
      <c r="B527" s="53"/>
      <c r="C527" s="53"/>
      <c r="D527" s="53"/>
      <c r="E527" s="53"/>
      <c r="F527" s="53"/>
      <c r="L527" s="53"/>
      <c r="M527" s="53"/>
      <c r="N527" s="53"/>
      <c r="O527" s="53"/>
      <c r="P527" s="79"/>
    </row>
    <row r="528" spans="1:16" s="64" customFormat="1">
      <c r="A528" s="53"/>
      <c r="B528" s="101"/>
      <c r="C528" s="79"/>
      <c r="D528" s="79"/>
      <c r="E528" s="102"/>
      <c r="F528" s="53"/>
      <c r="L528" s="53"/>
      <c r="M528" s="53"/>
      <c r="N528" s="79"/>
      <c r="O528" s="79"/>
      <c r="P528" s="79"/>
    </row>
    <row r="529" spans="1:19" s="64" customFormat="1">
      <c r="A529" s="53"/>
      <c r="B529" s="53"/>
      <c r="C529" s="79"/>
      <c r="D529" s="79"/>
      <c r="E529" s="53"/>
      <c r="F529" s="53"/>
      <c r="L529" s="53"/>
      <c r="M529" s="53"/>
      <c r="N529" s="79"/>
      <c r="O529" s="102"/>
      <c r="P529" s="79"/>
    </row>
    <row r="530" spans="1:19" s="64" customFormat="1">
      <c r="A530" s="53"/>
      <c r="B530" s="53"/>
      <c r="C530" s="79"/>
      <c r="D530" s="79"/>
      <c r="E530" s="53"/>
      <c r="F530" s="53"/>
      <c r="L530" s="53"/>
      <c r="M530" s="53"/>
      <c r="N530" s="79"/>
      <c r="O530" s="102"/>
      <c r="P530" s="79"/>
    </row>
    <row r="531" spans="1:19" s="64" customFormat="1">
      <c r="A531" s="53"/>
      <c r="B531" s="53"/>
      <c r="C531" s="79"/>
      <c r="D531" s="79"/>
      <c r="E531" s="53"/>
      <c r="F531" s="53"/>
      <c r="L531" s="53"/>
      <c r="M531" s="79"/>
      <c r="N531" s="66"/>
      <c r="O531" s="53"/>
      <c r="P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L532" s="53"/>
      <c r="M532" s="53"/>
      <c r="N532" s="66"/>
      <c r="O532" s="53"/>
      <c r="P532" s="53"/>
      <c r="Q532" s="79"/>
      <c r="R532" s="79"/>
      <c r="S532" s="53"/>
    </row>
    <row r="533" spans="1:19" s="64" customFormat="1">
      <c r="A533" s="53"/>
      <c r="B533" s="53"/>
      <c r="C533" s="79"/>
      <c r="D533" s="79"/>
      <c r="E533" s="53"/>
      <c r="F533" s="53"/>
      <c r="L533" s="53"/>
      <c r="M533" s="53"/>
      <c r="N533" s="66"/>
      <c r="O533" s="53"/>
      <c r="P533" s="53"/>
      <c r="Q533" s="79"/>
      <c r="R533" s="79"/>
      <c r="S533" s="53"/>
    </row>
    <row r="534" spans="1:19" s="64" customFormat="1">
      <c r="A534" s="53"/>
      <c r="B534" s="53"/>
      <c r="C534" s="79"/>
      <c r="D534" s="79"/>
      <c r="E534" s="53"/>
      <c r="F534" s="53"/>
      <c r="L534" s="53"/>
      <c r="M534" s="53"/>
      <c r="N534" s="66"/>
      <c r="O534" s="53"/>
      <c r="P534" s="53"/>
      <c r="Q534" s="79"/>
      <c r="R534" s="79"/>
      <c r="S534" s="53"/>
    </row>
    <row r="535" spans="1:19" s="64" customFormat="1">
      <c r="A535" s="53"/>
      <c r="B535" s="53"/>
      <c r="C535" s="79"/>
      <c r="D535" s="79"/>
      <c r="E535" s="53"/>
      <c r="F535" s="53"/>
      <c r="L535" s="53"/>
      <c r="M535" s="53"/>
      <c r="N535" s="66"/>
      <c r="O535" s="53"/>
      <c r="P535" s="53"/>
      <c r="Q535" s="79"/>
      <c r="R535" s="79"/>
      <c r="S535" s="53"/>
    </row>
    <row r="536" spans="1:19" s="64" customFormat="1">
      <c r="A536" s="53"/>
      <c r="B536" s="53"/>
      <c r="C536" s="79"/>
      <c r="D536" s="79"/>
      <c r="E536" s="53"/>
      <c r="F536" s="53"/>
      <c r="L536" s="53"/>
      <c r="M536" s="53"/>
      <c r="N536" s="66"/>
      <c r="O536" s="53"/>
      <c r="P536" s="53"/>
      <c r="Q536" s="53"/>
      <c r="R536" s="53"/>
      <c r="S536" s="53"/>
    </row>
    <row r="537" spans="1:19" s="64" customFormat="1">
      <c r="A537" s="53"/>
      <c r="B537" s="53"/>
      <c r="C537" s="79"/>
      <c r="D537" s="79"/>
      <c r="E537" s="53"/>
      <c r="F537" s="53"/>
      <c r="L537" s="53"/>
      <c r="M537" s="53"/>
      <c r="N537" s="66"/>
      <c r="O537" s="53"/>
      <c r="P537" s="53"/>
      <c r="Q537" s="53"/>
      <c r="R537" s="53"/>
      <c r="S537" s="53"/>
    </row>
    <row r="538" spans="1:19" s="64" customFormat="1">
      <c r="A538" s="53"/>
      <c r="B538" s="53"/>
      <c r="C538" s="79"/>
      <c r="D538" s="79"/>
      <c r="E538" s="53"/>
      <c r="F538" s="53"/>
      <c r="Q538" s="53"/>
      <c r="R538" s="53"/>
      <c r="S538" s="53"/>
    </row>
    <row r="539" spans="1:19" s="64" customFormat="1">
      <c r="A539" s="53"/>
      <c r="B539" s="53"/>
      <c r="C539" s="79"/>
      <c r="D539" s="79"/>
      <c r="E539" s="53"/>
      <c r="F539" s="53"/>
      <c r="Q539" s="53"/>
      <c r="R539" s="53"/>
      <c r="S539" s="53"/>
    </row>
    <row r="540" spans="1:19" s="64" customFormat="1">
      <c r="A540" s="53"/>
      <c r="B540" s="53"/>
      <c r="C540" s="79"/>
      <c r="D540" s="79"/>
      <c r="E540" s="102"/>
      <c r="F540" s="53"/>
      <c r="Q540" s="53"/>
      <c r="R540" s="53"/>
      <c r="S540" s="53"/>
    </row>
    <row r="541" spans="1:19" s="64" customFormat="1">
      <c r="A541" s="53"/>
      <c r="B541" s="53"/>
      <c r="C541" s="79"/>
      <c r="D541" s="79"/>
      <c r="E541" s="53"/>
      <c r="F541" s="53"/>
      <c r="Q541" s="53"/>
      <c r="R541" s="53"/>
      <c r="S541" s="53"/>
    </row>
    <row r="542" spans="1:19" s="64" customFormat="1">
      <c r="A542" s="53"/>
      <c r="B542" s="53"/>
      <c r="C542" s="79"/>
      <c r="D542" s="79"/>
      <c r="E542" s="53"/>
      <c r="F542" s="53"/>
      <c r="Q542" s="53"/>
      <c r="R542" s="53"/>
      <c r="S542" s="53"/>
    </row>
    <row r="543" spans="1:19" s="64" customFormat="1">
      <c r="A543" s="53"/>
      <c r="B543" s="53"/>
      <c r="C543" s="79"/>
      <c r="D543" s="79"/>
      <c r="E543" s="53"/>
      <c r="F543" s="53"/>
    </row>
    <row r="544" spans="1:19" s="64" customFormat="1">
      <c r="A544" s="53"/>
      <c r="B544" s="53"/>
      <c r="C544" s="79"/>
      <c r="D544" s="79"/>
      <c r="E544" s="53"/>
      <c r="F544" s="53"/>
    </row>
    <row r="545" spans="1:12" s="64" customFormat="1">
      <c r="A545" s="103"/>
      <c r="B545" s="103"/>
      <c r="C545" s="104"/>
      <c r="D545" s="104"/>
      <c r="E545" s="53"/>
      <c r="F545" s="53"/>
    </row>
    <row r="546" spans="1:12" s="64" customFormat="1">
      <c r="A546" s="103"/>
      <c r="B546" s="105"/>
      <c r="C546" s="104"/>
      <c r="D546" s="104"/>
      <c r="E546" s="53"/>
      <c r="F546" s="53"/>
    </row>
    <row r="547" spans="1:12" s="64" customFormat="1">
      <c r="A547" s="103"/>
      <c r="B547" s="103"/>
      <c r="C547" s="104"/>
      <c r="D547" s="104"/>
      <c r="E547" s="53"/>
      <c r="F547" s="53"/>
    </row>
    <row r="548" spans="1:12" s="64" customFormat="1">
      <c r="A548" s="103"/>
      <c r="B548" s="105"/>
      <c r="C548" s="104"/>
      <c r="D548" s="104"/>
      <c r="E548" s="53"/>
      <c r="G548" s="53"/>
      <c r="H548" s="53"/>
      <c r="I548" s="53"/>
      <c r="J548" s="53"/>
      <c r="K548" s="53"/>
      <c r="L548" s="53"/>
    </row>
    <row r="549" spans="1:12" s="64" customFormat="1">
      <c r="A549" s="53"/>
      <c r="B549" s="53"/>
      <c r="C549" s="79"/>
      <c r="D549" s="79"/>
      <c r="E549" s="53"/>
      <c r="G549" s="53"/>
      <c r="H549" s="53"/>
      <c r="I549" s="53"/>
      <c r="J549" s="106"/>
      <c r="K549" s="106"/>
      <c r="L549" s="106"/>
    </row>
    <row r="550" spans="1:12" s="64" customFormat="1">
      <c r="A550" s="3"/>
      <c r="B550" s="102"/>
      <c r="C550" s="3"/>
      <c r="D550" s="102"/>
      <c r="E550" s="107"/>
      <c r="G550" s="53"/>
      <c r="H550" s="108"/>
      <c r="I550" s="53"/>
      <c r="J550" s="106"/>
      <c r="K550" s="106"/>
      <c r="L550" s="106"/>
    </row>
    <row r="551" spans="1:12" s="64" customFormat="1">
      <c r="A551" s="53"/>
      <c r="B551" s="53"/>
      <c r="C551" s="53"/>
      <c r="D551" s="53"/>
      <c r="E551" s="107"/>
      <c r="G551" s="53"/>
      <c r="H551" s="53"/>
      <c r="I551" s="53"/>
      <c r="J551" s="79"/>
      <c r="K551" s="79"/>
      <c r="L551" s="53"/>
    </row>
    <row r="552" spans="1:12" s="64" customFormat="1">
      <c r="A552" s="53"/>
      <c r="B552" s="53"/>
      <c r="C552" s="53"/>
      <c r="D552" s="106"/>
      <c r="E552" s="106"/>
      <c r="G552" s="53"/>
      <c r="H552" s="93"/>
      <c r="I552" s="79"/>
      <c r="J552" s="79"/>
      <c r="K552" s="79"/>
      <c r="L552" s="106"/>
    </row>
    <row r="553" spans="1:12" s="64" customFormat="1">
      <c r="A553" s="53"/>
      <c r="B553" s="53"/>
      <c r="C553" s="53"/>
      <c r="D553" s="53"/>
      <c r="E553" s="53"/>
      <c r="G553" s="53"/>
      <c r="H553" s="93"/>
      <c r="I553" s="79"/>
      <c r="J553" s="79"/>
      <c r="K553" s="79"/>
      <c r="L553" s="53"/>
    </row>
    <row r="554" spans="1:12" s="64" customFormat="1">
      <c r="A554" s="53"/>
      <c r="B554" s="53"/>
      <c r="C554" s="53"/>
      <c r="D554" s="106"/>
      <c r="E554" s="106"/>
      <c r="G554" s="53"/>
      <c r="H554" s="93"/>
      <c r="I554" s="79"/>
      <c r="J554" s="79"/>
      <c r="K554" s="79"/>
      <c r="L554" s="106"/>
    </row>
    <row r="555" spans="1:12" s="64" customFormat="1">
      <c r="A555" s="53"/>
      <c r="B555" s="53"/>
      <c r="C555" s="53"/>
      <c r="D555" s="109"/>
      <c r="E555" s="109"/>
      <c r="F555" s="53"/>
      <c r="G555" s="103"/>
      <c r="H555" s="103"/>
      <c r="I555" s="104"/>
      <c r="J555" s="104"/>
      <c r="K555" s="79"/>
      <c r="L555" s="106"/>
    </row>
    <row r="556" spans="1:12" s="64" customFormat="1">
      <c r="A556" s="53"/>
      <c r="B556" s="53"/>
      <c r="C556" s="79"/>
      <c r="D556" s="79"/>
      <c r="E556" s="79"/>
      <c r="F556" s="53"/>
      <c r="G556" s="53"/>
      <c r="H556" s="53"/>
    </row>
    <row r="557" spans="1:12" s="64" customFormat="1">
      <c r="A557" s="53"/>
      <c r="B557" s="53"/>
      <c r="C557" s="53"/>
      <c r="D557" s="79"/>
      <c r="E557" s="53"/>
      <c r="F557" s="53"/>
      <c r="G557" s="110"/>
      <c r="H557" s="53"/>
      <c r="I557" s="53"/>
      <c r="J557" s="79"/>
      <c r="K557" s="79"/>
    </row>
    <row r="558" spans="1:12" s="64" customFormat="1">
      <c r="A558" s="53"/>
      <c r="B558" s="93"/>
      <c r="C558" s="79"/>
      <c r="D558" s="79"/>
      <c r="E558" s="53"/>
      <c r="F558" s="53"/>
      <c r="G558" s="102"/>
      <c r="H558" s="93"/>
      <c r="I558" s="79"/>
      <c r="J558" s="79"/>
      <c r="K558" s="79"/>
    </row>
    <row r="559" spans="1:12" s="64" customFormat="1">
      <c r="A559" s="53"/>
      <c r="B559" s="93"/>
      <c r="C559" s="79"/>
      <c r="D559" s="79"/>
      <c r="E559" s="53"/>
      <c r="F559" s="53"/>
      <c r="G559" s="53"/>
      <c r="H559" s="93"/>
      <c r="I559" s="79"/>
      <c r="J559" s="79"/>
      <c r="K559" s="79"/>
    </row>
    <row r="560" spans="1:12" s="64" customFormat="1">
      <c r="A560" s="53"/>
      <c r="B560" s="93"/>
      <c r="C560" s="79"/>
      <c r="D560" s="79"/>
      <c r="E560" s="53"/>
      <c r="F560" s="53"/>
      <c r="G560" s="53"/>
      <c r="H560" s="93"/>
      <c r="I560" s="79"/>
      <c r="J560" s="79"/>
      <c r="K560" s="79"/>
    </row>
    <row r="561" spans="1:11" s="64" customFormat="1">
      <c r="A561" s="53"/>
      <c r="B561" s="93"/>
      <c r="C561" s="79"/>
      <c r="D561" s="79"/>
      <c r="E561" s="111"/>
      <c r="F561" s="53"/>
      <c r="G561" s="53"/>
      <c r="H561" s="93"/>
      <c r="I561" s="79"/>
      <c r="J561" s="79"/>
      <c r="K561" s="79"/>
    </row>
    <row r="562" spans="1:11" s="64" customFormat="1">
      <c r="A562" s="53"/>
      <c r="B562" s="93"/>
      <c r="C562" s="79"/>
      <c r="D562" s="79"/>
      <c r="E562" s="111"/>
      <c r="F562" s="53"/>
      <c r="G562" s="53"/>
      <c r="H562" s="93"/>
      <c r="I562" s="79"/>
      <c r="J562" s="79"/>
      <c r="K562" s="79"/>
    </row>
    <row r="563" spans="1:11" s="64" customFormat="1">
      <c r="A563" s="53"/>
      <c r="B563" s="93"/>
      <c r="C563" s="79"/>
      <c r="D563" s="79"/>
      <c r="E563" s="53"/>
      <c r="F563" s="53"/>
      <c r="G563" s="53"/>
      <c r="H563" s="93"/>
      <c r="I563" s="79"/>
      <c r="J563" s="79"/>
      <c r="K563" s="79"/>
    </row>
    <row r="564" spans="1:11" s="64" customFormat="1">
      <c r="A564" s="53"/>
      <c r="B564" s="93"/>
      <c r="C564" s="79"/>
      <c r="D564" s="79"/>
      <c r="E564" s="53"/>
      <c r="F564" s="53"/>
      <c r="G564" s="53"/>
      <c r="H564" s="93"/>
      <c r="I564" s="79"/>
      <c r="J564" s="79"/>
      <c r="K564" s="79"/>
    </row>
    <row r="565" spans="1:11" s="64" customFormat="1">
      <c r="A565" s="103"/>
      <c r="B565" s="103"/>
      <c r="C565" s="104"/>
      <c r="D565" s="104"/>
      <c r="E565" s="53"/>
      <c r="F565" s="53"/>
      <c r="G565" s="103"/>
      <c r="H565" s="103"/>
      <c r="I565" s="104"/>
      <c r="J565" s="104"/>
      <c r="K565" s="104"/>
    </row>
    <row r="566" spans="1:11" s="64" customFormat="1">
      <c r="A566" s="53"/>
      <c r="B566" s="53"/>
      <c r="C566" s="79"/>
      <c r="D566" s="79"/>
      <c r="E566" s="53"/>
      <c r="F566" s="53"/>
    </row>
    <row r="567" spans="1:11" s="64" customFormat="1">
      <c r="A567" s="53"/>
      <c r="B567" s="53"/>
      <c r="C567" s="79"/>
      <c r="D567" s="104"/>
      <c r="E567" s="53"/>
      <c r="F567" s="53"/>
    </row>
    <row r="568" spans="1:11" s="64" customFormat="1">
      <c r="A568" s="53"/>
      <c r="B568" s="53"/>
      <c r="C568" s="79"/>
      <c r="D568" s="79"/>
      <c r="E568" s="53"/>
      <c r="F568" s="53"/>
    </row>
    <row r="569" spans="1:11" s="64" customFormat="1">
      <c r="A569" s="53"/>
      <c r="B569" s="53"/>
      <c r="C569" s="79"/>
      <c r="D569" s="79"/>
      <c r="E569" s="53"/>
      <c r="F569" s="53"/>
    </row>
    <row r="570" spans="1:11" s="64" customFormat="1">
      <c r="A570" s="53"/>
      <c r="B570" s="112"/>
      <c r="C570" s="79"/>
      <c r="D570" s="79"/>
      <c r="E570" s="53"/>
      <c r="F570" s="53"/>
    </row>
    <row r="571" spans="1:11" s="64" customFormat="1">
      <c r="A571" s="53"/>
      <c r="B571" s="112"/>
      <c r="C571" s="79"/>
      <c r="D571" s="79"/>
      <c r="E571" s="53"/>
      <c r="F571" s="53"/>
    </row>
    <row r="572" spans="1:11" s="64" customFormat="1">
      <c r="A572" s="53"/>
      <c r="B572" s="113"/>
      <c r="C572" s="79"/>
      <c r="D572" s="79"/>
      <c r="E572" s="53"/>
      <c r="F572" s="53"/>
    </row>
    <row r="573" spans="1:11" s="64" customFormat="1">
      <c r="A573" s="53"/>
      <c r="B573" s="113"/>
      <c r="C573" s="79"/>
      <c r="D573" s="79"/>
      <c r="E573" s="53"/>
      <c r="F573" s="53"/>
    </row>
    <row r="574" spans="1:11" s="64" customFormat="1">
      <c r="A574" s="53"/>
      <c r="B574" s="113"/>
      <c r="C574" s="79"/>
      <c r="D574" s="79"/>
      <c r="E574" s="53"/>
      <c r="F574" s="53"/>
    </row>
    <row r="575" spans="1:11" s="64" customFormat="1">
      <c r="A575" s="53"/>
      <c r="B575" s="113"/>
      <c r="C575" s="79"/>
      <c r="D575" s="79"/>
      <c r="E575" s="53"/>
      <c r="F575" s="53"/>
    </row>
    <row r="576" spans="1:11" s="64" customFormat="1">
      <c r="A576" s="53"/>
      <c r="B576" s="112"/>
      <c r="C576" s="79"/>
      <c r="D576" s="79"/>
      <c r="E576" s="53"/>
      <c r="F576" s="53"/>
    </row>
    <row r="577" spans="1:20" s="64" customFormat="1">
      <c r="A577" s="53"/>
      <c r="B577" s="112"/>
      <c r="C577" s="79"/>
      <c r="D577" s="79"/>
      <c r="E577" s="53"/>
      <c r="F577" s="53"/>
    </row>
    <row r="578" spans="1:20" s="64" customFormat="1">
      <c r="A578" s="53"/>
      <c r="B578" s="112"/>
      <c r="C578" s="79"/>
      <c r="D578" s="66"/>
      <c r="E578" s="53"/>
      <c r="F578" s="53"/>
      <c r="N578" s="53"/>
    </row>
    <row r="579" spans="1:20" s="64" customFormat="1">
      <c r="A579" s="53"/>
      <c r="B579" s="113"/>
      <c r="C579" s="79"/>
      <c r="D579" s="79"/>
      <c r="E579" s="53"/>
      <c r="F579" s="53"/>
      <c r="G579" s="53"/>
      <c r="I579" s="114"/>
      <c r="N579" s="53"/>
    </row>
    <row r="580" spans="1:20" s="64" customFormat="1">
      <c r="A580" s="53"/>
      <c r="B580" s="53"/>
      <c r="C580" s="79"/>
      <c r="D580" s="79"/>
      <c r="E580" s="79"/>
      <c r="F580" s="79"/>
      <c r="N580" s="53"/>
    </row>
    <row r="581" spans="1:20" s="64" customFormat="1">
      <c r="A581" s="53"/>
      <c r="B581" s="53"/>
      <c r="C581" s="79"/>
      <c r="D581" s="79"/>
      <c r="F581" s="108"/>
      <c r="N581" s="53"/>
    </row>
    <row r="582" spans="1:20" s="64" customFormat="1">
      <c r="D582" s="79"/>
    </row>
    <row r="583" spans="1:20" s="64" customFormat="1"/>
    <row r="584" spans="1:20" s="64" customFormat="1"/>
    <row r="585" spans="1:20" s="64" customFormat="1"/>
    <row r="586" spans="1:20" s="64" customFormat="1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</row>
    <row r="587" spans="1:20" s="64" customFormat="1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</row>
    <row r="588" spans="1:20" s="64" customFormat="1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</row>
    <row r="589" spans="1:20" s="64" customFormat="1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</row>
    <row r="590" spans="1:20">
      <c r="Q590" s="64"/>
      <c r="R590" s="64"/>
      <c r="S590" s="64"/>
      <c r="T590" s="64"/>
    </row>
  </sheetData>
  <sheetProtection sheet="1" formatCells="0" formatColumns="0" formatRows="0" insertColumns="0" insertRows="0" insertHyperlinks="0" deleteColumns="0" deleteRows="0" sort="0" autoFilter="0" pivotTables="0"/>
  <mergeCells count="2">
    <mergeCell ref="A92:N92"/>
    <mergeCell ref="Q36:R36"/>
  </mergeCells>
  <phoneticPr fontId="16" type="noConversion"/>
  <conditionalFormatting sqref="A78:B78 D78">
    <cfRule type="expression" dxfId="184" priority="2">
      <formula>$D$6="yes"</formula>
    </cfRule>
  </conditionalFormatting>
  <conditionalFormatting sqref="D5">
    <cfRule type="cellIs" dxfId="183" priority="4" operator="equal">
      <formula>"Yes"</formula>
    </cfRule>
  </conditionalFormatting>
  <conditionalFormatting sqref="D6">
    <cfRule type="containsText" dxfId="182" priority="77" operator="containsText" text="Yes">
      <formula>NOT(ISERROR(SEARCH("Yes",D6)))</formula>
    </cfRule>
  </conditionalFormatting>
  <conditionalFormatting sqref="E42">
    <cfRule type="containsText" dxfId="181" priority="5" operator="containsText" text="10 hour days">
      <formula>NOT(ISERROR(SEARCH("10 hour days",E42)))</formula>
    </cfRule>
    <cfRule type="containsText" dxfId="180" priority="6" operator="containsText" text="8 hour days">
      <formula>NOT(ISERROR(SEARCH("8 hour days",E42)))</formula>
    </cfRule>
  </conditionalFormatting>
  <conditionalFormatting sqref="E43">
    <cfRule type="cellIs" dxfId="179" priority="3" stopIfTrue="1" operator="equal">
      <formula>"PW"</formula>
    </cfRule>
  </conditionalFormatting>
  <conditionalFormatting sqref="F42">
    <cfRule type="cellIs" dxfId="178" priority="113" operator="greaterThan">
      <formula>0.25</formula>
    </cfRule>
    <cfRule type="cellIs" dxfId="177" priority="114" operator="lessThan">
      <formula>0.15</formula>
    </cfRule>
  </conditionalFormatting>
  <conditionalFormatting sqref="F86">
    <cfRule type="containsText" dxfId="176" priority="1" operator="containsText" text="owner">
      <formula>NOT(ISERROR(SEARCH("owner",F86)))</formula>
    </cfRule>
  </conditionalFormatting>
  <conditionalFormatting sqref="G38:H38">
    <cfRule type="cellIs" dxfId="175" priority="14" operator="notEqual">
      <formula>FALSE</formula>
    </cfRule>
  </conditionalFormatting>
  <hyperlinks>
    <hyperlink ref="A78" r:id="rId1" display="Kansas Remodel Tax" xr:uid="{E8AC4CF1-202A-9E45-85F8-E8D8AFA409A8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validation!$N$3:$N$4</xm:f>
          </x14:formula1>
          <xm:sqref>B4:B6 D5:D6</xm:sqref>
        </x14:dataValidation>
        <x14:dataValidation type="list" allowBlank="1" showInputMessage="1" showErrorMessage="1" xr:uid="{00000000-0002-0000-0000-000002000000}">
          <x14:formula1>
            <xm:f>validation!$B$3:$B$14</xm:f>
          </x14:formula1>
          <xm:sqref>G44:G47</xm:sqref>
        </x14:dataValidation>
        <x14:dataValidation type="list" allowBlank="1" showInputMessage="1" showErrorMessage="1" xr:uid="{0F12E3CC-CB06-DC4E-BB84-BE95A236CDBA}">
          <x14:formula1>
            <xm:f>validation!$N$7:$N$8</xm:f>
          </x14:formula1>
          <xm:sqref>E42</xm:sqref>
        </x14:dataValidation>
      </x14:dataValidations>
    </ext>
    <ext xmlns:mx="http://schemas.microsoft.com/office/mac/excel/2008/main" uri="{64002731-A6B0-56B0-2670-7721B7C09600}">
      <mx:PLV Mode="0" OnePage="0" WScale="68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6672-331B-584B-8801-79E195C1188B}">
  <dimension ref="A1:AP928"/>
  <sheetViews>
    <sheetView topLeftCell="A112" zoomScaleNormal="100" workbookViewId="0">
      <selection activeCell="A147" sqref="A147"/>
    </sheetView>
  </sheetViews>
  <sheetFormatPr defaultColWidth="11.19921875" defaultRowHeight="15.6"/>
  <cols>
    <col min="1" max="1" width="2.69921875" customWidth="1"/>
    <col min="2" max="2" width="19.796875" customWidth="1"/>
    <col min="3" max="3" width="10.796875" customWidth="1"/>
    <col min="4" max="5" width="11.796875" customWidth="1"/>
    <col min="7" max="7" width="19.296875" customWidth="1"/>
    <col min="8" max="8" width="10" customWidth="1"/>
    <col min="9" max="9" width="19.796875" customWidth="1"/>
    <col min="10" max="10" width="10.796875" customWidth="1"/>
    <col min="11" max="12" width="11.796875" customWidth="1"/>
    <col min="13" max="13" width="11.5" customWidth="1"/>
    <col min="14" max="14" width="19.296875" customWidth="1"/>
    <col min="16" max="16" width="19.796875" customWidth="1"/>
    <col min="17" max="17" width="10.796875" customWidth="1"/>
    <col min="18" max="19" width="11.796875" customWidth="1"/>
    <col min="20" max="20" width="11.296875" customWidth="1"/>
    <col min="21" max="21" width="19.69921875" customWidth="1"/>
    <col min="23" max="23" width="19.796875" customWidth="1"/>
    <col min="25" max="26" width="11.796875" customWidth="1"/>
    <col min="27" max="27" width="11.296875" customWidth="1"/>
    <col min="28" max="28" width="19.296875" customWidth="1"/>
    <col min="30" max="30" width="20.5" bestFit="1" customWidth="1"/>
    <col min="33" max="33" width="11.5" customWidth="1"/>
    <col min="34" max="34" width="11.19921875" customWidth="1"/>
    <col min="35" max="35" width="17.19921875" bestFit="1" customWidth="1"/>
    <col min="37" max="37" width="20.5" bestFit="1" customWidth="1"/>
    <col min="42" max="42" width="17.19921875" bestFit="1" customWidth="1"/>
  </cols>
  <sheetData>
    <row r="1" spans="1:19">
      <c r="A1" s="543"/>
    </row>
    <row r="2" spans="1:19">
      <c r="B2" s="1897" t="s">
        <v>248</v>
      </c>
      <c r="C2" s="1898"/>
      <c r="D2" s="1898"/>
      <c r="E2" s="1899"/>
      <c r="F2" s="262">
        <f>D47</f>
        <v>0.75160000000000005</v>
      </c>
      <c r="G2" s="263" t="s">
        <v>249</v>
      </c>
      <c r="I2" s="1897" t="s">
        <v>250</v>
      </c>
      <c r="J2" s="1898"/>
      <c r="K2" s="1898"/>
      <c r="L2" s="1899"/>
      <c r="M2" s="262">
        <f>K47</f>
        <v>1.5169999999999999</v>
      </c>
      <c r="N2" s="263" t="s">
        <v>249</v>
      </c>
      <c r="P2" s="23">
        <v>1000</v>
      </c>
      <c r="Q2" s="383">
        <f>M13</f>
        <v>0.27500000000000002</v>
      </c>
      <c r="R2" s="1511" t="s">
        <v>988</v>
      </c>
      <c r="S2" s="1512"/>
    </row>
    <row r="3" spans="1:19">
      <c r="B3" s="25" t="s">
        <v>14</v>
      </c>
      <c r="C3" s="90" t="s">
        <v>11</v>
      </c>
      <c r="D3" s="90" t="s">
        <v>1</v>
      </c>
      <c r="E3" s="91" t="s">
        <v>2</v>
      </c>
      <c r="F3" s="23"/>
      <c r="G3" s="89"/>
      <c r="H3" s="264"/>
      <c r="I3" s="25" t="s">
        <v>14</v>
      </c>
      <c r="J3" s="90" t="s">
        <v>11</v>
      </c>
      <c r="K3" s="90" t="s">
        <v>1</v>
      </c>
      <c r="L3" s="91" t="s">
        <v>2</v>
      </c>
      <c r="M3" s="23"/>
      <c r="N3" s="89"/>
      <c r="P3">
        <v>1250</v>
      </c>
      <c r="Q3" s="384">
        <f>((Q2-Q4)/2)+Q4</f>
        <v>0.27018750000000002</v>
      </c>
    </row>
    <row r="4" spans="1:19">
      <c r="B4" s="44"/>
      <c r="C4" s="265"/>
      <c r="D4" s="33"/>
      <c r="E4" s="34">
        <f t="shared" ref="E4:E5" si="0">C4*D4</f>
        <v>0</v>
      </c>
      <c r="F4" s="1"/>
      <c r="G4" s="1"/>
      <c r="H4" s="1"/>
      <c r="I4" s="44"/>
      <c r="J4" s="265"/>
      <c r="K4" s="33"/>
      <c r="L4" s="34">
        <f t="shared" ref="L4:L5" si="1">J4*K4</f>
        <v>0</v>
      </c>
      <c r="M4" s="1"/>
      <c r="N4" s="1"/>
      <c r="P4">
        <v>1500</v>
      </c>
      <c r="Q4" s="385">
        <f>((Q2-Q6)/2)+Q6</f>
        <v>0.26537500000000003</v>
      </c>
    </row>
    <row r="5" spans="1:19">
      <c r="B5" s="44"/>
      <c r="C5" s="266"/>
      <c r="D5" s="33"/>
      <c r="E5" s="34">
        <f t="shared" si="0"/>
        <v>0</v>
      </c>
      <c r="F5" s="1"/>
      <c r="G5" s="1"/>
      <c r="H5" s="1"/>
      <c r="I5" s="44"/>
      <c r="J5" s="266"/>
      <c r="K5" s="33"/>
      <c r="L5" s="34">
        <f t="shared" si="1"/>
        <v>0</v>
      </c>
      <c r="M5" s="1"/>
      <c r="N5" s="1"/>
      <c r="P5">
        <v>1750</v>
      </c>
      <c r="Q5" s="384">
        <f>((Q4-Q6)/2)+Q6</f>
        <v>0.26056250000000003</v>
      </c>
    </row>
    <row r="6" spans="1:19">
      <c r="B6" s="25" t="s">
        <v>12</v>
      </c>
      <c r="C6" s="267"/>
      <c r="D6" s="23"/>
      <c r="E6" s="29"/>
      <c r="F6" s="268">
        <v>5000</v>
      </c>
      <c r="G6" s="82" t="s">
        <v>27</v>
      </c>
      <c r="H6" s="1"/>
      <c r="I6" s="25" t="s">
        <v>12</v>
      </c>
      <c r="J6" s="267"/>
      <c r="K6" s="23"/>
      <c r="L6" s="29"/>
      <c r="M6" s="268">
        <v>1000</v>
      </c>
      <c r="N6" s="82" t="s">
        <v>27</v>
      </c>
      <c r="P6" s="24">
        <v>2000</v>
      </c>
      <c r="Q6" s="385">
        <f>((Q2-Q10)/2)+Q10</f>
        <v>0.25575000000000003</v>
      </c>
      <c r="R6" s="51">
        <f>MEDIAN(P2:P10)</f>
        <v>2000</v>
      </c>
    </row>
    <row r="7" spans="1:19">
      <c r="B7" s="47" t="s">
        <v>22</v>
      </c>
      <c r="C7" s="266">
        <f>F6</f>
        <v>5000</v>
      </c>
      <c r="D7" s="7">
        <v>0.18</v>
      </c>
      <c r="E7" s="9">
        <f>C7*D7</f>
        <v>900</v>
      </c>
      <c r="F7" s="1"/>
      <c r="G7" s="1"/>
      <c r="H7" s="1"/>
      <c r="I7" s="47" t="s">
        <v>22</v>
      </c>
      <c r="J7" s="266">
        <f>M6</f>
        <v>1000</v>
      </c>
      <c r="K7" s="7">
        <v>0.25</v>
      </c>
      <c r="L7" s="9">
        <f>J7*K7</f>
        <v>250</v>
      </c>
      <c r="M7" s="1"/>
      <c r="N7" s="1"/>
      <c r="P7" s="1">
        <v>2250</v>
      </c>
      <c r="Q7" s="384">
        <f>((Q6-Q8)/2)+Q8</f>
        <v>0.25093750000000004</v>
      </c>
    </row>
    <row r="8" spans="1:19">
      <c r="B8" s="47"/>
      <c r="C8" s="266"/>
      <c r="D8" s="7"/>
      <c r="E8" s="9">
        <f t="shared" ref="E8:E9" si="2">C8*D8</f>
        <v>0</v>
      </c>
      <c r="F8" s="1"/>
      <c r="G8" s="1"/>
      <c r="H8" s="1"/>
      <c r="I8" s="47"/>
      <c r="J8" s="266"/>
      <c r="K8" s="7"/>
      <c r="L8" s="9">
        <f t="shared" ref="L8:L9" si="3">J8*K8</f>
        <v>0</v>
      </c>
      <c r="M8" s="1"/>
      <c r="N8" s="1"/>
      <c r="P8">
        <v>2500</v>
      </c>
      <c r="Q8" s="385">
        <f>((Q6-Q10)/2)+Q10</f>
        <v>0.24612500000000004</v>
      </c>
    </row>
    <row r="9" spans="1:19">
      <c r="B9" s="48"/>
      <c r="C9" s="269"/>
      <c r="D9" s="26"/>
      <c r="E9" s="27">
        <f t="shared" si="2"/>
        <v>0</v>
      </c>
      <c r="F9" s="1"/>
      <c r="G9" s="1"/>
      <c r="H9" s="1"/>
      <c r="I9" s="48"/>
      <c r="J9" s="269"/>
      <c r="K9" s="26"/>
      <c r="L9" s="27">
        <f t="shared" si="3"/>
        <v>0</v>
      </c>
      <c r="M9" s="1"/>
      <c r="N9" s="1"/>
      <c r="P9">
        <v>2750</v>
      </c>
      <c r="Q9" s="384">
        <f>((Q8-Q10)/2)+Q10</f>
        <v>0.24131250000000004</v>
      </c>
    </row>
    <row r="10" spans="1:19">
      <c r="B10" s="17" t="s">
        <v>10</v>
      </c>
      <c r="C10" s="35"/>
      <c r="D10" s="18"/>
      <c r="E10" s="19">
        <f>ROUNDUP(SUM(E4:E9),0)</f>
        <v>900</v>
      </c>
      <c r="F10" s="1"/>
      <c r="G10" s="1"/>
      <c r="H10" s="1"/>
      <c r="I10" s="17" t="s">
        <v>10</v>
      </c>
      <c r="J10" s="35"/>
      <c r="K10" s="18"/>
      <c r="L10" s="19">
        <f>ROUNDUP(SUM(L4:L9),0)</f>
        <v>250</v>
      </c>
      <c r="M10" s="1"/>
      <c r="N10" s="1"/>
      <c r="P10" s="24">
        <v>3000</v>
      </c>
      <c r="Q10" s="385">
        <f>((Q2-Q18)/2)+Q18</f>
        <v>0.23650000000000002</v>
      </c>
      <c r="R10" s="51">
        <f>MEDIAN(P2:P18)</f>
        <v>3000</v>
      </c>
    </row>
    <row r="11" spans="1:19">
      <c r="B11" s="20" t="s">
        <v>251</v>
      </c>
      <c r="C11" s="270">
        <v>0</v>
      </c>
      <c r="D11" s="21"/>
      <c r="E11" s="22">
        <f>ROUNDUP(SUM(E7)*C11,0)</f>
        <v>0</v>
      </c>
      <c r="F11" s="1"/>
      <c r="G11" s="1773" t="s">
        <v>1177</v>
      </c>
      <c r="H11" s="1"/>
      <c r="I11" s="20" t="s">
        <v>251</v>
      </c>
      <c r="J11" s="270">
        <v>0</v>
      </c>
      <c r="K11" s="21"/>
      <c r="L11" s="22">
        <f>ROUNDUP(SUM(L7)*J11,0)</f>
        <v>0</v>
      </c>
      <c r="M11" s="1"/>
      <c r="N11" s="1"/>
      <c r="P11">
        <v>3250</v>
      </c>
      <c r="Q11" s="384">
        <f>((Q10-Q12)/2)+Q12</f>
        <v>0.23168749999999999</v>
      </c>
    </row>
    <row r="12" spans="1:19">
      <c r="B12" s="457" t="s">
        <v>427</v>
      </c>
      <c r="C12" s="455">
        <f>3%+7%</f>
        <v>0.1</v>
      </c>
      <c r="D12" s="41"/>
      <c r="E12" s="42">
        <f>ROUNDUP(E10*C12,0)</f>
        <v>90</v>
      </c>
      <c r="F12" s="456" t="s">
        <v>1176</v>
      </c>
      <c r="G12" s="389"/>
      <c r="I12" s="446" t="s">
        <v>427</v>
      </c>
      <c r="J12" s="40">
        <f>$C$12</f>
        <v>0.1</v>
      </c>
      <c r="K12" s="41"/>
      <c r="L12" s="42">
        <f>ROUNDUP(L10*J12,0)</f>
        <v>25</v>
      </c>
      <c r="M12" s="454" t="str">
        <f>$F$12</f>
        <v>+3% + 7% material esc.</v>
      </c>
      <c r="P12" s="1">
        <v>3500</v>
      </c>
      <c r="Q12" s="385">
        <f>((Q10-Q14)/2)+Q14</f>
        <v>0.22687499999999999</v>
      </c>
    </row>
    <row r="13" spans="1:19">
      <c r="B13" s="10" t="s">
        <v>3</v>
      </c>
      <c r="C13" s="36"/>
      <c r="D13" s="13"/>
      <c r="E13" s="13">
        <f>SUM(E10:E12)</f>
        <v>990</v>
      </c>
      <c r="F13" s="123">
        <f>E13/F6</f>
        <v>0.19800000000000001</v>
      </c>
      <c r="G13" s="124" t="s">
        <v>80</v>
      </c>
      <c r="H13" s="1"/>
      <c r="I13" s="10" t="s">
        <v>3</v>
      </c>
      <c r="J13" s="36"/>
      <c r="K13" s="13"/>
      <c r="L13" s="13">
        <f>SUM(L10:L12)</f>
        <v>275</v>
      </c>
      <c r="M13" s="123">
        <f>L13/M6</f>
        <v>0.27500000000000002</v>
      </c>
      <c r="N13" s="124" t="s">
        <v>80</v>
      </c>
      <c r="P13">
        <v>3750</v>
      </c>
      <c r="Q13" s="384">
        <f>((Q12-Q14)/2)+Q14</f>
        <v>0.2220625</v>
      </c>
    </row>
    <row r="14" spans="1:19">
      <c r="B14" s="1"/>
      <c r="C14" s="32"/>
      <c r="D14" s="7"/>
      <c r="E14" s="7"/>
      <c r="F14" s="1"/>
      <c r="I14" s="1"/>
      <c r="J14" s="32"/>
      <c r="K14" s="7"/>
      <c r="L14" s="7"/>
      <c r="M14" s="1"/>
      <c r="P14" s="24">
        <v>4000</v>
      </c>
      <c r="Q14" s="385">
        <f>((Q10-Q18)/2)+Q18</f>
        <v>0.21725</v>
      </c>
      <c r="R14" s="51">
        <f>MEDIAN(P10:P18)</f>
        <v>4000</v>
      </c>
    </row>
    <row r="15" spans="1:19">
      <c r="B15" s="75" t="s">
        <v>45</v>
      </c>
      <c r="C15" s="271">
        <f>F6</f>
        <v>5000</v>
      </c>
      <c r="D15" s="75" t="s">
        <v>46</v>
      </c>
      <c r="E15" s="272">
        <v>0</v>
      </c>
      <c r="F15" s="1"/>
      <c r="G15" s="273">
        <f>E15/C15</f>
        <v>0</v>
      </c>
      <c r="I15" s="75" t="s">
        <v>45</v>
      </c>
      <c r="J15" s="271">
        <f>M6</f>
        <v>1000</v>
      </c>
      <c r="K15" s="75" t="s">
        <v>46</v>
      </c>
      <c r="L15" s="272">
        <v>0</v>
      </c>
      <c r="M15" s="1"/>
      <c r="N15" s="273">
        <f>L15/J15</f>
        <v>0</v>
      </c>
      <c r="P15">
        <v>4250</v>
      </c>
      <c r="Q15" s="384">
        <f>((Q14-Q16)/2)+Q16</f>
        <v>0.2124375</v>
      </c>
    </row>
    <row r="16" spans="1:19">
      <c r="B16" s="85" t="s">
        <v>52</v>
      </c>
      <c r="C16" s="68" t="s">
        <v>42</v>
      </c>
      <c r="D16" s="68" t="s">
        <v>47</v>
      </c>
      <c r="E16" s="87" t="s">
        <v>51</v>
      </c>
      <c r="F16" s="76" t="s">
        <v>59</v>
      </c>
      <c r="G16" s="156" t="s">
        <v>86</v>
      </c>
      <c r="H16" s="274"/>
      <c r="I16" s="85" t="s">
        <v>52</v>
      </c>
      <c r="J16" s="68" t="s">
        <v>42</v>
      </c>
      <c r="K16" s="68" t="s">
        <v>47</v>
      </c>
      <c r="L16" s="87" t="s">
        <v>51</v>
      </c>
      <c r="M16" s="76" t="s">
        <v>59</v>
      </c>
      <c r="N16" s="156" t="s">
        <v>86</v>
      </c>
      <c r="P16">
        <v>4500</v>
      </c>
      <c r="Q16" s="385">
        <f>((Q14-Q18)/2)+Q18</f>
        <v>0.207625</v>
      </c>
    </row>
    <row r="17" spans="2:19">
      <c r="B17" s="69">
        <v>4</v>
      </c>
      <c r="C17" s="1">
        <v>1</v>
      </c>
      <c r="D17" s="562">
        <v>33.5</v>
      </c>
      <c r="E17" s="70">
        <f>B17*C17*D17*8</f>
        <v>1072</v>
      </c>
      <c r="F17" s="396" t="s">
        <v>380</v>
      </c>
      <c r="G17" s="157">
        <f>F6/(E17/D17)</f>
        <v>156.25</v>
      </c>
      <c r="H17" s="154"/>
      <c r="I17" s="69">
        <v>2</v>
      </c>
      <c r="J17" s="1">
        <v>1</v>
      </c>
      <c r="K17" s="523">
        <f>$D$17</f>
        <v>33.5</v>
      </c>
      <c r="L17" s="70">
        <f>I17*J17*K17*8</f>
        <v>536</v>
      </c>
      <c r="M17" s="76"/>
      <c r="N17" s="157">
        <f>M6/(L17/K17)</f>
        <v>62.5</v>
      </c>
      <c r="P17" s="1">
        <v>4750</v>
      </c>
      <c r="Q17" s="384">
        <f>((Q16-Q18)/2)+Q18</f>
        <v>0.20281250000000001</v>
      </c>
    </row>
    <row r="18" spans="2:19">
      <c r="B18" s="69"/>
      <c r="C18" s="1"/>
      <c r="D18" s="523">
        <f>D17</f>
        <v>33.5</v>
      </c>
      <c r="E18" s="70">
        <f>B18*C18*D18*8</f>
        <v>0</v>
      </c>
      <c r="F18" s="76"/>
      <c r="G18" s="275" t="e">
        <f>F8/(E18/D18)</f>
        <v>#DIV/0!</v>
      </c>
      <c r="H18" s="154"/>
      <c r="I18" s="69"/>
      <c r="J18" s="1"/>
      <c r="K18" s="523">
        <f>$D$17</f>
        <v>33.5</v>
      </c>
      <c r="L18" s="70">
        <f>I18*J18*K18*8</f>
        <v>0</v>
      </c>
      <c r="M18" s="76"/>
      <c r="N18" s="275" t="e">
        <f>M8/(L18/K18)</f>
        <v>#DIV/0!</v>
      </c>
      <c r="P18" s="24">
        <v>5000</v>
      </c>
      <c r="Q18" s="383">
        <f>F13</f>
        <v>0.19800000000000001</v>
      </c>
    </row>
    <row r="19" spans="2:19">
      <c r="B19" s="86" t="s">
        <v>53</v>
      </c>
      <c r="C19" s="67" t="s">
        <v>44</v>
      </c>
      <c r="D19" s="276" t="s">
        <v>43</v>
      </c>
      <c r="E19" s="71"/>
      <c r="F19" s="1"/>
      <c r="I19" s="86" t="s">
        <v>53</v>
      </c>
      <c r="J19" s="67" t="s">
        <v>44</v>
      </c>
      <c r="K19" s="276" t="s">
        <v>43</v>
      </c>
      <c r="L19" s="71"/>
      <c r="M19" s="1"/>
      <c r="P19" s="1513" t="s">
        <v>990</v>
      </c>
    </row>
    <row r="20" spans="2:19">
      <c r="B20" s="69">
        <v>0</v>
      </c>
      <c r="C20" s="1">
        <v>0</v>
      </c>
      <c r="D20" s="563">
        <v>33.5</v>
      </c>
      <c r="E20" s="70">
        <f>B20*C20*D20</f>
        <v>0</v>
      </c>
      <c r="F20" s="394" t="s">
        <v>381</v>
      </c>
      <c r="G20" s="395"/>
      <c r="I20" s="69">
        <v>0</v>
      </c>
      <c r="J20" s="1">
        <v>0</v>
      </c>
      <c r="K20" s="523">
        <f>$D$20</f>
        <v>33.5</v>
      </c>
      <c r="L20" s="70">
        <f>I20*J20*K20</f>
        <v>0</v>
      </c>
      <c r="M20" s="76"/>
      <c r="P20" s="1513" t="s">
        <v>22</v>
      </c>
    </row>
    <row r="21" spans="2:19">
      <c r="B21" s="277" t="s">
        <v>4</v>
      </c>
      <c r="C21" s="278"/>
      <c r="D21" s="278"/>
      <c r="E21" s="279">
        <f>ROUNDUP(SUM(E17:E20),0)</f>
        <v>1072</v>
      </c>
      <c r="F21" s="123">
        <f>E21/C15</f>
        <v>0.21440000000000001</v>
      </c>
      <c r="G21" s="124" t="s">
        <v>87</v>
      </c>
      <c r="H21" s="1"/>
      <c r="I21" s="277" t="s">
        <v>4</v>
      </c>
      <c r="J21" s="278"/>
      <c r="K21" s="278"/>
      <c r="L21" s="279">
        <f>ROUNDUP(SUM(L17:L20),0)</f>
        <v>536</v>
      </c>
      <c r="M21" s="123">
        <f>L21/J15</f>
        <v>0.53600000000000003</v>
      </c>
      <c r="N21" s="124" t="s">
        <v>87</v>
      </c>
      <c r="P21" s="23">
        <v>1000</v>
      </c>
      <c r="Q21" s="383">
        <f>M21</f>
        <v>0.53600000000000003</v>
      </c>
      <c r="R21" s="1511" t="s">
        <v>989</v>
      </c>
      <c r="S21" s="1512"/>
    </row>
    <row r="22" spans="2:19">
      <c r="B22" s="1"/>
      <c r="C22" s="32"/>
      <c r="D22" s="7"/>
      <c r="E22" s="7"/>
      <c r="F22" s="7"/>
      <c r="G22" s="1"/>
      <c r="H22" s="1"/>
      <c r="I22" s="1"/>
      <c r="J22" s="32"/>
      <c r="K22" s="7"/>
      <c r="L22" s="7"/>
      <c r="M22" s="7"/>
      <c r="N22" s="1"/>
      <c r="P22">
        <v>1250</v>
      </c>
      <c r="Q22" s="384">
        <f>((Q21-Q23)/2)+Q23</f>
        <v>0.51590000000000003</v>
      </c>
    </row>
    <row r="23" spans="2:19">
      <c r="B23" s="5" t="s">
        <v>252</v>
      </c>
      <c r="C23" s="30" t="s">
        <v>11</v>
      </c>
      <c r="D23" s="11" t="s">
        <v>1</v>
      </c>
      <c r="E23" s="12" t="s">
        <v>2</v>
      </c>
      <c r="F23" s="1"/>
      <c r="G23" s="1"/>
      <c r="H23" s="1"/>
      <c r="I23" s="5" t="s">
        <v>252</v>
      </c>
      <c r="J23" s="30" t="s">
        <v>11</v>
      </c>
      <c r="K23" s="11" t="s">
        <v>1</v>
      </c>
      <c r="L23" s="12" t="s">
        <v>2</v>
      </c>
      <c r="M23" s="1"/>
      <c r="N23" s="1"/>
      <c r="P23">
        <v>1500</v>
      </c>
      <c r="Q23" s="385">
        <f>((Q21-Q25)/2)+Q25</f>
        <v>0.49580000000000002</v>
      </c>
    </row>
    <row r="24" spans="2:19">
      <c r="B24" s="6" t="s">
        <v>17</v>
      </c>
      <c r="C24" s="37"/>
      <c r="D24" s="7">
        <v>35</v>
      </c>
      <c r="E24" s="9">
        <f t="shared" ref="E24:E30" si="4">ROUNDUP(C24*D24,0)</f>
        <v>0</v>
      </c>
      <c r="F24" s="1"/>
      <c r="G24" s="1"/>
      <c r="H24" s="1"/>
      <c r="I24" s="6" t="s">
        <v>17</v>
      </c>
      <c r="J24" s="37"/>
      <c r="K24" s="7">
        <v>35</v>
      </c>
      <c r="L24" s="9">
        <f t="shared" ref="L24:L30" si="5">ROUNDUP(J24*K24,0)</f>
        <v>0</v>
      </c>
      <c r="M24" s="1"/>
      <c r="N24" s="1"/>
      <c r="P24">
        <v>1750</v>
      </c>
      <c r="Q24" s="384">
        <f>((Q23-Q25)/2)+Q25</f>
        <v>0.47570000000000001</v>
      </c>
    </row>
    <row r="25" spans="2:19">
      <c r="B25" s="6" t="s">
        <v>75</v>
      </c>
      <c r="C25" s="37"/>
      <c r="D25" s="7">
        <v>0.33</v>
      </c>
      <c r="E25" s="9">
        <f t="shared" si="4"/>
        <v>0</v>
      </c>
      <c r="F25" s="1"/>
      <c r="G25" s="1"/>
      <c r="H25" s="1"/>
      <c r="I25" s="6" t="s">
        <v>75</v>
      </c>
      <c r="J25" s="37"/>
      <c r="K25" s="7">
        <v>0.33</v>
      </c>
      <c r="L25" s="9">
        <f t="shared" si="5"/>
        <v>0</v>
      </c>
      <c r="M25" s="1"/>
      <c r="N25" s="1"/>
      <c r="P25" s="24">
        <v>2000</v>
      </c>
      <c r="Q25" s="1510">
        <f>((Q21-Q29)/2)+Q29</f>
        <v>0.4556</v>
      </c>
      <c r="R25" s="51">
        <f>MEDIAN(P21:P29)</f>
        <v>2000</v>
      </c>
    </row>
    <row r="26" spans="2:19">
      <c r="B26" s="452" t="s">
        <v>68</v>
      </c>
      <c r="C26" s="37">
        <v>0</v>
      </c>
      <c r="D26" s="451">
        <v>70</v>
      </c>
      <c r="E26" s="9">
        <f t="shared" si="4"/>
        <v>0</v>
      </c>
      <c r="F26" s="450" t="s">
        <v>400</v>
      </c>
      <c r="G26" s="1"/>
      <c r="H26" s="1"/>
      <c r="I26" s="6" t="s">
        <v>68</v>
      </c>
      <c r="J26" s="37">
        <v>0</v>
      </c>
      <c r="K26" s="7">
        <f>$D$26</f>
        <v>70</v>
      </c>
      <c r="L26" s="9">
        <f t="shared" si="5"/>
        <v>0</v>
      </c>
      <c r="M26" s="1"/>
      <c r="N26" s="1"/>
      <c r="P26" s="1">
        <v>2250</v>
      </c>
      <c r="Q26" s="384">
        <f>((Q25-Q27)/2)+Q27</f>
        <v>0.4355</v>
      </c>
    </row>
    <row r="27" spans="2:19">
      <c r="B27" s="413" t="s">
        <v>69</v>
      </c>
      <c r="C27" s="37">
        <f>C26</f>
        <v>0</v>
      </c>
      <c r="D27" s="412">
        <v>45</v>
      </c>
      <c r="E27" s="9">
        <f t="shared" si="4"/>
        <v>0</v>
      </c>
      <c r="F27" s="414" t="s">
        <v>401</v>
      </c>
      <c r="G27" s="1"/>
      <c r="H27" s="1"/>
      <c r="I27" s="6" t="s">
        <v>69</v>
      </c>
      <c r="J27" s="37">
        <f>J26</f>
        <v>0</v>
      </c>
      <c r="K27" s="7">
        <f>$D$27</f>
        <v>45</v>
      </c>
      <c r="L27" s="9">
        <f t="shared" si="5"/>
        <v>0</v>
      </c>
      <c r="M27" s="43"/>
      <c r="N27" s="1"/>
      <c r="P27">
        <v>2500</v>
      </c>
      <c r="Q27" s="385">
        <f>((Q25-Q29)/2)+Q29</f>
        <v>0.41539999999999999</v>
      </c>
    </row>
    <row r="28" spans="2:19">
      <c r="B28" s="376" t="s">
        <v>253</v>
      </c>
      <c r="C28" s="37">
        <v>0</v>
      </c>
      <c r="D28" s="411">
        <v>14</v>
      </c>
      <c r="E28" s="9">
        <f t="shared" si="4"/>
        <v>0</v>
      </c>
      <c r="F28" s="299" t="s">
        <v>402</v>
      </c>
      <c r="G28" s="1"/>
      <c r="H28" s="1"/>
      <c r="I28" s="6" t="s">
        <v>253</v>
      </c>
      <c r="J28" s="37">
        <v>0</v>
      </c>
      <c r="K28" s="7">
        <f>$D$28</f>
        <v>14</v>
      </c>
      <c r="L28" s="9">
        <f t="shared" si="5"/>
        <v>0</v>
      </c>
      <c r="M28" s="43"/>
      <c r="N28" s="1"/>
      <c r="P28">
        <v>2750</v>
      </c>
      <c r="Q28" s="384">
        <f>((Q27-Q29)/2)+Q29</f>
        <v>0.39529999999999998</v>
      </c>
    </row>
    <row r="29" spans="2:19">
      <c r="B29" s="6" t="s">
        <v>254</v>
      </c>
      <c r="C29" s="37"/>
      <c r="D29" s="7">
        <v>0.04</v>
      </c>
      <c r="E29" s="9">
        <f t="shared" si="4"/>
        <v>0</v>
      </c>
      <c r="F29" s="1"/>
      <c r="G29" s="1"/>
      <c r="H29" s="1"/>
      <c r="I29" s="6" t="s">
        <v>254</v>
      </c>
      <c r="J29" s="37"/>
      <c r="K29" s="7">
        <v>0.04</v>
      </c>
      <c r="L29" s="9">
        <f t="shared" si="5"/>
        <v>0</v>
      </c>
      <c r="M29" s="1"/>
      <c r="N29" s="1"/>
      <c r="P29" s="24">
        <v>3000</v>
      </c>
      <c r="Q29" s="385">
        <f>((Q21-Q37)/2)+Q37</f>
        <v>0.37519999999999998</v>
      </c>
      <c r="R29" s="51">
        <f>MEDIAN(P21:P37)</f>
        <v>3000</v>
      </c>
    </row>
    <row r="30" spans="2:19">
      <c r="B30" s="6" t="s">
        <v>28</v>
      </c>
      <c r="C30" s="37"/>
      <c r="D30" s="7"/>
      <c r="E30" s="9">
        <f t="shared" si="4"/>
        <v>0</v>
      </c>
      <c r="F30" s="1"/>
      <c r="G30" s="1"/>
      <c r="H30" s="1"/>
      <c r="I30" s="6" t="s">
        <v>28</v>
      </c>
      <c r="J30" s="37"/>
      <c r="K30" s="7"/>
      <c r="L30" s="9">
        <f t="shared" si="5"/>
        <v>0</v>
      </c>
      <c r="M30" s="1"/>
      <c r="N30" s="1"/>
      <c r="P30">
        <v>3250</v>
      </c>
      <c r="Q30" s="384">
        <f>((Q29-Q31)/2)+Q31</f>
        <v>0.35509999999999997</v>
      </c>
    </row>
    <row r="31" spans="2:19">
      <c r="B31" s="10" t="s">
        <v>255</v>
      </c>
      <c r="C31" s="36"/>
      <c r="D31" s="13"/>
      <c r="E31" s="16">
        <f>SUM(E24:E30)</f>
        <v>0</v>
      </c>
      <c r="F31" s="1"/>
      <c r="G31" s="1"/>
      <c r="H31" s="1"/>
      <c r="I31" s="10" t="s">
        <v>255</v>
      </c>
      <c r="J31" s="36"/>
      <c r="K31" s="13"/>
      <c r="L31" s="16">
        <f>SUM(L24:L30)</f>
        <v>0</v>
      </c>
      <c r="M31" s="1"/>
      <c r="N31" s="1"/>
      <c r="P31" s="1">
        <v>3500</v>
      </c>
      <c r="Q31" s="385">
        <f>((Q29-Q33)/2)+Q33</f>
        <v>0.33499999999999996</v>
      </c>
    </row>
    <row r="32" spans="2:19">
      <c r="B32" s="1"/>
      <c r="C32" s="32"/>
      <c r="D32" s="7"/>
      <c r="E32" s="7"/>
      <c r="F32" s="1"/>
      <c r="G32" s="1"/>
      <c r="H32" s="1"/>
      <c r="I32" s="1"/>
      <c r="J32" s="32"/>
      <c r="K32" s="7"/>
      <c r="L32" s="7"/>
      <c r="M32" s="1"/>
      <c r="N32" s="1"/>
      <c r="P32">
        <v>3750</v>
      </c>
      <c r="Q32" s="384">
        <f>((Q31-Q33)/2)+Q33</f>
        <v>0.31489999999999996</v>
      </c>
    </row>
    <row r="33" spans="2:18">
      <c r="B33" s="1"/>
      <c r="C33" s="32"/>
      <c r="D33" s="7"/>
      <c r="E33" s="7"/>
      <c r="F33" s="1"/>
      <c r="G33" s="1"/>
      <c r="H33" s="1"/>
      <c r="I33" s="1"/>
      <c r="J33" s="32"/>
      <c r="K33" s="7"/>
      <c r="L33" s="7"/>
      <c r="M33" s="1"/>
      <c r="N33" s="1"/>
      <c r="P33" s="24">
        <v>4000</v>
      </c>
      <c r="Q33" s="385">
        <f>((Q29-Q37)/2)+Q37</f>
        <v>0.29480000000000001</v>
      </c>
      <c r="R33" s="51">
        <f>MEDIAN(P29:P37)</f>
        <v>4000</v>
      </c>
    </row>
    <row r="34" spans="2:18">
      <c r="B34" s="280" t="s">
        <v>9</v>
      </c>
      <c r="C34" s="281"/>
      <c r="D34" s="282"/>
      <c r="E34" s="283">
        <f>SUM(E13,E21,E31)</f>
        <v>2062</v>
      </c>
      <c r="F34" s="1"/>
      <c r="G34" s="1"/>
      <c r="H34" s="1"/>
      <c r="I34" s="280" t="s">
        <v>9</v>
      </c>
      <c r="J34" s="281"/>
      <c r="K34" s="282"/>
      <c r="L34" s="283">
        <f>SUM(L13,L21,L31)</f>
        <v>811</v>
      </c>
      <c r="M34" s="1"/>
      <c r="N34" s="1"/>
      <c r="P34">
        <v>4250</v>
      </c>
      <c r="Q34" s="384">
        <f>((Q33-Q35)/2)+Q35</f>
        <v>0.2747</v>
      </c>
    </row>
    <row r="35" spans="2:18">
      <c r="B35" s="1"/>
      <c r="C35" s="32"/>
      <c r="D35" s="7"/>
      <c r="E35" s="7"/>
      <c r="F35" s="1"/>
      <c r="G35" s="1"/>
      <c r="H35" s="1"/>
      <c r="I35" s="1"/>
      <c r="J35" s="32"/>
      <c r="K35" s="7"/>
      <c r="L35" s="7"/>
      <c r="M35" s="1"/>
      <c r="N35" s="1"/>
      <c r="P35">
        <v>4500</v>
      </c>
      <c r="Q35" s="385">
        <f>((Q33-Q37)/2)+Q37</f>
        <v>0.25459999999999999</v>
      </c>
    </row>
    <row r="36" spans="2:18">
      <c r="B36" s="5" t="s">
        <v>8</v>
      </c>
      <c r="C36" s="30" t="s">
        <v>7</v>
      </c>
      <c r="D36" s="14"/>
      <c r="E36" s="12"/>
      <c r="F36" s="1"/>
      <c r="G36" s="1"/>
      <c r="H36" s="1"/>
      <c r="I36" s="5" t="s">
        <v>8</v>
      </c>
      <c r="J36" s="30" t="s">
        <v>7</v>
      </c>
      <c r="K36" s="14"/>
      <c r="L36" s="12"/>
      <c r="M36" s="1"/>
      <c r="N36" s="1"/>
      <c r="P36" s="1">
        <v>4750</v>
      </c>
      <c r="Q36" s="384">
        <f>((Q35-Q37)/2)+Q37</f>
        <v>0.23449999999999999</v>
      </c>
    </row>
    <row r="37" spans="2:18">
      <c r="B37" s="6" t="s">
        <v>15</v>
      </c>
      <c r="C37" s="208">
        <f>Epoxy!B80</f>
        <v>9.4750000000000001E-2</v>
      </c>
      <c r="D37" s="209"/>
      <c r="E37" s="9">
        <f>ROUNDUP(SUM(E13:E13)*C37,0)</f>
        <v>94</v>
      </c>
      <c r="F37" s="1"/>
      <c r="G37" s="1"/>
      <c r="H37" s="1"/>
      <c r="I37" s="6" t="s">
        <v>15</v>
      </c>
      <c r="J37" s="208">
        <f>$C$37</f>
        <v>9.4750000000000001E-2</v>
      </c>
      <c r="K37" s="209"/>
      <c r="L37" s="9">
        <f>ROUNDUP(SUM(L13:L13)*J37,0)</f>
        <v>27</v>
      </c>
      <c r="M37" s="1"/>
      <c r="N37" s="1"/>
      <c r="P37" s="24">
        <v>5000</v>
      </c>
      <c r="Q37" s="385">
        <f>F21</f>
        <v>0.21440000000000001</v>
      </c>
    </row>
    <row r="38" spans="2:18">
      <c r="B38" s="6" t="s">
        <v>74</v>
      </c>
      <c r="C38" s="241">
        <v>0.08</v>
      </c>
      <c r="D38" s="209"/>
      <c r="E38" s="9">
        <f>ROUNDUP(SUM(E21)*C38,0)</f>
        <v>86</v>
      </c>
      <c r="F38" s="1387"/>
      <c r="G38" s="1384" t="s">
        <v>1059</v>
      </c>
      <c r="H38" s="1"/>
      <c r="I38" s="6" t="s">
        <v>74</v>
      </c>
      <c r="J38" s="241">
        <v>0.08</v>
      </c>
      <c r="K38" s="209"/>
      <c r="L38" s="9">
        <f>ROUNDUP(SUM(L21)*J38,0)</f>
        <v>43</v>
      </c>
      <c r="M38" s="1"/>
      <c r="N38" s="1"/>
    </row>
    <row r="39" spans="2:18">
      <c r="B39" s="6" t="s">
        <v>256</v>
      </c>
      <c r="C39" s="122">
        <f>IF(E13&lt;=5000,0.1,0.05)</f>
        <v>0.1</v>
      </c>
      <c r="D39" s="7"/>
      <c r="E39" s="9">
        <f>ROUNDUP(E13*C39,0)</f>
        <v>99</v>
      </c>
      <c r="F39" s="1"/>
      <c r="G39" s="1385">
        <f>Epoxy!B81</f>
        <v>0</v>
      </c>
      <c r="H39" s="1"/>
      <c r="I39" s="6" t="s">
        <v>256</v>
      </c>
      <c r="J39" s="122">
        <v>0.15</v>
      </c>
      <c r="K39" s="7"/>
      <c r="L39" s="9">
        <f>ROUNDUP(L13*J39,0)</f>
        <v>42</v>
      </c>
      <c r="M39" s="1"/>
      <c r="N39" s="1"/>
    </row>
    <row r="40" spans="2:18">
      <c r="B40" s="6" t="s">
        <v>257</v>
      </c>
      <c r="C40" s="122">
        <v>0.2</v>
      </c>
      <c r="D40" s="7"/>
      <c r="E40" s="9">
        <f>ROUNDUP(E21*C40,0)</f>
        <v>215</v>
      </c>
      <c r="F40" s="1"/>
      <c r="G40" s="1386" t="s">
        <v>1058</v>
      </c>
      <c r="H40" s="1"/>
      <c r="I40" s="6" t="s">
        <v>257</v>
      </c>
      <c r="J40" s="122">
        <v>0.2</v>
      </c>
      <c r="K40" s="7"/>
      <c r="L40" s="9">
        <f>ROUNDUP(L21*J40,0)</f>
        <v>108</v>
      </c>
      <c r="M40" s="1"/>
      <c r="N40" s="1"/>
    </row>
    <row r="41" spans="2:18">
      <c r="B41" s="6" t="s">
        <v>258</v>
      </c>
      <c r="C41" s="122">
        <v>0.4</v>
      </c>
      <c r="D41" s="7"/>
      <c r="E41" s="9">
        <f>ROUNDUP(SUM(E34:E40)*C41,0)</f>
        <v>1023</v>
      </c>
      <c r="F41" s="1"/>
      <c r="G41" s="495" t="s">
        <v>259</v>
      </c>
      <c r="H41" s="1"/>
      <c r="I41" s="6" t="s">
        <v>258</v>
      </c>
      <c r="J41" s="122">
        <v>0.4</v>
      </c>
      <c r="K41" s="7"/>
      <c r="L41" s="9">
        <f>ROUNDUP(SUM(L34:L40)*J41,0)</f>
        <v>413</v>
      </c>
      <c r="M41" s="1"/>
      <c r="N41" s="1"/>
    </row>
    <row r="42" spans="2:18">
      <c r="B42" s="497" t="str">
        <f>Epoxy!A81</f>
        <v>Kansas Remodel Tax</v>
      </c>
      <c r="C42" s="498">
        <f>Epoxy!B81</f>
        <v>0</v>
      </c>
      <c r="D42" s="7"/>
      <c r="E42" s="9">
        <f>ROUNDUP(SUM(E21,E38:E41)*C42,0)</f>
        <v>0</v>
      </c>
      <c r="F42" s="285" t="s">
        <v>260</v>
      </c>
      <c r="G42" s="496">
        <f>Polish!B75</f>
        <v>0</v>
      </c>
      <c r="H42" s="1"/>
      <c r="I42" s="284" t="str">
        <f>$B$42</f>
        <v>Kansas Remodel Tax</v>
      </c>
      <c r="J42" s="241">
        <f>$C$42</f>
        <v>0</v>
      </c>
      <c r="K42" s="7"/>
      <c r="L42" s="9">
        <f>ROUNDUP(SUM(L21,L38:L41)*J42,0)</f>
        <v>0</v>
      </c>
      <c r="M42" s="1"/>
      <c r="N42" s="1"/>
    </row>
    <row r="43" spans="2:18">
      <c r="B43" s="427" t="s">
        <v>398</v>
      </c>
      <c r="C43" s="428">
        <f>1%+2%+2%</f>
        <v>0.05</v>
      </c>
      <c r="D43" s="7"/>
      <c r="E43" s="9">
        <f>ROUNDUP(C43*SUM(E34:E42),0)</f>
        <v>179</v>
      </c>
      <c r="F43" s="1"/>
      <c r="G43" s="494" t="s">
        <v>1057</v>
      </c>
      <c r="H43" s="1"/>
      <c r="I43" s="403" t="s">
        <v>398</v>
      </c>
      <c r="J43" s="241">
        <f>$C$43</f>
        <v>0.05</v>
      </c>
      <c r="K43" s="7"/>
      <c r="L43" s="9">
        <f>ROUNDUP(J43*SUM(L34:L42),0)</f>
        <v>73</v>
      </c>
      <c r="M43" s="1"/>
      <c r="N43" s="1"/>
    </row>
    <row r="44" spans="2:18">
      <c r="B44" s="430" t="s">
        <v>20</v>
      </c>
      <c r="C44" s="429">
        <f>Epoxy!B84</f>
        <v>0</v>
      </c>
      <c r="D44" s="15"/>
      <c r="E44" s="210">
        <f>ROUNDUP(SUM(E34:E43)*C44,0)</f>
        <v>0</v>
      </c>
      <c r="F44" s="431" t="s">
        <v>409</v>
      </c>
      <c r="G44" s="432">
        <f>Polish!B78</f>
        <v>0</v>
      </c>
      <c r="H44" s="1"/>
      <c r="I44" s="45" t="s">
        <v>20</v>
      </c>
      <c r="J44" s="46">
        <f>$C$44</f>
        <v>0</v>
      </c>
      <c r="K44" s="15"/>
      <c r="L44" s="210">
        <f>ROUNDUP(SUM(L34:L43)*J44,0)</f>
        <v>0</v>
      </c>
      <c r="M44" s="1"/>
      <c r="N44" s="1"/>
    </row>
    <row r="45" spans="2:18">
      <c r="B45" s="1"/>
      <c r="C45" s="8"/>
      <c r="D45" s="7"/>
      <c r="E45" s="7"/>
      <c r="F45" s="1"/>
      <c r="G45" s="493" t="s">
        <v>1056</v>
      </c>
      <c r="H45" s="32"/>
      <c r="I45" s="1"/>
      <c r="J45" s="8"/>
      <c r="K45" s="7"/>
      <c r="L45" s="7"/>
      <c r="M45" s="1"/>
      <c r="N45" s="286" t="s">
        <v>70</v>
      </c>
    </row>
    <row r="46" spans="2:18" ht="16.2" thickBot="1">
      <c r="B46" s="1"/>
      <c r="C46" s="1079" t="s">
        <v>262</v>
      </c>
      <c r="D46" s="1078">
        <f>C15</f>
        <v>5000</v>
      </c>
      <c r="E46" s="1077" t="s">
        <v>22</v>
      </c>
      <c r="F46" s="38" t="s">
        <v>18</v>
      </c>
      <c r="G46" s="131">
        <f>SUM(E39:E41)</f>
        <v>1337</v>
      </c>
      <c r="H46" s="7"/>
      <c r="I46" s="1"/>
      <c r="J46" s="1079" t="s">
        <v>262</v>
      </c>
      <c r="K46" s="1078">
        <f>J15</f>
        <v>1000</v>
      </c>
      <c r="L46" s="1077" t="s">
        <v>22</v>
      </c>
      <c r="M46" s="38" t="s">
        <v>18</v>
      </c>
      <c r="N46" s="131">
        <f>SUM(L39:L41)</f>
        <v>563</v>
      </c>
    </row>
    <row r="47" spans="2:18" ht="16.2" thickBot="1">
      <c r="B47" s="289" t="s">
        <v>6</v>
      </c>
      <c r="C47" s="290"/>
      <c r="D47" s="1080">
        <f>E47/C15</f>
        <v>0.75160000000000005</v>
      </c>
      <c r="E47" s="292">
        <f>SUM(E34:E44)</f>
        <v>3758</v>
      </c>
      <c r="F47" s="7">
        <f>E47-E37-E42</f>
        <v>3664</v>
      </c>
      <c r="G47" s="293">
        <f>G46/E47</f>
        <v>0.35577434805747737</v>
      </c>
      <c r="H47" s="294"/>
      <c r="I47" s="289" t="s">
        <v>6</v>
      </c>
      <c r="J47" s="290"/>
      <c r="K47" s="1080">
        <f>L47/J15</f>
        <v>1.5169999999999999</v>
      </c>
      <c r="L47" s="292">
        <f>SUM(L34:L44)</f>
        <v>1517</v>
      </c>
      <c r="M47" s="7">
        <f>L47-L37-L42</f>
        <v>1490</v>
      </c>
      <c r="N47" s="293">
        <f>N46/L47</f>
        <v>0.37112722478576138</v>
      </c>
    </row>
    <row r="48" spans="2:18">
      <c r="B48" s="1"/>
      <c r="C48" s="1" t="s">
        <v>5</v>
      </c>
      <c r="D48" s="7">
        <f>E48/C15</f>
        <v>0.75160000000000005</v>
      </c>
      <c r="E48" s="7">
        <f>E47-E42</f>
        <v>3758</v>
      </c>
      <c r="F48" t="s">
        <v>263</v>
      </c>
      <c r="G48" s="295" t="str">
        <f>IF(G47&lt;=0.25,"OWNER APPROVAL REQUIRED","GP % Okay")</f>
        <v>GP % Okay</v>
      </c>
      <c r="H48" s="296"/>
      <c r="I48" s="1"/>
      <c r="J48" s="1" t="s">
        <v>5</v>
      </c>
      <c r="K48" s="7">
        <f>L48/J15</f>
        <v>1.5169999999999999</v>
      </c>
      <c r="L48" s="7">
        <f>L47-L42</f>
        <v>1517</v>
      </c>
      <c r="M48" t="s">
        <v>263</v>
      </c>
      <c r="N48" s="295" t="str">
        <f>IF(N47&lt;=0.25,"OWNER APPROVAL REQUIRED","GP % Okay")</f>
        <v>GP % Okay</v>
      </c>
    </row>
    <row r="51" spans="2:14">
      <c r="B51" s="1897" t="s">
        <v>264</v>
      </c>
      <c r="C51" s="1898"/>
      <c r="D51" s="1898"/>
      <c r="E51" s="1899"/>
      <c r="F51" s="262">
        <f>D96</f>
        <v>0.79079999999999995</v>
      </c>
      <c r="G51" s="263" t="s">
        <v>249</v>
      </c>
      <c r="I51" s="1897" t="s">
        <v>265</v>
      </c>
      <c r="J51" s="1898"/>
      <c r="K51" s="1898"/>
      <c r="L51" s="1899"/>
      <c r="M51" s="262">
        <f>K96</f>
        <v>1.6160000000000001</v>
      </c>
      <c r="N51" s="263" t="s">
        <v>249</v>
      </c>
    </row>
    <row r="52" spans="2:14">
      <c r="B52" s="25" t="s">
        <v>14</v>
      </c>
      <c r="C52" s="90" t="s">
        <v>11</v>
      </c>
      <c r="D52" s="90" t="s">
        <v>1</v>
      </c>
      <c r="E52" s="91" t="s">
        <v>2</v>
      </c>
      <c r="F52" s="262" t="e">
        <f>C97</f>
        <v>#DIV/0!</v>
      </c>
      <c r="G52" s="263" t="s">
        <v>266</v>
      </c>
      <c r="H52" s="264"/>
      <c r="I52" s="25" t="s">
        <v>14</v>
      </c>
      <c r="J52" s="90" t="s">
        <v>11</v>
      </c>
      <c r="K52" s="90" t="s">
        <v>1</v>
      </c>
      <c r="L52" s="91" t="s">
        <v>2</v>
      </c>
      <c r="M52" s="262" t="e">
        <f>J97</f>
        <v>#DIV/0!</v>
      </c>
      <c r="N52" s="263" t="s">
        <v>266</v>
      </c>
    </row>
    <row r="53" spans="2:14">
      <c r="B53" s="44"/>
      <c r="C53" s="265"/>
      <c r="D53" s="33"/>
      <c r="E53" s="34">
        <f t="shared" ref="E53:E54" si="6">C53*D53</f>
        <v>0</v>
      </c>
      <c r="F53" s="1"/>
      <c r="G53" s="1"/>
      <c r="H53" s="1"/>
      <c r="I53" s="44"/>
      <c r="J53" s="265"/>
      <c r="K53" s="33"/>
      <c r="L53" s="34">
        <f t="shared" ref="L53:L54" si="7">J53*K53</f>
        <v>0</v>
      </c>
      <c r="M53" s="1"/>
      <c r="N53" s="1"/>
    </row>
    <row r="54" spans="2:14">
      <c r="B54" s="44"/>
      <c r="C54" s="266"/>
      <c r="D54" s="33"/>
      <c r="E54" s="34">
        <f t="shared" si="6"/>
        <v>0</v>
      </c>
      <c r="F54" s="1"/>
      <c r="G54" s="1"/>
      <c r="H54" s="1"/>
      <c r="I54" s="44"/>
      <c r="J54" s="266"/>
      <c r="K54" s="33"/>
      <c r="L54" s="34">
        <f t="shared" si="7"/>
        <v>0</v>
      </c>
      <c r="M54" s="1"/>
      <c r="N54" s="1"/>
    </row>
    <row r="55" spans="2:14">
      <c r="B55" s="25" t="s">
        <v>12</v>
      </c>
      <c r="C55" s="267"/>
      <c r="D55" s="23"/>
      <c r="E55" s="29"/>
      <c r="F55" s="268">
        <v>5000</v>
      </c>
      <c r="G55" s="82" t="s">
        <v>27</v>
      </c>
      <c r="H55" s="1"/>
      <c r="I55" s="25" t="s">
        <v>12</v>
      </c>
      <c r="J55" s="267"/>
      <c r="K55" s="23"/>
      <c r="L55" s="29"/>
      <c r="M55" s="268">
        <v>1000</v>
      </c>
      <c r="N55" s="82" t="s">
        <v>27</v>
      </c>
    </row>
    <row r="56" spans="2:14">
      <c r="B56" s="47" t="s">
        <v>39</v>
      </c>
      <c r="C56" s="266">
        <v>0</v>
      </c>
      <c r="D56" s="7">
        <v>1.29</v>
      </c>
      <c r="E56" s="9">
        <f>C56*D56</f>
        <v>0</v>
      </c>
      <c r="F56" s="1127">
        <f>F55*0.145</f>
        <v>725</v>
      </c>
      <c r="G56" s="1128" t="s">
        <v>267</v>
      </c>
      <c r="H56" s="1"/>
      <c r="I56" s="47" t="s">
        <v>39</v>
      </c>
      <c r="J56" s="266">
        <v>0</v>
      </c>
      <c r="K56" s="7">
        <v>1.29</v>
      </c>
      <c r="L56" s="9">
        <f>J56*K56</f>
        <v>0</v>
      </c>
      <c r="M56" s="1127">
        <f>M55*0.2</f>
        <v>200</v>
      </c>
      <c r="N56" s="1128" t="s">
        <v>268</v>
      </c>
    </row>
    <row r="57" spans="2:14">
      <c r="B57" s="647" t="s">
        <v>705</v>
      </c>
      <c r="C57" s="634">
        <f>ROUNDUP(IF(F57="yes",(F55/3500),0),0)</f>
        <v>2</v>
      </c>
      <c r="D57" s="629">
        <v>500</v>
      </c>
      <c r="E57" s="9">
        <f t="shared" ref="E57:E58" si="8">C57*D57</f>
        <v>1000</v>
      </c>
      <c r="F57" s="1" t="s">
        <v>706</v>
      </c>
      <c r="G57" s="1"/>
      <c r="H57" s="1"/>
      <c r="I57" s="647" t="s">
        <v>705</v>
      </c>
      <c r="J57" s="634">
        <f>ROUNDUP(IF(M57="yes",(M55/3500),0),0)</f>
        <v>1</v>
      </c>
      <c r="K57" s="629">
        <v>500</v>
      </c>
      <c r="L57" s="9">
        <f t="shared" ref="L57:L58" si="9">J57*K57</f>
        <v>500</v>
      </c>
      <c r="M57" s="1" t="s">
        <v>706</v>
      </c>
      <c r="N57" s="1"/>
    </row>
    <row r="58" spans="2:14">
      <c r="B58" s="48"/>
      <c r="C58" s="269"/>
      <c r="D58" s="26"/>
      <c r="E58" s="27">
        <f t="shared" si="8"/>
        <v>0</v>
      </c>
      <c r="F58" s="1"/>
      <c r="G58" s="1"/>
      <c r="H58" s="1"/>
      <c r="I58" s="48"/>
      <c r="J58" s="269"/>
      <c r="K58" s="26"/>
      <c r="L58" s="27">
        <f t="shared" si="9"/>
        <v>0</v>
      </c>
      <c r="M58" s="1"/>
      <c r="N58" s="1"/>
    </row>
    <row r="59" spans="2:14">
      <c r="B59" s="17" t="s">
        <v>10</v>
      </c>
      <c r="C59" s="35"/>
      <c r="D59" s="18"/>
      <c r="E59" s="19">
        <f>ROUNDUP(SUM(E53:E58),0)</f>
        <v>1000</v>
      </c>
      <c r="F59" s="1"/>
      <c r="G59" s="1"/>
      <c r="H59" s="1"/>
      <c r="I59" s="17" t="s">
        <v>10</v>
      </c>
      <c r="J59" s="35"/>
      <c r="K59" s="18"/>
      <c r="L59" s="19">
        <f>ROUNDUP(SUM(L53:L58),0)</f>
        <v>500</v>
      </c>
      <c r="M59" s="1"/>
      <c r="N59" s="1"/>
    </row>
    <row r="60" spans="2:14">
      <c r="B60" s="20" t="s">
        <v>251</v>
      </c>
      <c r="C60" s="270">
        <v>0</v>
      </c>
      <c r="D60" s="21"/>
      <c r="E60" s="22">
        <f>ROUNDUP(SUM(E56)*C60,0)</f>
        <v>0</v>
      </c>
      <c r="F60" s="1"/>
      <c r="G60" s="1"/>
      <c r="H60" s="1"/>
      <c r="I60" s="20" t="s">
        <v>251</v>
      </c>
      <c r="J60" s="270">
        <v>0</v>
      </c>
      <c r="K60" s="21"/>
      <c r="L60" s="22">
        <f>ROUNDUP(SUM(L56)*J60,0)</f>
        <v>0</v>
      </c>
      <c r="M60" s="1"/>
      <c r="N60" s="1"/>
    </row>
    <row r="61" spans="2:14">
      <c r="B61" s="446" t="s">
        <v>427</v>
      </c>
      <c r="C61" s="40">
        <f>$C$12</f>
        <v>0.1</v>
      </c>
      <c r="D61" s="41"/>
      <c r="E61" s="42">
        <f>ROUNDUP(E59*C61,0)</f>
        <v>100</v>
      </c>
      <c r="F61" s="454" t="str">
        <f>$F$12</f>
        <v>+3% + 7% material esc.</v>
      </c>
      <c r="I61" s="446" t="s">
        <v>427</v>
      </c>
      <c r="J61" s="40">
        <f>$C$12</f>
        <v>0.1</v>
      </c>
      <c r="K61" s="41"/>
      <c r="L61" s="42">
        <f>ROUNDUP(L59*J61,0)</f>
        <v>50</v>
      </c>
      <c r="M61" s="454" t="str">
        <f>$F$12</f>
        <v>+3% + 7% material esc.</v>
      </c>
    </row>
    <row r="62" spans="2:14">
      <c r="B62" s="10" t="s">
        <v>3</v>
      </c>
      <c r="C62" s="36"/>
      <c r="D62" s="13"/>
      <c r="E62" s="13">
        <f>SUM(E59:E61)</f>
        <v>1100</v>
      </c>
      <c r="F62" s="123">
        <f>E62/F55</f>
        <v>0.22</v>
      </c>
      <c r="G62" s="124" t="s">
        <v>80</v>
      </c>
      <c r="H62" s="1"/>
      <c r="I62" s="10" t="s">
        <v>3</v>
      </c>
      <c r="J62" s="36"/>
      <c r="K62" s="13"/>
      <c r="L62" s="13">
        <f>SUM(L59:L61)</f>
        <v>550</v>
      </c>
      <c r="M62" s="123">
        <f>L62/M55</f>
        <v>0.55000000000000004</v>
      </c>
      <c r="N62" s="124" t="s">
        <v>80</v>
      </c>
    </row>
    <row r="63" spans="2:14">
      <c r="B63" s="1"/>
      <c r="C63" s="32"/>
      <c r="D63" s="7"/>
      <c r="E63" s="7"/>
      <c r="F63" s="1"/>
      <c r="I63" s="1"/>
      <c r="J63" s="32"/>
      <c r="K63" s="7"/>
      <c r="L63" s="7"/>
      <c r="M63" s="1"/>
    </row>
    <row r="64" spans="2:14">
      <c r="B64" s="75" t="s">
        <v>45</v>
      </c>
      <c r="C64" s="271">
        <f>F55</f>
        <v>5000</v>
      </c>
      <c r="D64" s="75" t="s">
        <v>46</v>
      </c>
      <c r="E64" s="272">
        <v>0</v>
      </c>
      <c r="F64" s="1"/>
      <c r="G64" s="273">
        <f>E64/C64</f>
        <v>0</v>
      </c>
      <c r="I64" s="75" t="s">
        <v>45</v>
      </c>
      <c r="J64" s="271">
        <f>M55</f>
        <v>1000</v>
      </c>
      <c r="K64" s="75" t="s">
        <v>46</v>
      </c>
      <c r="L64" s="272">
        <v>0</v>
      </c>
      <c r="M64" s="1"/>
      <c r="N64" s="273">
        <f>L64/J64</f>
        <v>0</v>
      </c>
    </row>
    <row r="65" spans="2:14">
      <c r="B65" s="85" t="s">
        <v>52</v>
      </c>
      <c r="C65" s="68" t="s">
        <v>42</v>
      </c>
      <c r="D65" s="68" t="s">
        <v>47</v>
      </c>
      <c r="E65" s="87" t="s">
        <v>51</v>
      </c>
      <c r="F65" s="76" t="s">
        <v>59</v>
      </c>
      <c r="G65" s="156" t="s">
        <v>86</v>
      </c>
      <c r="H65" s="274"/>
      <c r="I65" s="85" t="s">
        <v>52</v>
      </c>
      <c r="J65" s="68" t="s">
        <v>42</v>
      </c>
      <c r="K65" s="68" t="s">
        <v>47</v>
      </c>
      <c r="L65" s="87" t="s">
        <v>51</v>
      </c>
      <c r="M65" s="76" t="s">
        <v>59</v>
      </c>
      <c r="N65" s="156" t="s">
        <v>86</v>
      </c>
    </row>
    <row r="66" spans="2:14">
      <c r="B66" s="69">
        <v>3</v>
      </c>
      <c r="C66" s="1">
        <v>1.5</v>
      </c>
      <c r="D66" s="523">
        <f>$D$17</f>
        <v>33.5</v>
      </c>
      <c r="E66" s="70">
        <f>B66*C66*D66*8</f>
        <v>1206</v>
      </c>
      <c r="F66" s="76"/>
      <c r="G66" s="157">
        <f>F55/(E66/D66)</f>
        <v>138.88888888888889</v>
      </c>
      <c r="H66" s="154"/>
      <c r="I66" s="69">
        <v>3</v>
      </c>
      <c r="J66" s="1">
        <v>0.5</v>
      </c>
      <c r="K66" s="523">
        <f>$D$17</f>
        <v>33.5</v>
      </c>
      <c r="L66" s="70">
        <f>I66*J66*K66*8</f>
        <v>402</v>
      </c>
      <c r="M66" s="76"/>
      <c r="N66" s="157">
        <f>M55/(L66/K66)</f>
        <v>83.333333333333329</v>
      </c>
    </row>
    <row r="67" spans="2:14">
      <c r="B67" s="69"/>
      <c r="C67" s="1"/>
      <c r="D67" s="523">
        <f>$D$17</f>
        <v>33.5</v>
      </c>
      <c r="E67" s="70">
        <f>B67*C67*D67*8</f>
        <v>0</v>
      </c>
      <c r="F67" s="76"/>
      <c r="G67" s="275" t="e">
        <f>F57/(E67/D67)</f>
        <v>#VALUE!</v>
      </c>
      <c r="H67" s="154"/>
      <c r="I67" s="69"/>
      <c r="J67" s="1"/>
      <c r="K67" s="523">
        <f>$D$17</f>
        <v>33.5</v>
      </c>
      <c r="L67" s="70">
        <f>I67*J67*K67*8</f>
        <v>0</v>
      </c>
      <c r="M67" s="76"/>
      <c r="N67" s="275" t="e">
        <f>M57/(L67/K67)</f>
        <v>#VALUE!</v>
      </c>
    </row>
    <row r="68" spans="2:14">
      <c r="B68" s="86" t="s">
        <v>53</v>
      </c>
      <c r="C68" s="67" t="s">
        <v>44</v>
      </c>
      <c r="D68" s="276" t="s">
        <v>43</v>
      </c>
      <c r="E68" s="71"/>
      <c r="F68" s="1"/>
      <c r="I68" s="86" t="s">
        <v>53</v>
      </c>
      <c r="J68" s="67" t="s">
        <v>44</v>
      </c>
      <c r="K68" s="276" t="s">
        <v>43</v>
      </c>
      <c r="L68" s="71"/>
      <c r="M68" s="1"/>
    </row>
    <row r="69" spans="2:14">
      <c r="B69" s="69">
        <v>0</v>
      </c>
      <c r="C69" s="1">
        <v>0</v>
      </c>
      <c r="D69" s="523">
        <f>$D$20</f>
        <v>33.5</v>
      </c>
      <c r="E69" s="70">
        <f>B69*C69*D69</f>
        <v>0</v>
      </c>
      <c r="F69" s="76"/>
      <c r="I69" s="69">
        <v>0</v>
      </c>
      <c r="J69" s="1">
        <v>0</v>
      </c>
      <c r="K69" s="523">
        <f>$D$20</f>
        <v>33.5</v>
      </c>
      <c r="L69" s="70">
        <f>I69*J69*K69</f>
        <v>0</v>
      </c>
      <c r="M69" s="76"/>
    </row>
    <row r="70" spans="2:14">
      <c r="B70" s="277" t="s">
        <v>4</v>
      </c>
      <c r="C70" s="278"/>
      <c r="D70" s="278"/>
      <c r="E70" s="279">
        <f>ROUNDUP(SUM(E66:E69),0)</f>
        <v>1206</v>
      </c>
      <c r="F70" s="123">
        <f>E70/C64</f>
        <v>0.2412</v>
      </c>
      <c r="G70" s="124" t="s">
        <v>87</v>
      </c>
      <c r="H70" s="1"/>
      <c r="I70" s="277" t="s">
        <v>4</v>
      </c>
      <c r="J70" s="278"/>
      <c r="K70" s="278"/>
      <c r="L70" s="279">
        <f>ROUNDUP(SUM(L66:L69),0)</f>
        <v>402</v>
      </c>
      <c r="M70" s="123">
        <f>L70/J64</f>
        <v>0.40200000000000002</v>
      </c>
      <c r="N70" s="124" t="s">
        <v>87</v>
      </c>
    </row>
    <row r="71" spans="2:14">
      <c r="B71" s="1"/>
      <c r="C71" s="32"/>
      <c r="D71" s="7"/>
      <c r="E71" s="7"/>
      <c r="F71" s="7"/>
      <c r="G71" s="1"/>
      <c r="H71" s="1"/>
      <c r="I71" s="1"/>
      <c r="J71" s="32"/>
      <c r="K71" s="7"/>
      <c r="L71" s="7"/>
      <c r="M71" s="7"/>
      <c r="N71" s="1"/>
    </row>
    <row r="72" spans="2:14">
      <c r="B72" s="5" t="s">
        <v>252</v>
      </c>
      <c r="C72" s="30" t="s">
        <v>11</v>
      </c>
      <c r="D72" s="11" t="s">
        <v>1</v>
      </c>
      <c r="E72" s="12" t="s">
        <v>2</v>
      </c>
      <c r="F72" s="1"/>
      <c r="G72" s="1"/>
      <c r="H72" s="1"/>
      <c r="I72" s="5" t="s">
        <v>252</v>
      </c>
      <c r="J72" s="30" t="s">
        <v>11</v>
      </c>
      <c r="K72" s="11" t="s">
        <v>1</v>
      </c>
      <c r="L72" s="12" t="s">
        <v>2</v>
      </c>
      <c r="M72" s="1"/>
      <c r="N72" s="1"/>
    </row>
    <row r="73" spans="2:14">
      <c r="B73" s="6" t="s">
        <v>17</v>
      </c>
      <c r="C73" s="37"/>
      <c r="D73" s="7">
        <v>35</v>
      </c>
      <c r="E73" s="9">
        <f t="shared" ref="E73:E79" si="10">ROUNDUP(C73*D73,0)</f>
        <v>0</v>
      </c>
      <c r="F73" s="1"/>
      <c r="G73" s="1"/>
      <c r="H73" s="1"/>
      <c r="I73" s="6" t="s">
        <v>17</v>
      </c>
      <c r="J73" s="37"/>
      <c r="K73" s="7">
        <v>35</v>
      </c>
      <c r="L73" s="9">
        <f t="shared" ref="L73:L79" si="11">ROUNDUP(J73*K73,0)</f>
        <v>0</v>
      </c>
      <c r="M73" s="1"/>
      <c r="N73" s="1"/>
    </row>
    <row r="74" spans="2:14">
      <c r="B74" s="6" t="s">
        <v>75</v>
      </c>
      <c r="C74" s="37"/>
      <c r="D74" s="7">
        <v>0.33</v>
      </c>
      <c r="E74" s="9">
        <f t="shared" si="10"/>
        <v>0</v>
      </c>
      <c r="F74" s="1"/>
      <c r="G74" s="1"/>
      <c r="H74" s="1"/>
      <c r="I74" s="6" t="s">
        <v>75</v>
      </c>
      <c r="J74" s="37"/>
      <c r="K74" s="7">
        <v>0.33</v>
      </c>
      <c r="L74" s="9">
        <f t="shared" si="11"/>
        <v>0</v>
      </c>
      <c r="M74" s="1"/>
      <c r="N74" s="1"/>
    </row>
    <row r="75" spans="2:14">
      <c r="B75" s="6" t="s">
        <v>68</v>
      </c>
      <c r="C75" s="37">
        <v>0</v>
      </c>
      <c r="D75" s="7">
        <f>$D$26</f>
        <v>70</v>
      </c>
      <c r="E75" s="9">
        <f t="shared" si="10"/>
        <v>0</v>
      </c>
      <c r="F75" s="1"/>
      <c r="G75" s="1"/>
      <c r="H75" s="1"/>
      <c r="I75" s="6" t="s">
        <v>68</v>
      </c>
      <c r="J75" s="37">
        <v>0</v>
      </c>
      <c r="K75" s="7">
        <f>$D$26</f>
        <v>70</v>
      </c>
      <c r="L75" s="9">
        <f t="shared" si="11"/>
        <v>0</v>
      </c>
      <c r="M75" s="1"/>
      <c r="N75" s="1"/>
    </row>
    <row r="76" spans="2:14">
      <c r="B76" s="6" t="s">
        <v>69</v>
      </c>
      <c r="C76" s="37">
        <f>C75</f>
        <v>0</v>
      </c>
      <c r="D76" s="7">
        <f>$D$27</f>
        <v>45</v>
      </c>
      <c r="E76" s="9">
        <f t="shared" si="10"/>
        <v>0</v>
      </c>
      <c r="F76" s="43"/>
      <c r="G76" s="1"/>
      <c r="H76" s="1"/>
      <c r="I76" s="6" t="s">
        <v>69</v>
      </c>
      <c r="J76" s="37">
        <f>J75</f>
        <v>0</v>
      </c>
      <c r="K76" s="7">
        <f>$D$27</f>
        <v>45</v>
      </c>
      <c r="L76" s="9">
        <f t="shared" si="11"/>
        <v>0</v>
      </c>
      <c r="M76" s="43"/>
      <c r="N76" s="1"/>
    </row>
    <row r="77" spans="2:14">
      <c r="B77" s="6" t="s">
        <v>253</v>
      </c>
      <c r="C77" s="37">
        <v>0</v>
      </c>
      <c r="D77" s="7">
        <f>$D$28</f>
        <v>14</v>
      </c>
      <c r="E77" s="9">
        <f t="shared" si="10"/>
        <v>0</v>
      </c>
      <c r="F77" s="43"/>
      <c r="G77" s="1"/>
      <c r="H77" s="1"/>
      <c r="I77" s="6" t="s">
        <v>253</v>
      </c>
      <c r="J77" s="37">
        <v>0</v>
      </c>
      <c r="K77" s="7">
        <f>$D$28</f>
        <v>14</v>
      </c>
      <c r="L77" s="9">
        <f t="shared" si="11"/>
        <v>0</v>
      </c>
      <c r="M77" s="43"/>
      <c r="N77" s="1"/>
    </row>
    <row r="78" spans="2:14">
      <c r="B78" s="6" t="s">
        <v>254</v>
      </c>
      <c r="C78" s="37"/>
      <c r="D78" s="7">
        <v>0.04</v>
      </c>
      <c r="E78" s="9">
        <f t="shared" si="10"/>
        <v>0</v>
      </c>
      <c r="F78" s="1"/>
      <c r="G78" s="1"/>
      <c r="H78" s="1"/>
      <c r="I78" s="6" t="s">
        <v>254</v>
      </c>
      <c r="J78" s="37"/>
      <c r="K78" s="7">
        <v>0.04</v>
      </c>
      <c r="L78" s="9">
        <f t="shared" si="11"/>
        <v>0</v>
      </c>
      <c r="M78" s="1"/>
      <c r="N78" s="1"/>
    </row>
    <row r="79" spans="2:14">
      <c r="B79" s="6" t="s">
        <v>28</v>
      </c>
      <c r="C79" s="37"/>
      <c r="D79" s="7"/>
      <c r="E79" s="9">
        <f t="shared" si="10"/>
        <v>0</v>
      </c>
      <c r="F79" s="1"/>
      <c r="G79" s="1"/>
      <c r="H79" s="1"/>
      <c r="I79" s="6" t="s">
        <v>28</v>
      </c>
      <c r="J79" s="37"/>
      <c r="K79" s="7"/>
      <c r="L79" s="9">
        <f t="shared" si="11"/>
        <v>0</v>
      </c>
      <c r="M79" s="1"/>
      <c r="N79" s="1"/>
    </row>
    <row r="80" spans="2:14">
      <c r="B80" s="10" t="s">
        <v>255</v>
      </c>
      <c r="C80" s="36"/>
      <c r="D80" s="13"/>
      <c r="E80" s="16">
        <f>SUM(E73:E79)</f>
        <v>0</v>
      </c>
      <c r="F80" s="1"/>
      <c r="G80" s="1"/>
      <c r="H80" s="1"/>
      <c r="I80" s="10" t="s">
        <v>255</v>
      </c>
      <c r="J80" s="36"/>
      <c r="K80" s="13"/>
      <c r="L80" s="16">
        <f>SUM(L73:L79)</f>
        <v>0</v>
      </c>
      <c r="M80" s="1"/>
      <c r="N80" s="1"/>
    </row>
    <row r="81" spans="2:39">
      <c r="B81" s="1"/>
      <c r="C81" s="32"/>
      <c r="D81" s="7"/>
      <c r="E81" s="7"/>
      <c r="F81" s="1"/>
      <c r="G81" s="1"/>
      <c r="H81" s="1"/>
      <c r="I81" s="1"/>
      <c r="J81" s="32"/>
      <c r="K81" s="7"/>
      <c r="L81" s="7"/>
      <c r="M81" s="1"/>
      <c r="N81" s="1"/>
    </row>
    <row r="82" spans="2:39">
      <c r="B82" s="1"/>
      <c r="C82" s="32"/>
      <c r="D82" s="7"/>
      <c r="E82" s="7"/>
      <c r="F82" s="1"/>
      <c r="G82" s="1"/>
      <c r="H82" s="1"/>
      <c r="I82" s="1"/>
      <c r="J82" s="32"/>
      <c r="K82" s="7"/>
      <c r="L82" s="7"/>
      <c r="M82" s="1"/>
      <c r="N82" s="1"/>
    </row>
    <row r="83" spans="2:39">
      <c r="B83" s="280" t="s">
        <v>9</v>
      </c>
      <c r="C83" s="281"/>
      <c r="D83" s="282"/>
      <c r="E83" s="283">
        <f>SUM(E62,E70,E80)</f>
        <v>2306</v>
      </c>
      <c r="F83" s="1"/>
      <c r="G83" s="1"/>
      <c r="H83" s="1"/>
      <c r="I83" s="280" t="s">
        <v>9</v>
      </c>
      <c r="J83" s="281"/>
      <c r="K83" s="282"/>
      <c r="L83" s="283">
        <f>SUM(L62,L70,L80)</f>
        <v>952</v>
      </c>
      <c r="M83" s="1"/>
      <c r="N83" s="1"/>
    </row>
    <row r="84" spans="2:39">
      <c r="B84" s="1"/>
      <c r="C84" s="32"/>
      <c r="D84" s="7"/>
      <c r="E84" s="7"/>
      <c r="F84" s="1"/>
      <c r="G84" s="1"/>
      <c r="H84" s="1"/>
      <c r="I84" s="1"/>
      <c r="J84" s="32"/>
      <c r="K84" s="7"/>
      <c r="L84" s="7"/>
      <c r="M84" s="1"/>
      <c r="N84" s="1"/>
    </row>
    <row r="85" spans="2:39">
      <c r="B85" s="5" t="s">
        <v>8</v>
      </c>
      <c r="C85" s="30" t="s">
        <v>7</v>
      </c>
      <c r="D85" s="14"/>
      <c r="E85" s="12"/>
      <c r="F85" s="1"/>
      <c r="G85" s="1"/>
      <c r="H85" s="1"/>
      <c r="I85" s="5" t="s">
        <v>8</v>
      </c>
      <c r="J85" s="30" t="s">
        <v>7</v>
      </c>
      <c r="K85" s="14"/>
      <c r="L85" s="12"/>
      <c r="M85" s="1"/>
      <c r="N85" s="1"/>
    </row>
    <row r="86" spans="2:39">
      <c r="B86" s="6" t="s">
        <v>15</v>
      </c>
      <c r="C86" s="208">
        <f>$C$37</f>
        <v>9.4750000000000001E-2</v>
      </c>
      <c r="D86" s="209"/>
      <c r="E86" s="9">
        <f>ROUNDUP(SUM(E62:E62)*C86,0)</f>
        <v>105</v>
      </c>
      <c r="F86" s="1"/>
      <c r="G86" s="1"/>
      <c r="H86" s="1"/>
      <c r="I86" s="6" t="s">
        <v>15</v>
      </c>
      <c r="J86" s="208">
        <f>$C$37</f>
        <v>9.4750000000000001E-2</v>
      </c>
      <c r="K86" s="209"/>
      <c r="L86" s="9">
        <f>ROUNDUP(SUM(L62:L62)*J86,0)</f>
        <v>53</v>
      </c>
      <c r="M86" s="1"/>
      <c r="N86" s="1"/>
      <c r="AM86" s="387"/>
    </row>
    <row r="87" spans="2:39">
      <c r="B87" s="6" t="s">
        <v>74</v>
      </c>
      <c r="C87" s="241">
        <v>0.08</v>
      </c>
      <c r="D87" s="209"/>
      <c r="E87" s="9">
        <f>ROUNDUP(SUM(E70)*C87,0)</f>
        <v>97</v>
      </c>
      <c r="F87" s="1"/>
      <c r="G87" s="1"/>
      <c r="H87" s="1"/>
      <c r="I87" s="6" t="s">
        <v>74</v>
      </c>
      <c r="J87" s="241">
        <v>0.08</v>
      </c>
      <c r="K87" s="209"/>
      <c r="L87" s="9">
        <f>ROUNDUP(SUM(L70)*J87,0)</f>
        <v>33</v>
      </c>
      <c r="M87" s="1"/>
      <c r="N87" s="1"/>
      <c r="AM87" s="388"/>
    </row>
    <row r="88" spans="2:39">
      <c r="B88" s="6" t="s">
        <v>256</v>
      </c>
      <c r="C88" s="122">
        <v>0</v>
      </c>
      <c r="D88" s="7"/>
      <c r="E88" s="9">
        <f>ROUNDUP(E62*C88,0)</f>
        <v>0</v>
      </c>
      <c r="F88" s="1"/>
      <c r="G88" s="1"/>
      <c r="H88" s="1"/>
      <c r="I88" s="6" t="s">
        <v>256</v>
      </c>
      <c r="J88" s="122">
        <v>0</v>
      </c>
      <c r="K88" s="7"/>
      <c r="L88" s="9">
        <f>ROUNDUP(L62*J88,0)</f>
        <v>0</v>
      </c>
      <c r="M88" s="1"/>
      <c r="N88" s="1"/>
      <c r="AM88" s="389"/>
    </row>
    <row r="89" spans="2:39">
      <c r="B89" s="6" t="s">
        <v>257</v>
      </c>
      <c r="C89" s="122">
        <v>0.15</v>
      </c>
      <c r="D89" s="7"/>
      <c r="E89" s="9">
        <f>ROUNDUP(E70*C89,0)</f>
        <v>181</v>
      </c>
      <c r="F89" s="1"/>
      <c r="G89" s="1"/>
      <c r="H89" s="1"/>
      <c r="I89" s="6" t="s">
        <v>257</v>
      </c>
      <c r="J89" s="122">
        <v>0.15</v>
      </c>
      <c r="K89" s="7"/>
      <c r="L89" s="9">
        <f>ROUNDUP(L70*J89,0)</f>
        <v>61</v>
      </c>
      <c r="M89" s="1"/>
      <c r="N89" s="1"/>
      <c r="AM89" s="390"/>
    </row>
    <row r="90" spans="2:39">
      <c r="B90" s="6" t="s">
        <v>258</v>
      </c>
      <c r="C90" s="122">
        <v>0.4</v>
      </c>
      <c r="D90" s="7"/>
      <c r="E90" s="9">
        <f>ROUNDUP(SUM(E83:E89)*C90,0)</f>
        <v>1076</v>
      </c>
      <c r="F90" s="1"/>
      <c r="G90" s="1"/>
      <c r="H90" s="1"/>
      <c r="I90" s="6" t="s">
        <v>258</v>
      </c>
      <c r="J90" s="122">
        <v>0.4</v>
      </c>
      <c r="K90" s="7"/>
      <c r="L90" s="9">
        <f>ROUNDUP(SUM(L83:L89)*J90,0)</f>
        <v>440</v>
      </c>
      <c r="M90" s="1"/>
      <c r="N90" s="1"/>
      <c r="AM90" s="391"/>
    </row>
    <row r="91" spans="2:39">
      <c r="B91" s="284" t="str">
        <f>$B$42</f>
        <v>Kansas Remodel Tax</v>
      </c>
      <c r="C91" s="241">
        <f>$C$42</f>
        <v>0</v>
      </c>
      <c r="D91" s="7"/>
      <c r="E91" s="9">
        <f>ROUNDUP(SUM(E70,E87:E90)*C91,0)</f>
        <v>0</v>
      </c>
      <c r="F91" s="1"/>
      <c r="G91" s="1"/>
      <c r="H91" s="1"/>
      <c r="I91" s="284" t="str">
        <f>$B$42</f>
        <v>Kansas Remodel Tax</v>
      </c>
      <c r="J91" s="241">
        <f>$C$42</f>
        <v>0</v>
      </c>
      <c r="K91" s="7"/>
      <c r="L91" s="9">
        <f>ROUNDUP(SUM(L70,L87:L90)*J91,0)</f>
        <v>0</v>
      </c>
      <c r="M91" s="1"/>
      <c r="N91" s="1"/>
      <c r="AM91" s="392"/>
    </row>
    <row r="92" spans="2:39">
      <c r="B92" s="403" t="s">
        <v>398</v>
      </c>
      <c r="C92" s="241">
        <f>$C$43</f>
        <v>0.05</v>
      </c>
      <c r="D92" s="7"/>
      <c r="E92" s="9">
        <f>ROUNDUP(C92*SUM(E83:E91),0)</f>
        <v>189</v>
      </c>
      <c r="F92" s="1"/>
      <c r="G92" s="1"/>
      <c r="H92" s="1"/>
      <c r="I92" s="403" t="s">
        <v>398</v>
      </c>
      <c r="J92" s="241">
        <f>$C$43</f>
        <v>0.05</v>
      </c>
      <c r="K92" s="7"/>
      <c r="L92" s="9">
        <f>ROUNDUP(J92*SUM(L83:L91),0)</f>
        <v>77</v>
      </c>
      <c r="M92" s="1"/>
      <c r="N92" s="1"/>
    </row>
    <row r="93" spans="2:39">
      <c r="B93" s="45" t="s">
        <v>20</v>
      </c>
      <c r="C93" s="46">
        <f>$C$44</f>
        <v>0</v>
      </c>
      <c r="D93" s="15"/>
      <c r="E93" s="210">
        <f>ROUNDUP(SUM(E83:E92)*C93,0)</f>
        <v>0</v>
      </c>
      <c r="F93" s="1"/>
      <c r="G93" s="1"/>
      <c r="H93" s="1"/>
      <c r="I93" s="45" t="s">
        <v>20</v>
      </c>
      <c r="J93" s="46">
        <f>$C$44</f>
        <v>0</v>
      </c>
      <c r="K93" s="15"/>
      <c r="L93" s="210">
        <f>ROUNDUP(SUM(L83:L92)*J93,0)</f>
        <v>0</v>
      </c>
      <c r="M93" s="1"/>
      <c r="N93" s="1"/>
    </row>
    <row r="94" spans="2:39">
      <c r="B94" s="1"/>
      <c r="C94" s="287" t="s">
        <v>269</v>
      </c>
      <c r="D94" s="288">
        <f>C56</f>
        <v>0</v>
      </c>
      <c r="E94" s="7"/>
      <c r="F94" s="1"/>
      <c r="G94" s="286" t="s">
        <v>70</v>
      </c>
      <c r="H94" s="32"/>
      <c r="I94" s="1"/>
      <c r="J94" s="287" t="s">
        <v>269</v>
      </c>
      <c r="K94" s="288">
        <f>J56</f>
        <v>0</v>
      </c>
      <c r="L94" s="7"/>
      <c r="M94" s="1"/>
      <c r="N94" s="286" t="s">
        <v>70</v>
      </c>
    </row>
    <row r="95" spans="2:39" ht="16.2" thickBot="1">
      <c r="B95" s="1"/>
      <c r="C95" s="1079" t="s">
        <v>262</v>
      </c>
      <c r="D95" s="1078">
        <f>C64</f>
        <v>5000</v>
      </c>
      <c r="E95" s="1077" t="s">
        <v>39</v>
      </c>
      <c r="F95" s="38" t="s">
        <v>18</v>
      </c>
      <c r="G95" s="131">
        <f>SUM(E88:E90)</f>
        <v>1257</v>
      </c>
      <c r="H95" s="7"/>
      <c r="I95" s="1"/>
      <c r="J95" s="1079" t="s">
        <v>262</v>
      </c>
      <c r="K95" s="1078">
        <f>J64</f>
        <v>1000</v>
      </c>
      <c r="L95" s="1077" t="s">
        <v>39</v>
      </c>
      <c r="M95" s="38" t="s">
        <v>18</v>
      </c>
      <c r="N95" s="131">
        <f>SUM(L88:L90)</f>
        <v>501</v>
      </c>
    </row>
    <row r="96" spans="2:39" ht="16.2" thickBot="1">
      <c r="B96" s="289" t="s">
        <v>6</v>
      </c>
      <c r="C96" s="290"/>
      <c r="D96" s="1080">
        <f>E96/C64</f>
        <v>0.79079999999999995</v>
      </c>
      <c r="E96" s="292">
        <f>SUM(E83:E93)</f>
        <v>3954</v>
      </c>
      <c r="F96" s="7">
        <f>E96-E86-E91</f>
        <v>3849</v>
      </c>
      <c r="G96" s="293">
        <f>G95/E96</f>
        <v>0.31790591805766311</v>
      </c>
      <c r="H96" s="294"/>
      <c r="I96" s="289" t="s">
        <v>6</v>
      </c>
      <c r="J96" s="290"/>
      <c r="K96" s="1080">
        <f>L96/J64</f>
        <v>1.6160000000000001</v>
      </c>
      <c r="L96" s="292">
        <f>SUM(L83:L93)</f>
        <v>1616</v>
      </c>
      <c r="M96" s="7">
        <f>L96-L86-L91</f>
        <v>1563</v>
      </c>
      <c r="N96" s="293">
        <f>N95/L96</f>
        <v>0.31002475247524752</v>
      </c>
    </row>
    <row r="97" spans="2:21" ht="16.2" thickBot="1">
      <c r="B97" s="1081" t="s">
        <v>270</v>
      </c>
      <c r="C97" s="1082" t="e">
        <f>E96/D94</f>
        <v>#DIV/0!</v>
      </c>
      <c r="D97" s="7">
        <f>E97/C64</f>
        <v>0.79079999999999995</v>
      </c>
      <c r="E97" s="7">
        <f>E96-E91</f>
        <v>3954</v>
      </c>
      <c r="F97" t="s">
        <v>263</v>
      </c>
      <c r="G97" s="295" t="str">
        <f>IF(G96&lt;=0.25,"OWNER APPROVAL REQUIRED","GP % Okay")</f>
        <v>GP % Okay</v>
      </c>
      <c r="H97" s="296"/>
      <c r="I97" s="1081" t="s">
        <v>270</v>
      </c>
      <c r="J97" s="1082" t="e">
        <f>L96/K94</f>
        <v>#DIV/0!</v>
      </c>
      <c r="K97" s="7">
        <f>L97/J64</f>
        <v>1.6160000000000001</v>
      </c>
      <c r="L97" s="7">
        <f>L96-L91</f>
        <v>1616</v>
      </c>
      <c r="M97" t="s">
        <v>263</v>
      </c>
      <c r="N97" s="295" t="str">
        <f>IF(N96&lt;=0.25,"OWNER APPROVAL REQUIRED","GP % Okay")</f>
        <v>GP % Okay</v>
      </c>
    </row>
    <row r="100" spans="2:21">
      <c r="B100" s="1907" t="s">
        <v>271</v>
      </c>
      <c r="C100" s="1908"/>
      <c r="D100" s="1908"/>
      <c r="E100" s="1909"/>
      <c r="F100" s="262">
        <f>E145</f>
        <v>5035</v>
      </c>
      <c r="G100" s="263" t="s">
        <v>2</v>
      </c>
      <c r="I100" s="1907" t="s">
        <v>272</v>
      </c>
      <c r="J100" s="1908"/>
      <c r="K100" s="1908"/>
      <c r="L100" s="1909"/>
      <c r="M100" s="262">
        <f>L145</f>
        <v>8900</v>
      </c>
      <c r="N100" s="263" t="s">
        <v>2</v>
      </c>
      <c r="P100" s="1907" t="s">
        <v>273</v>
      </c>
      <c r="Q100" s="1908"/>
      <c r="R100" s="1908"/>
      <c r="S100" s="1909"/>
      <c r="T100" s="262">
        <f>S145</f>
        <v>9904</v>
      </c>
      <c r="U100" s="263" t="s">
        <v>2</v>
      </c>
    </row>
    <row r="101" spans="2:21">
      <c r="B101" s="25" t="s">
        <v>14</v>
      </c>
      <c r="C101" s="90" t="s">
        <v>11</v>
      </c>
      <c r="D101" s="90" t="s">
        <v>1</v>
      </c>
      <c r="E101" s="91" t="s">
        <v>2</v>
      </c>
      <c r="F101" s="23"/>
      <c r="G101" s="89"/>
      <c r="H101" s="264"/>
      <c r="I101" s="25" t="s">
        <v>14</v>
      </c>
      <c r="J101" s="90" t="s">
        <v>11</v>
      </c>
      <c r="K101" s="90" t="s">
        <v>1</v>
      </c>
      <c r="L101" s="91" t="s">
        <v>2</v>
      </c>
      <c r="M101" s="23"/>
      <c r="N101" s="89"/>
      <c r="P101" s="25" t="s">
        <v>14</v>
      </c>
      <c r="Q101" s="90" t="s">
        <v>11</v>
      </c>
      <c r="R101" s="90" t="s">
        <v>1</v>
      </c>
      <c r="S101" s="91" t="s">
        <v>2</v>
      </c>
      <c r="T101" s="23"/>
      <c r="U101" s="89"/>
    </row>
    <row r="102" spans="2:21">
      <c r="B102" s="44"/>
      <c r="C102" s="265"/>
      <c r="D102" s="33"/>
      <c r="E102" s="34">
        <f t="shared" ref="E102:E103" si="12">C102*D102</f>
        <v>0</v>
      </c>
      <c r="F102" s="1"/>
      <c r="G102" s="1"/>
      <c r="H102" s="1"/>
      <c r="I102" s="44"/>
      <c r="J102" s="265"/>
      <c r="K102" s="33"/>
      <c r="L102" s="34">
        <f t="shared" ref="L102:L103" si="13">J102*K102</f>
        <v>0</v>
      </c>
      <c r="M102" s="1"/>
      <c r="N102" s="1"/>
      <c r="P102" s="44"/>
      <c r="Q102" s="265"/>
      <c r="R102" s="33"/>
      <c r="S102" s="34">
        <f t="shared" ref="S102:S103" si="14">Q102*R102</f>
        <v>0</v>
      </c>
      <c r="T102" s="1"/>
      <c r="U102" s="1"/>
    </row>
    <row r="103" spans="2:21">
      <c r="B103" s="44"/>
      <c r="C103" s="266"/>
      <c r="D103" s="33"/>
      <c r="E103" s="34">
        <f t="shared" si="12"/>
        <v>0</v>
      </c>
      <c r="F103" s="1"/>
      <c r="G103" s="1548">
        <f>Epoxy!U140</f>
        <v>0.06</v>
      </c>
      <c r="H103" s="1"/>
      <c r="I103" s="44"/>
      <c r="J103" s="266"/>
      <c r="K103" s="33"/>
      <c r="L103" s="34">
        <f t="shared" si="13"/>
        <v>0</v>
      </c>
      <c r="M103" s="1"/>
      <c r="N103" s="1"/>
      <c r="P103" s="44"/>
      <c r="Q103" s="266"/>
      <c r="R103" s="33"/>
      <c r="S103" s="34">
        <f t="shared" si="14"/>
        <v>0</v>
      </c>
      <c r="T103" s="1"/>
      <c r="U103" s="1"/>
    </row>
    <row r="104" spans="2:21">
      <c r="B104" s="25" t="s">
        <v>12</v>
      </c>
      <c r="C104" s="267"/>
      <c r="D104" s="23"/>
      <c r="E104" s="29"/>
      <c r="F104" s="268">
        <v>0</v>
      </c>
      <c r="G104" s="82" t="s">
        <v>27</v>
      </c>
      <c r="H104" s="1"/>
      <c r="I104" s="25" t="s">
        <v>12</v>
      </c>
      <c r="J104" s="267"/>
      <c r="K104" s="23"/>
      <c r="L104" s="29"/>
      <c r="M104" s="268">
        <v>0</v>
      </c>
      <c r="N104" s="82" t="s">
        <v>27</v>
      </c>
      <c r="P104" s="25" t="s">
        <v>12</v>
      </c>
      <c r="Q104" s="267"/>
      <c r="R104" s="23"/>
      <c r="S104" s="29"/>
      <c r="T104" s="268">
        <v>0</v>
      </c>
      <c r="U104" s="82" t="s">
        <v>27</v>
      </c>
    </row>
    <row r="105" spans="2:21">
      <c r="B105" s="47" t="s">
        <v>997</v>
      </c>
      <c r="C105" s="1514"/>
      <c r="D105" s="522">
        <f>SL+G105</f>
        <v>118.4126</v>
      </c>
      <c r="E105" s="9">
        <f>C105*D105</f>
        <v>0</v>
      </c>
      <c r="F105" s="74" t="s">
        <v>999</v>
      </c>
      <c r="G105" s="1545"/>
      <c r="H105" s="1"/>
      <c r="I105" s="47" t="s">
        <v>997</v>
      </c>
      <c r="J105" s="1514"/>
      <c r="K105" s="7">
        <f>D105</f>
        <v>118.4126</v>
      </c>
      <c r="L105" s="9">
        <f>J105*K105</f>
        <v>0</v>
      </c>
      <c r="M105" s="74" t="s">
        <v>999</v>
      </c>
      <c r="N105" s="1"/>
      <c r="P105" s="47" t="s">
        <v>997</v>
      </c>
      <c r="Q105" s="1514"/>
      <c r="R105" s="7">
        <f>D105</f>
        <v>118.4126</v>
      </c>
      <c r="S105" s="9">
        <f>Q105*R105</f>
        <v>0</v>
      </c>
      <c r="T105" s="74" t="s">
        <v>999</v>
      </c>
      <c r="U105" s="1"/>
    </row>
    <row r="106" spans="2:21">
      <c r="B106" s="47" t="s">
        <v>996</v>
      </c>
      <c r="C106" s="1514"/>
      <c r="D106" s="522">
        <f>AT_Clear_Satin_w_Grit+G106</f>
        <v>382.44800000000004</v>
      </c>
      <c r="E106" s="9">
        <f t="shared" ref="E106:E107" si="15">C106*D106</f>
        <v>0</v>
      </c>
      <c r="F106" s="74" t="s">
        <v>998</v>
      </c>
      <c r="G106" s="1545"/>
      <c r="H106" s="1"/>
      <c r="I106" s="47" t="s">
        <v>996</v>
      </c>
      <c r="J106" s="1514"/>
      <c r="K106" s="7">
        <f>D106</f>
        <v>382.44800000000004</v>
      </c>
      <c r="L106" s="9">
        <f t="shared" ref="L106:L107" si="16">J106*K106</f>
        <v>0</v>
      </c>
      <c r="M106" s="74" t="s">
        <v>998</v>
      </c>
      <c r="N106" s="1"/>
      <c r="P106" s="47" t="s">
        <v>996</v>
      </c>
      <c r="Q106" s="1514"/>
      <c r="R106" s="7">
        <f>D106</f>
        <v>382.44800000000004</v>
      </c>
      <c r="S106" s="9">
        <f t="shared" ref="S106:S107" si="17">Q106*R106</f>
        <v>0</v>
      </c>
      <c r="T106" s="74" t="s">
        <v>998</v>
      </c>
      <c r="U106" s="1"/>
    </row>
    <row r="107" spans="2:21">
      <c r="B107" s="47" t="s">
        <v>1244</v>
      </c>
      <c r="C107" s="1514"/>
      <c r="D107" s="522">
        <f>ColorFast+G107</f>
        <v>305.55559999999997</v>
      </c>
      <c r="E107" s="27">
        <f t="shared" si="15"/>
        <v>0</v>
      </c>
      <c r="F107" s="74" t="s">
        <v>1245</v>
      </c>
      <c r="G107" s="1544"/>
      <c r="H107" s="1"/>
      <c r="I107" s="47" t="s">
        <v>1244</v>
      </c>
      <c r="J107" s="1514"/>
      <c r="K107" s="522">
        <f>D107</f>
        <v>305.55559999999997</v>
      </c>
      <c r="L107" s="27">
        <f t="shared" si="16"/>
        <v>0</v>
      </c>
      <c r="M107" s="74" t="s">
        <v>1245</v>
      </c>
      <c r="N107" s="1"/>
      <c r="P107" s="47" t="s">
        <v>1244</v>
      </c>
      <c r="Q107" s="1514"/>
      <c r="R107" s="522">
        <f>D107</f>
        <v>305.55559999999997</v>
      </c>
      <c r="S107" s="27">
        <f t="shared" si="17"/>
        <v>0</v>
      </c>
      <c r="T107" s="74" t="s">
        <v>1245</v>
      </c>
      <c r="U107" s="1"/>
    </row>
    <row r="108" spans="2:21">
      <c r="B108" s="17" t="s">
        <v>10</v>
      </c>
      <c r="C108" s="35"/>
      <c r="D108" s="18"/>
      <c r="E108" s="19">
        <f>ROUNDUP(SUM(E102:E107),0)</f>
        <v>0</v>
      </c>
      <c r="F108" s="1"/>
      <c r="G108" s="1"/>
      <c r="H108" s="1"/>
      <c r="I108" s="17" t="s">
        <v>10</v>
      </c>
      <c r="J108" s="35"/>
      <c r="K108" s="18"/>
      <c r="L108" s="19">
        <f>ROUNDUP(SUM(L102:L107),0)</f>
        <v>0</v>
      </c>
      <c r="M108" s="1"/>
      <c r="N108" s="1"/>
      <c r="P108" s="17" t="s">
        <v>10</v>
      </c>
      <c r="Q108" s="35"/>
      <c r="R108" s="18"/>
      <c r="S108" s="19">
        <f>ROUNDUP(SUM(S102:S107),0)</f>
        <v>0</v>
      </c>
      <c r="T108" s="1"/>
      <c r="U108" s="1"/>
    </row>
    <row r="109" spans="2:21">
      <c r="B109" s="20" t="s">
        <v>251</v>
      </c>
      <c r="C109" s="270">
        <v>0</v>
      </c>
      <c r="D109" s="21"/>
      <c r="E109" s="22">
        <f>ROUNDUP(SUM(E105)*C109,0)</f>
        <v>0</v>
      </c>
      <c r="F109" s="1"/>
      <c r="G109" s="1"/>
      <c r="H109" s="1"/>
      <c r="I109" s="20" t="s">
        <v>251</v>
      </c>
      <c r="J109" s="270">
        <v>0</v>
      </c>
      <c r="K109" s="21"/>
      <c r="L109" s="22">
        <f>ROUNDUP(SUM(L105)*J109,0)</f>
        <v>0</v>
      </c>
      <c r="M109" s="1"/>
      <c r="N109" s="1"/>
      <c r="P109" s="20" t="s">
        <v>251</v>
      </c>
      <c r="Q109" s="270">
        <v>0</v>
      </c>
      <c r="R109" s="21"/>
      <c r="S109" s="22">
        <f>ROUNDUP(SUM(S105)*Q109,0)</f>
        <v>0</v>
      </c>
      <c r="T109" s="1"/>
      <c r="U109" s="1"/>
    </row>
    <row r="110" spans="2:21">
      <c r="B110" s="446" t="s">
        <v>427</v>
      </c>
      <c r="C110" s="40">
        <f>IF(E108&lt;=5000,0.1,IF(E108&lt;=10000,0.06,0.04))+$C$12</f>
        <v>0.2</v>
      </c>
      <c r="D110" s="41"/>
      <c r="E110" s="42">
        <f>ROUNDUP(E108*C110,0)</f>
        <v>0</v>
      </c>
      <c r="F110" s="454" t="str">
        <f>$F$12</f>
        <v>+3% + 7% material esc.</v>
      </c>
      <c r="I110" s="446" t="s">
        <v>427</v>
      </c>
      <c r="J110" s="40">
        <f>IF(L108&lt;=5000,0.1,IF(L108&lt;=10000,0.06,0.04))+$C$12</f>
        <v>0.2</v>
      </c>
      <c r="K110" s="41"/>
      <c r="L110" s="42">
        <f>ROUNDUP(L108*J110,0)</f>
        <v>0</v>
      </c>
      <c r="M110" s="454" t="str">
        <f>$F$12</f>
        <v>+3% + 7% material esc.</v>
      </c>
      <c r="P110" s="446" t="s">
        <v>427</v>
      </c>
      <c r="Q110" s="40">
        <f>IF(S108&lt;=5000,0.1,IF(S108&lt;=10000,0.06,0.04))+$C$12</f>
        <v>0.2</v>
      </c>
      <c r="R110" s="41"/>
      <c r="S110" s="42">
        <f>ROUNDUP(S108*Q110,0)</f>
        <v>0</v>
      </c>
      <c r="T110" s="454" t="str">
        <f>$F$12</f>
        <v>+3% + 7% material esc.</v>
      </c>
    </row>
    <row r="111" spans="2:21">
      <c r="B111" s="10" t="s">
        <v>3</v>
      </c>
      <c r="C111" s="36"/>
      <c r="D111" s="13"/>
      <c r="E111" s="13">
        <f>SUM(E108:E110)</f>
        <v>0</v>
      </c>
      <c r="F111" s="123" t="e">
        <f>E111/F104</f>
        <v>#DIV/0!</v>
      </c>
      <c r="G111" s="124" t="s">
        <v>80</v>
      </c>
      <c r="H111" s="1"/>
      <c r="I111" s="10" t="s">
        <v>3</v>
      </c>
      <c r="J111" s="36"/>
      <c r="K111" s="13"/>
      <c r="L111" s="13">
        <f>SUM(L108:L110)</f>
        <v>0</v>
      </c>
      <c r="M111" s="123" t="e">
        <f>L111/M104</f>
        <v>#DIV/0!</v>
      </c>
      <c r="N111" s="124" t="s">
        <v>80</v>
      </c>
      <c r="P111" s="10" t="s">
        <v>3</v>
      </c>
      <c r="Q111" s="36"/>
      <c r="R111" s="13"/>
      <c r="S111" s="13">
        <f>SUM(S108:S110)</f>
        <v>0</v>
      </c>
      <c r="T111" s="123" t="e">
        <f>S111/T104</f>
        <v>#DIV/0!</v>
      </c>
      <c r="U111" s="124" t="s">
        <v>80</v>
      </c>
    </row>
    <row r="112" spans="2:21">
      <c r="B112" s="1"/>
      <c r="C112" s="32"/>
      <c r="D112" s="7"/>
      <c r="E112" s="7"/>
      <c r="F112" s="1"/>
      <c r="I112" s="1"/>
      <c r="J112" s="32"/>
      <c r="K112" s="7"/>
      <c r="L112" s="7"/>
      <c r="M112" s="1"/>
      <c r="P112" s="1"/>
      <c r="Q112" s="32"/>
      <c r="R112" s="7"/>
      <c r="S112" s="7"/>
      <c r="T112" s="1"/>
    </row>
    <row r="113" spans="2:21">
      <c r="B113" s="75" t="s">
        <v>45</v>
      </c>
      <c r="C113" s="271">
        <f>F104</f>
        <v>0</v>
      </c>
      <c r="D113" s="75" t="s">
        <v>46</v>
      </c>
      <c r="E113" s="272">
        <v>0</v>
      </c>
      <c r="F113" s="1"/>
      <c r="G113" s="273" t="e">
        <f>E113/C113</f>
        <v>#DIV/0!</v>
      </c>
      <c r="I113" s="75" t="s">
        <v>45</v>
      </c>
      <c r="J113" s="271">
        <f>M104</f>
        <v>0</v>
      </c>
      <c r="K113" s="75" t="s">
        <v>46</v>
      </c>
      <c r="L113" s="272">
        <v>0</v>
      </c>
      <c r="M113" s="1"/>
      <c r="N113" s="273" t="e">
        <f>L113/J113</f>
        <v>#DIV/0!</v>
      </c>
      <c r="P113" s="75" t="s">
        <v>45</v>
      </c>
      <c r="Q113" s="271">
        <f>T104</f>
        <v>0</v>
      </c>
      <c r="R113" s="75" t="s">
        <v>46</v>
      </c>
      <c r="S113" s="272">
        <v>0</v>
      </c>
      <c r="T113" s="1"/>
      <c r="U113" s="273" t="e">
        <f>S113/Q113</f>
        <v>#DIV/0!</v>
      </c>
    </row>
    <row r="114" spans="2:21">
      <c r="B114" s="85" t="s">
        <v>52</v>
      </c>
      <c r="C114" s="68" t="s">
        <v>42</v>
      </c>
      <c r="D114" s="68" t="s">
        <v>47</v>
      </c>
      <c r="E114" s="87" t="s">
        <v>51</v>
      </c>
      <c r="F114" s="76" t="s">
        <v>59</v>
      </c>
      <c r="G114" s="156" t="s">
        <v>86</v>
      </c>
      <c r="H114" s="274"/>
      <c r="I114" s="85" t="s">
        <v>52</v>
      </c>
      <c r="J114" s="68" t="s">
        <v>42</v>
      </c>
      <c r="K114" s="68" t="s">
        <v>47</v>
      </c>
      <c r="L114" s="87" t="s">
        <v>51</v>
      </c>
      <c r="M114" s="76" t="s">
        <v>59</v>
      </c>
      <c r="N114" s="156" t="s">
        <v>86</v>
      </c>
      <c r="P114" s="85" t="s">
        <v>52</v>
      </c>
      <c r="Q114" s="68" t="s">
        <v>42</v>
      </c>
      <c r="R114" s="68" t="s">
        <v>47</v>
      </c>
      <c r="S114" s="87" t="s">
        <v>51</v>
      </c>
      <c r="T114" s="76" t="s">
        <v>59</v>
      </c>
      <c r="U114" s="156" t="s">
        <v>86</v>
      </c>
    </row>
    <row r="115" spans="2:21">
      <c r="B115" s="69">
        <v>3</v>
      </c>
      <c r="C115" s="1">
        <v>3</v>
      </c>
      <c r="D115" s="523">
        <f>$D$17</f>
        <v>33.5</v>
      </c>
      <c r="E115" s="70">
        <f>B115*C115*D115*8</f>
        <v>2412</v>
      </c>
      <c r="F115" s="76"/>
      <c r="G115" s="157">
        <f>F104/(E115/D115)</f>
        <v>0</v>
      </c>
      <c r="H115" s="154"/>
      <c r="I115" s="298">
        <v>3</v>
      </c>
      <c r="J115" s="1">
        <v>3</v>
      </c>
      <c r="K115" s="523">
        <f>$D$17</f>
        <v>33.5</v>
      </c>
      <c r="L115" s="70">
        <f>I115*J115*K115*8</f>
        <v>2412</v>
      </c>
      <c r="M115" s="76"/>
      <c r="N115" s="157">
        <f>M104/(L115/K115)</f>
        <v>0</v>
      </c>
      <c r="P115" s="298">
        <v>3</v>
      </c>
      <c r="Q115" s="1">
        <v>3</v>
      </c>
      <c r="R115" s="523">
        <f>$D$17</f>
        <v>33.5</v>
      </c>
      <c r="S115" s="70">
        <f>P115*Q115*R115*8</f>
        <v>2412</v>
      </c>
      <c r="T115" s="76"/>
      <c r="U115" s="157">
        <f>T104/(S115/R115)</f>
        <v>0</v>
      </c>
    </row>
    <row r="116" spans="2:21">
      <c r="B116" s="69"/>
      <c r="C116" s="1"/>
      <c r="D116" s="523">
        <f>$D$17</f>
        <v>33.5</v>
      </c>
      <c r="E116" s="70">
        <f>B116*C116*D116*8</f>
        <v>0</v>
      </c>
      <c r="F116" s="76"/>
      <c r="G116" s="275" t="e">
        <f>F106/(E116/D116)</f>
        <v>#VALUE!</v>
      </c>
      <c r="H116" s="154"/>
      <c r="I116" s="69"/>
      <c r="J116" s="1"/>
      <c r="K116" s="523">
        <f>$D$17</f>
        <v>33.5</v>
      </c>
      <c r="L116" s="70">
        <f>I116*J116*K116*8</f>
        <v>0</v>
      </c>
      <c r="M116" s="76"/>
      <c r="N116" s="275" t="e">
        <f>M106/(L116/K116)</f>
        <v>#VALUE!</v>
      </c>
      <c r="P116" s="69"/>
      <c r="Q116" s="1"/>
      <c r="R116" s="523">
        <f>$D$17</f>
        <v>33.5</v>
      </c>
      <c r="S116" s="70">
        <f>P116*Q116*R116*8</f>
        <v>0</v>
      </c>
      <c r="T116" s="76"/>
      <c r="U116" s="275" t="e">
        <f>T106/(S116/R116)</f>
        <v>#VALUE!</v>
      </c>
    </row>
    <row r="117" spans="2:21">
      <c r="B117" s="86" t="s">
        <v>53</v>
      </c>
      <c r="C117" s="67" t="s">
        <v>44</v>
      </c>
      <c r="D117" s="67" t="s">
        <v>43</v>
      </c>
      <c r="E117" s="71"/>
      <c r="F117" s="1356">
        <f>Epoxy!B52</f>
        <v>0</v>
      </c>
      <c r="G117" s="420" t="s">
        <v>412</v>
      </c>
      <c r="H117" s="388"/>
      <c r="I117" s="86" t="s">
        <v>53</v>
      </c>
      <c r="J117" s="67" t="s">
        <v>44</v>
      </c>
      <c r="K117" s="67" t="s">
        <v>43</v>
      </c>
      <c r="L117" s="71"/>
      <c r="M117" s="1"/>
      <c r="P117" s="86" t="s">
        <v>53</v>
      </c>
      <c r="Q117" s="67" t="s">
        <v>44</v>
      </c>
      <c r="R117" s="67" t="s">
        <v>43</v>
      </c>
      <c r="S117" s="71"/>
      <c r="T117" s="1"/>
    </row>
    <row r="118" spans="2:21">
      <c r="B118" s="69">
        <f>B115</f>
        <v>3</v>
      </c>
      <c r="C118" s="1">
        <f>8+F117</f>
        <v>8</v>
      </c>
      <c r="D118" s="523">
        <f>$D$20</f>
        <v>33.5</v>
      </c>
      <c r="E118" s="70">
        <f>B118*C118*D118</f>
        <v>804</v>
      </c>
      <c r="F118" s="76" t="s">
        <v>274</v>
      </c>
      <c r="I118" s="69">
        <f>I115</f>
        <v>3</v>
      </c>
      <c r="J118" s="1">
        <f>16</f>
        <v>16</v>
      </c>
      <c r="K118" s="523">
        <f>$D$20</f>
        <v>33.5</v>
      </c>
      <c r="L118" s="70">
        <f>I118*J118*K118</f>
        <v>1608</v>
      </c>
      <c r="M118" s="76" t="s">
        <v>274</v>
      </c>
      <c r="P118" s="69">
        <f>P115</f>
        <v>3</v>
      </c>
      <c r="Q118" s="1">
        <f>14+6</f>
        <v>20</v>
      </c>
      <c r="R118" s="523">
        <f>$D$20</f>
        <v>33.5</v>
      </c>
      <c r="S118" s="70">
        <f>P118*Q118*R118</f>
        <v>2010</v>
      </c>
      <c r="T118" s="76" t="s">
        <v>274</v>
      </c>
    </row>
    <row r="119" spans="2:21">
      <c r="B119" s="277" t="s">
        <v>4</v>
      </c>
      <c r="C119" s="278"/>
      <c r="D119" s="278"/>
      <c r="E119" s="279">
        <f>ROUNDUP(SUM(E115:E118),0)</f>
        <v>3216</v>
      </c>
      <c r="F119" s="123" t="e">
        <f>E119/C113</f>
        <v>#DIV/0!</v>
      </c>
      <c r="G119" s="124" t="s">
        <v>87</v>
      </c>
      <c r="H119" s="1"/>
      <c r="I119" s="277" t="s">
        <v>4</v>
      </c>
      <c r="J119" s="278"/>
      <c r="K119" s="278"/>
      <c r="L119" s="279">
        <f>ROUNDUP(SUM(L115:L118),0)</f>
        <v>4020</v>
      </c>
      <c r="M119" s="123" t="e">
        <f>L119/J113</f>
        <v>#DIV/0!</v>
      </c>
      <c r="N119" s="124" t="s">
        <v>87</v>
      </c>
      <c r="P119" s="277" t="s">
        <v>4</v>
      </c>
      <c r="Q119" s="278"/>
      <c r="R119" s="278"/>
      <c r="S119" s="279">
        <f>ROUNDUP(SUM(S115:S118),0)</f>
        <v>4422</v>
      </c>
      <c r="T119" s="123" t="e">
        <f>S119/Q113</f>
        <v>#DIV/0!</v>
      </c>
      <c r="U119" s="124" t="s">
        <v>87</v>
      </c>
    </row>
    <row r="120" spans="2:21">
      <c r="B120" s="1"/>
      <c r="C120" s="32"/>
      <c r="D120" s="7"/>
      <c r="E120" s="7"/>
      <c r="F120" s="7"/>
      <c r="G120" s="1"/>
      <c r="H120" s="1"/>
      <c r="I120" s="1"/>
      <c r="J120" s="32"/>
      <c r="K120" s="7"/>
      <c r="L120" s="7"/>
      <c r="M120" s="7"/>
      <c r="N120" s="1"/>
      <c r="P120" s="1"/>
      <c r="Q120" s="32"/>
      <c r="R120" s="7"/>
      <c r="S120" s="7"/>
      <c r="T120" s="7"/>
      <c r="U120" s="1"/>
    </row>
    <row r="121" spans="2:21">
      <c r="B121" s="5" t="s">
        <v>252</v>
      </c>
      <c r="C121" s="30" t="s">
        <v>11</v>
      </c>
      <c r="D121" s="11" t="s">
        <v>1</v>
      </c>
      <c r="E121" s="12" t="s">
        <v>2</v>
      </c>
      <c r="F121" s="1"/>
      <c r="G121" s="23" t="s">
        <v>275</v>
      </c>
      <c r="H121" s="1"/>
      <c r="I121" s="5" t="s">
        <v>252</v>
      </c>
      <c r="J121" s="30" t="s">
        <v>11</v>
      </c>
      <c r="K121" s="11" t="s">
        <v>1</v>
      </c>
      <c r="L121" s="12" t="s">
        <v>2</v>
      </c>
      <c r="M121" s="1"/>
      <c r="N121" s="23" t="s">
        <v>275</v>
      </c>
      <c r="P121" s="5" t="s">
        <v>252</v>
      </c>
      <c r="Q121" s="30" t="s">
        <v>11</v>
      </c>
      <c r="R121" s="11" t="s">
        <v>1</v>
      </c>
      <c r="S121" s="12" t="s">
        <v>2</v>
      </c>
      <c r="T121" s="1"/>
      <c r="U121" s="23" t="s">
        <v>275</v>
      </c>
    </row>
    <row r="122" spans="2:21">
      <c r="B122" s="6" t="s">
        <v>17</v>
      </c>
      <c r="C122" s="37"/>
      <c r="D122" s="7">
        <v>35</v>
      </c>
      <c r="E122" s="9">
        <f t="shared" ref="E122:E128" si="18">ROUNDUP(C122*D122,0)</f>
        <v>0</v>
      </c>
      <c r="F122" s="1"/>
      <c r="G122" s="299" t="s">
        <v>276</v>
      </c>
      <c r="H122" s="1"/>
      <c r="I122" s="6" t="s">
        <v>17</v>
      </c>
      <c r="J122" s="37"/>
      <c r="K122" s="7">
        <v>35</v>
      </c>
      <c r="L122" s="9">
        <f t="shared" ref="L122:L128" si="19">ROUNDUP(J122*K122,0)</f>
        <v>0</v>
      </c>
      <c r="M122" s="1"/>
      <c r="N122" s="299" t="s">
        <v>276</v>
      </c>
      <c r="P122" s="6" t="s">
        <v>17</v>
      </c>
      <c r="Q122" s="37"/>
      <c r="R122" s="7">
        <v>35</v>
      </c>
      <c r="S122" s="9">
        <f t="shared" ref="S122:S128" si="20">ROUNDUP(Q122*R122,0)</f>
        <v>0</v>
      </c>
      <c r="T122" s="1"/>
      <c r="U122" s="299" t="s">
        <v>276</v>
      </c>
    </row>
    <row r="123" spans="2:21">
      <c r="B123" s="6" t="s">
        <v>75</v>
      </c>
      <c r="C123" s="37"/>
      <c r="D123" s="7">
        <v>0.33</v>
      </c>
      <c r="E123" s="9">
        <f t="shared" si="18"/>
        <v>0</v>
      </c>
      <c r="F123" s="1"/>
      <c r="G123" s="299" t="s">
        <v>277</v>
      </c>
      <c r="H123" s="1"/>
      <c r="I123" s="6" t="s">
        <v>75</v>
      </c>
      <c r="J123" s="37"/>
      <c r="K123" s="7">
        <v>0.33</v>
      </c>
      <c r="L123" s="9">
        <f t="shared" si="19"/>
        <v>0</v>
      </c>
      <c r="M123" s="1"/>
      <c r="N123" s="299" t="s">
        <v>277</v>
      </c>
      <c r="P123" s="6" t="s">
        <v>75</v>
      </c>
      <c r="Q123" s="37"/>
      <c r="R123" s="7">
        <v>0.33</v>
      </c>
      <c r="S123" s="9">
        <f t="shared" si="20"/>
        <v>0</v>
      </c>
      <c r="T123" s="1"/>
      <c r="U123" s="299" t="s">
        <v>277</v>
      </c>
    </row>
    <row r="124" spans="2:21">
      <c r="B124" s="6" t="s">
        <v>68</v>
      </c>
      <c r="C124" s="37">
        <v>0</v>
      </c>
      <c r="D124" s="7">
        <f>$D$26</f>
        <v>70</v>
      </c>
      <c r="E124" s="9">
        <f t="shared" si="18"/>
        <v>0</v>
      </c>
      <c r="F124" s="1"/>
      <c r="G124" s="299" t="s">
        <v>278</v>
      </c>
      <c r="H124" s="1"/>
      <c r="I124" s="6" t="s">
        <v>68</v>
      </c>
      <c r="J124" s="37">
        <f>(L119/8)/K115</f>
        <v>15</v>
      </c>
      <c r="K124" s="7">
        <f>$D$26</f>
        <v>70</v>
      </c>
      <c r="L124" s="9">
        <f t="shared" si="19"/>
        <v>1050</v>
      </c>
      <c r="M124" s="1"/>
      <c r="N124" s="299" t="s">
        <v>278</v>
      </c>
      <c r="P124" s="6" t="s">
        <v>68</v>
      </c>
      <c r="Q124" s="37">
        <f>(S119/8)/R115</f>
        <v>16.5</v>
      </c>
      <c r="R124" s="7">
        <f>$D$26</f>
        <v>70</v>
      </c>
      <c r="S124" s="9">
        <f t="shared" si="20"/>
        <v>1155</v>
      </c>
      <c r="T124" s="1"/>
      <c r="U124" s="299" t="s">
        <v>278</v>
      </c>
    </row>
    <row r="125" spans="2:21">
      <c r="B125" s="6" t="s">
        <v>69</v>
      </c>
      <c r="C125" s="37">
        <f>C124</f>
        <v>0</v>
      </c>
      <c r="D125" s="7">
        <f>$D$27</f>
        <v>45</v>
      </c>
      <c r="E125" s="9">
        <f t="shared" si="18"/>
        <v>0</v>
      </c>
      <c r="F125" s="43"/>
      <c r="G125" s="1"/>
      <c r="H125" s="1"/>
      <c r="I125" s="6" t="s">
        <v>69</v>
      </c>
      <c r="J125" s="37">
        <f>J124</f>
        <v>15</v>
      </c>
      <c r="K125" s="7">
        <f>$D$27</f>
        <v>45</v>
      </c>
      <c r="L125" s="9">
        <f t="shared" si="19"/>
        <v>675</v>
      </c>
      <c r="M125" s="43"/>
      <c r="N125" s="1"/>
      <c r="P125" s="6" t="s">
        <v>69</v>
      </c>
      <c r="Q125" s="37">
        <f>Q124</f>
        <v>16.5</v>
      </c>
      <c r="R125" s="7">
        <f>$D$27</f>
        <v>45</v>
      </c>
      <c r="S125" s="9">
        <f t="shared" si="20"/>
        <v>743</v>
      </c>
      <c r="T125" s="43"/>
      <c r="U125" s="1"/>
    </row>
    <row r="126" spans="2:21">
      <c r="B126" s="6" t="s">
        <v>253</v>
      </c>
      <c r="C126" s="37">
        <f>(E119/8)/D115</f>
        <v>12</v>
      </c>
      <c r="D126" s="7">
        <f>$D$28</f>
        <v>14</v>
      </c>
      <c r="E126" s="9">
        <f t="shared" si="18"/>
        <v>168</v>
      </c>
      <c r="F126" s="43"/>
      <c r="G126" s="23"/>
      <c r="H126" s="1"/>
      <c r="I126" s="6" t="s">
        <v>253</v>
      </c>
      <c r="J126" s="37">
        <f>(L119/8)/K115</f>
        <v>15</v>
      </c>
      <c r="K126" s="7">
        <f>$D$28</f>
        <v>14</v>
      </c>
      <c r="L126" s="9">
        <f t="shared" si="19"/>
        <v>210</v>
      </c>
      <c r="M126" s="43"/>
      <c r="N126" s="1"/>
      <c r="P126" s="6" t="s">
        <v>253</v>
      </c>
      <c r="Q126" s="37">
        <f>(S119/8)/R115</f>
        <v>16.5</v>
      </c>
      <c r="R126" s="7">
        <f>$D$28</f>
        <v>14</v>
      </c>
      <c r="S126" s="9">
        <f t="shared" si="20"/>
        <v>231</v>
      </c>
      <c r="T126" s="43"/>
      <c r="U126" s="1"/>
    </row>
    <row r="127" spans="2:21">
      <c r="B127" s="6" t="s">
        <v>254</v>
      </c>
      <c r="C127" s="37"/>
      <c r="D127" s="7">
        <v>0.04</v>
      </c>
      <c r="E127" s="9">
        <f t="shared" si="18"/>
        <v>0</v>
      </c>
      <c r="F127" s="1"/>
      <c r="G127" s="43"/>
      <c r="H127" s="1"/>
      <c r="I127" s="6" t="s">
        <v>279</v>
      </c>
      <c r="J127" s="37">
        <v>240</v>
      </c>
      <c r="K127" s="7">
        <v>0.6</v>
      </c>
      <c r="L127" s="9">
        <f t="shared" si="19"/>
        <v>144</v>
      </c>
      <c r="M127" s="1"/>
      <c r="N127" s="1"/>
      <c r="P127" s="6" t="s">
        <v>279</v>
      </c>
      <c r="Q127" s="37">
        <v>400</v>
      </c>
      <c r="R127" s="7">
        <v>0.6</v>
      </c>
      <c r="S127" s="9">
        <f t="shared" si="20"/>
        <v>240</v>
      </c>
      <c r="T127" s="1"/>
      <c r="U127" s="1"/>
    </row>
    <row r="128" spans="2:21">
      <c r="B128" s="6" t="s">
        <v>28</v>
      </c>
      <c r="C128" s="37"/>
      <c r="D128" s="7"/>
      <c r="E128" s="9">
        <f t="shared" si="18"/>
        <v>0</v>
      </c>
      <c r="F128" s="1"/>
      <c r="G128" s="43"/>
      <c r="H128" s="1"/>
      <c r="I128" s="6" t="s">
        <v>28</v>
      </c>
      <c r="J128" s="37"/>
      <c r="K128" s="7"/>
      <c r="L128" s="9">
        <f t="shared" si="19"/>
        <v>0</v>
      </c>
      <c r="M128" s="1"/>
      <c r="N128" s="1"/>
      <c r="P128" s="6" t="s">
        <v>28</v>
      </c>
      <c r="Q128" s="37"/>
      <c r="R128" s="7"/>
      <c r="S128" s="9">
        <f t="shared" si="20"/>
        <v>0</v>
      </c>
      <c r="T128" s="1"/>
      <c r="U128" s="1"/>
    </row>
    <row r="129" spans="2:21">
      <c r="B129" s="10" t="s">
        <v>255</v>
      </c>
      <c r="C129" s="36"/>
      <c r="D129" s="13"/>
      <c r="E129" s="16">
        <f>SUM(E122:E128)</f>
        <v>168</v>
      </c>
      <c r="F129" s="1"/>
      <c r="G129" s="43"/>
      <c r="H129" s="1"/>
      <c r="I129" s="10" t="s">
        <v>255</v>
      </c>
      <c r="J129" s="36"/>
      <c r="K129" s="13"/>
      <c r="L129" s="16">
        <f>SUM(L122:L128)</f>
        <v>2079</v>
      </c>
      <c r="M129" s="1"/>
      <c r="N129" s="1"/>
      <c r="P129" s="10" t="s">
        <v>255</v>
      </c>
      <c r="Q129" s="36"/>
      <c r="R129" s="13"/>
      <c r="S129" s="16">
        <f>SUM(S122:S128)</f>
        <v>2369</v>
      </c>
      <c r="T129" s="1"/>
      <c r="U129" s="1"/>
    </row>
    <row r="130" spans="2:21">
      <c r="B130" s="1"/>
      <c r="C130" s="32"/>
      <c r="D130" s="7"/>
      <c r="E130" s="7"/>
      <c r="F130" s="1"/>
      <c r="G130" s="1"/>
      <c r="H130" s="1"/>
      <c r="I130" s="1"/>
      <c r="J130" s="32"/>
      <c r="K130" s="7"/>
      <c r="L130" s="7"/>
      <c r="M130" s="1"/>
      <c r="N130" s="1"/>
      <c r="P130" s="1"/>
      <c r="Q130" s="32"/>
      <c r="R130" s="7"/>
      <c r="S130" s="7"/>
      <c r="T130" s="1"/>
      <c r="U130" s="1"/>
    </row>
    <row r="131" spans="2:21">
      <c r="B131" s="1"/>
      <c r="C131" s="32"/>
      <c r="D131" s="7"/>
      <c r="E131" s="7"/>
      <c r="F131" s="1"/>
      <c r="G131" s="1"/>
      <c r="H131" s="1"/>
      <c r="I131" s="1"/>
      <c r="J131" s="32"/>
      <c r="K131" s="7"/>
      <c r="L131" s="7"/>
      <c r="M131" s="1"/>
      <c r="N131" s="1"/>
      <c r="P131" s="1"/>
      <c r="Q131" s="32"/>
      <c r="R131" s="7"/>
      <c r="S131" s="7"/>
      <c r="T131" s="1"/>
      <c r="U131" s="1"/>
    </row>
    <row r="132" spans="2:21">
      <c r="B132" s="280" t="s">
        <v>9</v>
      </c>
      <c r="C132" s="281"/>
      <c r="D132" s="282"/>
      <c r="E132" s="283">
        <f>SUM(E111,E119,E129)</f>
        <v>3384</v>
      </c>
      <c r="F132" s="1"/>
      <c r="G132" s="1"/>
      <c r="H132" s="1"/>
      <c r="I132" s="280" t="s">
        <v>9</v>
      </c>
      <c r="J132" s="281"/>
      <c r="K132" s="282"/>
      <c r="L132" s="283">
        <f>SUM(L111,L119,L129)</f>
        <v>6099</v>
      </c>
      <c r="M132" s="1"/>
      <c r="N132" s="1"/>
      <c r="P132" s="280" t="s">
        <v>9</v>
      </c>
      <c r="Q132" s="281"/>
      <c r="R132" s="282"/>
      <c r="S132" s="283">
        <f>SUM(S111,S119,S129)</f>
        <v>6791</v>
      </c>
      <c r="T132" s="1"/>
      <c r="U132" s="1"/>
    </row>
    <row r="133" spans="2:21">
      <c r="B133" s="1"/>
      <c r="C133" s="32"/>
      <c r="D133" s="7"/>
      <c r="E133" s="7"/>
      <c r="F133" s="1"/>
      <c r="G133" s="1"/>
      <c r="H133" s="1"/>
      <c r="I133" s="1"/>
      <c r="J133" s="32"/>
      <c r="K133" s="7"/>
      <c r="L133" s="7"/>
      <c r="M133" s="1"/>
      <c r="N133" s="1"/>
      <c r="P133" s="1"/>
      <c r="Q133" s="32"/>
      <c r="R133" s="7"/>
      <c r="S133" s="7"/>
      <c r="T133" s="1"/>
      <c r="U133" s="1"/>
    </row>
    <row r="134" spans="2:21">
      <c r="B134" s="5" t="s">
        <v>8</v>
      </c>
      <c r="C134" s="30" t="s">
        <v>7</v>
      </c>
      <c r="D134" s="14"/>
      <c r="E134" s="12"/>
      <c r="F134" s="1"/>
      <c r="G134" s="1"/>
      <c r="H134" s="1"/>
      <c r="I134" s="5" t="s">
        <v>8</v>
      </c>
      <c r="J134" s="30" t="s">
        <v>7</v>
      </c>
      <c r="K134" s="14"/>
      <c r="L134" s="12"/>
      <c r="M134" s="1"/>
      <c r="N134" s="1"/>
      <c r="P134" s="5" t="s">
        <v>8</v>
      </c>
      <c r="Q134" s="30" t="s">
        <v>7</v>
      </c>
      <c r="R134" s="14"/>
      <c r="S134" s="12"/>
      <c r="T134" s="1"/>
      <c r="U134" s="1"/>
    </row>
    <row r="135" spans="2:21">
      <c r="B135" s="6" t="s">
        <v>15</v>
      </c>
      <c r="C135" s="208">
        <f>$C$37</f>
        <v>9.4750000000000001E-2</v>
      </c>
      <c r="D135" s="209"/>
      <c r="E135" s="9">
        <f>ROUNDUP(SUM(E111:E111)*C135,0)</f>
        <v>0</v>
      </c>
      <c r="F135" s="1"/>
      <c r="G135" s="1"/>
      <c r="H135" s="1"/>
      <c r="I135" s="6" t="s">
        <v>15</v>
      </c>
      <c r="J135" s="208">
        <f>$C$37</f>
        <v>9.4750000000000001E-2</v>
      </c>
      <c r="K135" s="209"/>
      <c r="L135" s="9">
        <f>ROUNDUP(SUM(L111:L111)*J135,0)</f>
        <v>0</v>
      </c>
      <c r="M135" s="1"/>
      <c r="N135" s="1"/>
      <c r="P135" s="6" t="s">
        <v>15</v>
      </c>
      <c r="Q135" s="208">
        <f>$C$37</f>
        <v>9.4750000000000001E-2</v>
      </c>
      <c r="R135" s="209"/>
      <c r="S135" s="9">
        <f>ROUNDUP(SUM(S111:S111)*Q135,0)</f>
        <v>0</v>
      </c>
      <c r="T135" s="1"/>
      <c r="U135" s="1"/>
    </row>
    <row r="136" spans="2:21">
      <c r="B136" s="6" t="s">
        <v>74</v>
      </c>
      <c r="C136" s="241">
        <v>0.08</v>
      </c>
      <c r="D136" s="209"/>
      <c r="E136" s="9">
        <f>ROUNDUP(SUM(E119)*C136,0)</f>
        <v>258</v>
      </c>
      <c r="F136" s="1"/>
      <c r="G136" s="1"/>
      <c r="H136" s="1"/>
      <c r="I136" s="6" t="s">
        <v>74</v>
      </c>
      <c r="J136" s="241">
        <v>0.08</v>
      </c>
      <c r="K136" s="209"/>
      <c r="L136" s="9">
        <f>ROUNDUP(SUM(L119)*J136,0)</f>
        <v>322</v>
      </c>
      <c r="M136" s="1"/>
      <c r="N136" s="1"/>
      <c r="P136" s="6" t="s">
        <v>74</v>
      </c>
      <c r="Q136" s="241">
        <v>0.08</v>
      </c>
      <c r="R136" s="209"/>
      <c r="S136" s="9">
        <f>ROUNDUP(SUM(S119)*Q136,0)</f>
        <v>354</v>
      </c>
      <c r="T136" s="1"/>
      <c r="U136" s="1"/>
    </row>
    <row r="137" spans="2:21">
      <c r="B137" s="6" t="s">
        <v>256</v>
      </c>
      <c r="C137" s="122">
        <f>IF(E111&lt;=5000,0.1,0.05)</f>
        <v>0.1</v>
      </c>
      <c r="D137" s="7"/>
      <c r="E137" s="9">
        <f>ROUNDUP(E111*C137,0)</f>
        <v>0</v>
      </c>
      <c r="F137" s="1"/>
      <c r="G137" s="1"/>
      <c r="H137" s="1"/>
      <c r="I137" s="6" t="s">
        <v>256</v>
      </c>
      <c r="J137" s="122">
        <f>IF(L111&lt;=5000,0.1,0.05)</f>
        <v>0.1</v>
      </c>
      <c r="K137" s="7"/>
      <c r="L137" s="9">
        <f>ROUNDUP(L111*J137,0)</f>
        <v>0</v>
      </c>
      <c r="M137" s="1"/>
      <c r="N137" s="1"/>
      <c r="P137" s="6" t="s">
        <v>256</v>
      </c>
      <c r="Q137" s="122">
        <f>IF(S111&lt;=5000,0.1,0.05)</f>
        <v>0.1</v>
      </c>
      <c r="R137" s="7"/>
      <c r="S137" s="9">
        <f>ROUNDUP(S111*Q137,0)</f>
        <v>0</v>
      </c>
      <c r="T137" s="1"/>
      <c r="U137" s="1"/>
    </row>
    <row r="138" spans="2:21">
      <c r="B138" s="6" t="s">
        <v>257</v>
      </c>
      <c r="C138" s="122">
        <v>0</v>
      </c>
      <c r="D138" s="7"/>
      <c r="E138" s="9">
        <f>ROUNDUP(E119*C138,0)</f>
        <v>0</v>
      </c>
      <c r="F138" s="1"/>
      <c r="G138" s="1"/>
      <c r="H138" s="1"/>
      <c r="I138" s="6" t="s">
        <v>257</v>
      </c>
      <c r="J138" s="122">
        <v>0</v>
      </c>
      <c r="K138" s="7"/>
      <c r="L138" s="9">
        <f>ROUNDUP(L119*J138,0)</f>
        <v>0</v>
      </c>
      <c r="M138" s="1"/>
      <c r="N138" s="1"/>
      <c r="P138" s="6" t="s">
        <v>257</v>
      </c>
      <c r="Q138" s="122">
        <v>0</v>
      </c>
      <c r="R138" s="7"/>
      <c r="S138" s="9">
        <f>ROUNDUP(S119*Q138,0)</f>
        <v>0</v>
      </c>
      <c r="T138" s="1"/>
      <c r="U138" s="1"/>
    </row>
    <row r="139" spans="2:21">
      <c r="B139" s="6" t="s">
        <v>258</v>
      </c>
      <c r="C139" s="122">
        <v>0.32</v>
      </c>
      <c r="D139" s="7"/>
      <c r="E139" s="9">
        <f>ROUNDUP(SUM(E132:E138)*C139,0)</f>
        <v>1166</v>
      </c>
      <c r="F139" s="1"/>
      <c r="G139" s="1"/>
      <c r="H139" s="1"/>
      <c r="I139" s="6" t="s">
        <v>258</v>
      </c>
      <c r="J139" s="122">
        <v>0.32</v>
      </c>
      <c r="K139" s="7"/>
      <c r="L139" s="9">
        <f>ROUNDUP(SUM(L132:L138)*J139,0)</f>
        <v>2055</v>
      </c>
      <c r="M139" s="1"/>
      <c r="N139" s="1"/>
      <c r="P139" s="6" t="s">
        <v>258</v>
      </c>
      <c r="Q139" s="122">
        <v>0.32</v>
      </c>
      <c r="R139" s="7"/>
      <c r="S139" s="9">
        <f>ROUNDUP(SUM(S132:S138)*Q139,0)</f>
        <v>2287</v>
      </c>
      <c r="T139" s="1"/>
      <c r="U139" s="1"/>
    </row>
    <row r="140" spans="2:21">
      <c r="B140" s="284" t="str">
        <f>$B$42</f>
        <v>Kansas Remodel Tax</v>
      </c>
      <c r="C140" s="241">
        <f>$C$42</f>
        <v>0</v>
      </c>
      <c r="D140" s="7"/>
      <c r="E140" s="9">
        <f>ROUNDUP(SUM(E119,E136:E139)*C140,0)</f>
        <v>0</v>
      </c>
      <c r="F140" s="1"/>
      <c r="G140" s="1"/>
      <c r="H140" s="1"/>
      <c r="I140" s="284" t="str">
        <f>$B$42</f>
        <v>Kansas Remodel Tax</v>
      </c>
      <c r="J140" s="241">
        <f>$C$42</f>
        <v>0</v>
      </c>
      <c r="K140" s="7"/>
      <c r="L140" s="9">
        <f>ROUNDUP(SUM(L119,L136:L139)*J140,0)</f>
        <v>0</v>
      </c>
      <c r="M140" s="1"/>
      <c r="N140" s="1"/>
      <c r="P140" s="284" t="str">
        <f>$B$42</f>
        <v>Kansas Remodel Tax</v>
      </c>
      <c r="Q140" s="241">
        <f>$C$42</f>
        <v>0</v>
      </c>
      <c r="R140" s="7"/>
      <c r="S140" s="9">
        <f>ROUNDUP(SUM(S119,S136:S139)*Q140,0)</f>
        <v>0</v>
      </c>
      <c r="T140" s="1"/>
      <c r="U140" s="1"/>
    </row>
    <row r="141" spans="2:21">
      <c r="B141" s="403" t="s">
        <v>398</v>
      </c>
      <c r="C141" s="241">
        <f>$C$43</f>
        <v>0.05</v>
      </c>
      <c r="D141" s="7"/>
      <c r="E141" s="9">
        <f>ROUNDUP(C141*SUM(E132:E140),0)</f>
        <v>241</v>
      </c>
      <c r="F141" s="1"/>
      <c r="G141" s="1"/>
      <c r="H141" s="1"/>
      <c r="I141" s="403" t="s">
        <v>398</v>
      </c>
      <c r="J141" s="241">
        <f>$C$43</f>
        <v>0.05</v>
      </c>
      <c r="K141" s="7"/>
      <c r="L141" s="9">
        <f>ROUNDUP(J141*SUM(L132:L140),0)</f>
        <v>424</v>
      </c>
      <c r="M141" s="1"/>
      <c r="N141" s="1"/>
      <c r="P141" s="403" t="s">
        <v>398</v>
      </c>
      <c r="Q141" s="241">
        <f>$C$43</f>
        <v>0.05</v>
      </c>
      <c r="R141" s="7"/>
      <c r="S141" s="9">
        <f>ROUNDUP(Q141*SUM(S132:S140),0)</f>
        <v>472</v>
      </c>
      <c r="T141" s="1"/>
      <c r="U141" s="1"/>
    </row>
    <row r="142" spans="2:21">
      <c r="B142" s="45" t="s">
        <v>20</v>
      </c>
      <c r="C142" s="46">
        <f>$C$44</f>
        <v>0</v>
      </c>
      <c r="D142" s="15"/>
      <c r="E142" s="210">
        <v>-14</v>
      </c>
      <c r="F142" s="1"/>
      <c r="G142" s="1"/>
      <c r="H142" s="1"/>
      <c r="I142" s="45" t="s">
        <v>20</v>
      </c>
      <c r="J142" s="46">
        <f>$C$44</f>
        <v>0</v>
      </c>
      <c r="K142" s="15"/>
      <c r="L142" s="210">
        <f>ROUNDUP(SUM(L132:L141)*J142,0)</f>
        <v>0</v>
      </c>
      <c r="M142" s="1"/>
      <c r="N142" s="1"/>
      <c r="P142" s="45" t="s">
        <v>20</v>
      </c>
      <c r="Q142" s="46">
        <f>$C$44</f>
        <v>0</v>
      </c>
      <c r="R142" s="15"/>
      <c r="S142" s="210">
        <f>ROUNDUP(SUM(S132:S141)*Q142,0)</f>
        <v>0</v>
      </c>
      <c r="T142" s="1"/>
      <c r="U142" s="1"/>
    </row>
    <row r="143" spans="2:21">
      <c r="B143" s="1"/>
      <c r="C143" s="8"/>
      <c r="D143" s="7"/>
      <c r="E143" s="1076" t="s">
        <v>666</v>
      </c>
      <c r="F143" s="1"/>
      <c r="G143" s="286" t="s">
        <v>70</v>
      </c>
      <c r="H143" s="32"/>
      <c r="I143" s="1"/>
      <c r="J143" s="8"/>
      <c r="K143" s="7"/>
      <c r="L143" s="1076" t="s">
        <v>666</v>
      </c>
      <c r="M143" s="1"/>
      <c r="N143" s="286" t="s">
        <v>70</v>
      </c>
      <c r="P143" s="1"/>
      <c r="Q143" s="8"/>
      <c r="R143" s="7"/>
      <c r="S143" s="1076" t="s">
        <v>666</v>
      </c>
      <c r="T143" s="1"/>
      <c r="U143" s="286" t="s">
        <v>70</v>
      </c>
    </row>
    <row r="144" spans="2:21" ht="16.2" thickBot="1">
      <c r="B144" s="1"/>
      <c r="C144" s="287" t="s">
        <v>262</v>
      </c>
      <c r="D144" s="288">
        <f>C113</f>
        <v>0</v>
      </c>
      <c r="E144" s="1073" t="s">
        <v>664</v>
      </c>
      <c r="F144" s="38" t="s">
        <v>18</v>
      </c>
      <c r="G144" s="131">
        <f>SUM(E137:E139)</f>
        <v>1166</v>
      </c>
      <c r="H144" s="7"/>
      <c r="I144" s="1"/>
      <c r="J144" s="287" t="s">
        <v>262</v>
      </c>
      <c r="K144" s="288">
        <f>J113</f>
        <v>0</v>
      </c>
      <c r="L144" s="1073" t="s">
        <v>667</v>
      </c>
      <c r="M144" s="38" t="s">
        <v>18</v>
      </c>
      <c r="N144" s="131">
        <f>SUM(L137:L139)</f>
        <v>2055</v>
      </c>
      <c r="P144" s="1"/>
      <c r="Q144" s="287" t="s">
        <v>262</v>
      </c>
      <c r="R144" s="288">
        <f>Q113</f>
        <v>0</v>
      </c>
      <c r="S144" s="1073" t="s">
        <v>668</v>
      </c>
      <c r="T144" s="38" t="s">
        <v>18</v>
      </c>
      <c r="U144" s="131">
        <f>SUM(S137:S139)</f>
        <v>2287</v>
      </c>
    </row>
    <row r="145" spans="1:21" ht="16.2" thickBot="1">
      <c r="B145" s="289" t="s">
        <v>6</v>
      </c>
      <c r="C145" s="290"/>
      <c r="D145" s="291" t="e">
        <f>E145/C113</f>
        <v>#DIV/0!</v>
      </c>
      <c r="E145" s="292">
        <f>SUM(E132:E142)</f>
        <v>5035</v>
      </c>
      <c r="F145" s="7">
        <f>E145-E135-E140</f>
        <v>5035</v>
      </c>
      <c r="G145" s="293">
        <f>G144/E145</f>
        <v>0.23157894736842105</v>
      </c>
      <c r="H145" s="294"/>
      <c r="I145" s="289" t="s">
        <v>6</v>
      </c>
      <c r="J145" s="290"/>
      <c r="K145" s="291" t="e">
        <f>L145/J113</f>
        <v>#DIV/0!</v>
      </c>
      <c r="L145" s="292">
        <f>SUM(L132:L142)</f>
        <v>8900</v>
      </c>
      <c r="M145" s="7">
        <f>L145-L135-L140</f>
        <v>8900</v>
      </c>
      <c r="N145" s="293">
        <f>N144/L145</f>
        <v>0.23089887640449439</v>
      </c>
      <c r="P145" s="289" t="s">
        <v>6</v>
      </c>
      <c r="Q145" s="290"/>
      <c r="R145" s="291" t="e">
        <f>S145/Q113</f>
        <v>#DIV/0!</v>
      </c>
      <c r="S145" s="292">
        <f>SUM(S132:S142)</f>
        <v>9904</v>
      </c>
      <c r="T145" s="7">
        <f>S145-S135-S140</f>
        <v>9904</v>
      </c>
      <c r="U145" s="293">
        <f>U144/S145</f>
        <v>0.2309168012924071</v>
      </c>
    </row>
    <row r="146" spans="1:21">
      <c r="B146" s="1"/>
      <c r="C146" s="1" t="s">
        <v>5</v>
      </c>
      <c r="D146" s="7" t="e">
        <f>E146/C113</f>
        <v>#DIV/0!</v>
      </c>
      <c r="E146" s="7">
        <f>E145-E140</f>
        <v>5035</v>
      </c>
      <c r="F146" t="s">
        <v>263</v>
      </c>
      <c r="G146" s="295" t="str">
        <f>IF(G145&lt;=0.23,"OWNER APPROVAL REQUIRED","GP % Okay")</f>
        <v>GP % Okay</v>
      </c>
      <c r="H146" s="296"/>
      <c r="I146" s="1"/>
      <c r="J146" s="1" t="s">
        <v>5</v>
      </c>
      <c r="K146" s="7" t="e">
        <f>L146/J113</f>
        <v>#DIV/0!</v>
      </c>
      <c r="L146" s="7">
        <f>L145-L140</f>
        <v>8900</v>
      </c>
      <c r="M146" t="s">
        <v>263</v>
      </c>
      <c r="N146" s="295" t="str">
        <f>IF(N145&lt;=0.23,"OWNER APPROVAL REQUIRED","GP % Okay")</f>
        <v>GP % Okay</v>
      </c>
      <c r="P146" s="1"/>
      <c r="Q146" s="1" t="s">
        <v>5</v>
      </c>
      <c r="R146" s="7" t="e">
        <f>S146/Q113</f>
        <v>#DIV/0!</v>
      </c>
      <c r="S146" s="7">
        <f>S145-S140</f>
        <v>9904</v>
      </c>
      <c r="T146" t="s">
        <v>263</v>
      </c>
      <c r="U146" s="295" t="str">
        <f>IF(U145&lt;=0.23,"OWNER APPROVAL REQUIRED","GP % Okay")</f>
        <v>GP % Okay</v>
      </c>
    </row>
    <row r="147" spans="1:21">
      <c r="A147" s="458"/>
    </row>
    <row r="149" spans="1:21">
      <c r="B149" s="1910" t="s">
        <v>280</v>
      </c>
      <c r="C149" s="1911"/>
      <c r="D149" s="1911"/>
      <c r="E149" s="1912"/>
      <c r="F149" s="262">
        <f>E194</f>
        <v>2302</v>
      </c>
      <c r="G149" s="263" t="s">
        <v>2</v>
      </c>
      <c r="I149" s="1910" t="s">
        <v>281</v>
      </c>
      <c r="J149" s="1911"/>
      <c r="K149" s="1911"/>
      <c r="L149" s="1912"/>
      <c r="M149" s="262">
        <f>L194</f>
        <v>5748</v>
      </c>
      <c r="N149" s="263" t="s">
        <v>2</v>
      </c>
      <c r="P149" s="1910" t="s">
        <v>282</v>
      </c>
      <c r="Q149" s="1911"/>
      <c r="R149" s="1911"/>
      <c r="S149" s="1912"/>
      <c r="T149" s="262">
        <f>S194</f>
        <v>7736</v>
      </c>
      <c r="U149" s="263" t="s">
        <v>2</v>
      </c>
    </row>
    <row r="150" spans="1:21">
      <c r="B150" s="25" t="s">
        <v>14</v>
      </c>
      <c r="C150" s="90" t="s">
        <v>11</v>
      </c>
      <c r="D150" s="90" t="s">
        <v>1</v>
      </c>
      <c r="E150" s="91" t="s">
        <v>2</v>
      </c>
      <c r="F150" s="23"/>
      <c r="G150" s="89"/>
      <c r="H150" s="264"/>
      <c r="I150" s="25" t="s">
        <v>14</v>
      </c>
      <c r="J150" s="90" t="s">
        <v>11</v>
      </c>
      <c r="K150" s="90" t="s">
        <v>1</v>
      </c>
      <c r="L150" s="91" t="s">
        <v>2</v>
      </c>
      <c r="M150" s="23"/>
      <c r="N150" s="89"/>
      <c r="P150" s="25" t="s">
        <v>14</v>
      </c>
      <c r="Q150" s="90" t="s">
        <v>11</v>
      </c>
      <c r="R150" s="90" t="s">
        <v>1</v>
      </c>
      <c r="S150" s="91" t="s">
        <v>2</v>
      </c>
      <c r="T150" s="23"/>
      <c r="U150" s="89"/>
    </row>
    <row r="151" spans="1:21">
      <c r="B151" s="44"/>
      <c r="C151" s="265"/>
      <c r="D151" s="33"/>
      <c r="E151" s="34">
        <f t="shared" ref="E151:E152" si="21">C151*D151</f>
        <v>0</v>
      </c>
      <c r="F151" s="1"/>
      <c r="G151" s="1"/>
      <c r="H151" s="1"/>
      <c r="I151" s="44"/>
      <c r="J151" s="265"/>
      <c r="K151" s="33"/>
      <c r="L151" s="34">
        <f t="shared" ref="L151:L152" si="22">J151*K151</f>
        <v>0</v>
      </c>
      <c r="M151" s="1"/>
      <c r="N151" s="1"/>
      <c r="P151" s="44"/>
      <c r="Q151" s="265"/>
      <c r="R151" s="33"/>
      <c r="S151" s="34">
        <f t="shared" ref="S151:S152" si="23">Q151*R151</f>
        <v>0</v>
      </c>
      <c r="T151" s="1"/>
      <c r="U151" s="1"/>
    </row>
    <row r="152" spans="1:21">
      <c r="B152" s="44"/>
      <c r="C152" s="266"/>
      <c r="D152" s="33"/>
      <c r="E152" s="34">
        <f t="shared" si="21"/>
        <v>0</v>
      </c>
      <c r="F152" s="1"/>
      <c r="G152" s="1"/>
      <c r="H152" s="1"/>
      <c r="I152" s="44"/>
      <c r="J152" s="266"/>
      <c r="K152" s="33"/>
      <c r="L152" s="34">
        <f t="shared" si="22"/>
        <v>0</v>
      </c>
      <c r="M152" s="1"/>
      <c r="N152" s="1"/>
      <c r="P152" s="44"/>
      <c r="Q152" s="266"/>
      <c r="R152" s="33"/>
      <c r="S152" s="34">
        <f t="shared" si="23"/>
        <v>0</v>
      </c>
      <c r="T152" s="1"/>
      <c r="U152" s="1"/>
    </row>
    <row r="153" spans="1:21">
      <c r="B153" s="25" t="s">
        <v>12</v>
      </c>
      <c r="C153" s="267"/>
      <c r="D153" s="23"/>
      <c r="E153" s="29"/>
      <c r="F153" s="268">
        <v>0</v>
      </c>
      <c r="G153" s="82" t="s">
        <v>27</v>
      </c>
      <c r="H153" s="1"/>
      <c r="I153" s="25" t="s">
        <v>12</v>
      </c>
      <c r="J153" s="267"/>
      <c r="K153" s="23"/>
      <c r="L153" s="29"/>
      <c r="M153" s="268">
        <v>0</v>
      </c>
      <c r="N153" s="82" t="s">
        <v>27</v>
      </c>
      <c r="P153" s="25" t="s">
        <v>12</v>
      </c>
      <c r="Q153" s="267"/>
      <c r="R153" s="23"/>
      <c r="S153" s="29"/>
      <c r="T153" s="268">
        <v>0</v>
      </c>
      <c r="U153" s="82" t="s">
        <v>27</v>
      </c>
    </row>
    <row r="154" spans="1:21">
      <c r="B154" s="47"/>
      <c r="C154" s="266"/>
      <c r="D154" s="7"/>
      <c r="E154" s="9">
        <f>C154*D154</f>
        <v>0</v>
      </c>
      <c r="F154" s="1"/>
      <c r="G154" s="1"/>
      <c r="H154" s="1"/>
      <c r="I154" s="47"/>
      <c r="J154" s="266"/>
      <c r="K154" s="7"/>
      <c r="L154" s="9">
        <f>J154*K154</f>
        <v>0</v>
      </c>
      <c r="M154" s="1"/>
      <c r="N154" s="1"/>
      <c r="P154" s="47"/>
      <c r="Q154" s="266"/>
      <c r="R154" s="7"/>
      <c r="S154" s="9">
        <f>Q154*R154</f>
        <v>0</v>
      </c>
      <c r="T154" s="1"/>
      <c r="U154" s="1"/>
    </row>
    <row r="155" spans="1:21">
      <c r="B155" s="47"/>
      <c r="C155" s="266"/>
      <c r="D155" s="7"/>
      <c r="E155" s="9">
        <f t="shared" ref="E155:E156" si="24">C155*D155</f>
        <v>0</v>
      </c>
      <c r="F155" s="1"/>
      <c r="G155" s="1"/>
      <c r="H155" s="1"/>
      <c r="I155" s="47"/>
      <c r="J155" s="266"/>
      <c r="K155" s="7"/>
      <c r="L155" s="9">
        <f t="shared" ref="L155:L156" si="25">J155*K155</f>
        <v>0</v>
      </c>
      <c r="M155" s="1"/>
      <c r="N155" s="1"/>
      <c r="P155" s="47"/>
      <c r="Q155" s="266"/>
      <c r="R155" s="7"/>
      <c r="S155" s="9">
        <f t="shared" ref="S155:S156" si="26">Q155*R155</f>
        <v>0</v>
      </c>
      <c r="T155" s="1"/>
      <c r="U155" s="1"/>
    </row>
    <row r="156" spans="1:21">
      <c r="B156" s="48"/>
      <c r="C156" s="269"/>
      <c r="D156" s="26"/>
      <c r="E156" s="27">
        <f t="shared" si="24"/>
        <v>0</v>
      </c>
      <c r="F156" s="1"/>
      <c r="G156" s="1"/>
      <c r="H156" s="1"/>
      <c r="I156" s="48"/>
      <c r="J156" s="269"/>
      <c r="K156" s="26"/>
      <c r="L156" s="27">
        <f t="shared" si="25"/>
        <v>0</v>
      </c>
      <c r="M156" s="1"/>
      <c r="N156" s="1"/>
      <c r="P156" s="48"/>
      <c r="Q156" s="269"/>
      <c r="R156" s="26"/>
      <c r="S156" s="27">
        <f t="shared" si="26"/>
        <v>0</v>
      </c>
      <c r="T156" s="1"/>
      <c r="U156" s="1"/>
    </row>
    <row r="157" spans="1:21">
      <c r="B157" s="17" t="s">
        <v>10</v>
      </c>
      <c r="C157" s="35"/>
      <c r="D157" s="18"/>
      <c r="E157" s="19">
        <f>ROUNDUP(SUM(E151:E156),0)</f>
        <v>0</v>
      </c>
      <c r="F157" s="1"/>
      <c r="G157" s="1"/>
      <c r="H157" s="1"/>
      <c r="I157" s="17" t="s">
        <v>10</v>
      </c>
      <c r="J157" s="35"/>
      <c r="K157" s="18"/>
      <c r="L157" s="19">
        <f>ROUNDUP(SUM(L151:L156),0)</f>
        <v>0</v>
      </c>
      <c r="M157" s="1"/>
      <c r="N157" s="1"/>
      <c r="P157" s="17" t="s">
        <v>10</v>
      </c>
      <c r="Q157" s="35"/>
      <c r="R157" s="18"/>
      <c r="S157" s="19">
        <f>ROUNDUP(SUM(S151:S156),0)</f>
        <v>0</v>
      </c>
      <c r="T157" s="1"/>
      <c r="U157" s="1"/>
    </row>
    <row r="158" spans="1:21">
      <c r="B158" s="20" t="s">
        <v>251</v>
      </c>
      <c r="C158" s="270">
        <v>0</v>
      </c>
      <c r="D158" s="21"/>
      <c r="E158" s="22">
        <f>ROUNDUP(SUM(E154)*C158,0)</f>
        <v>0</v>
      </c>
      <c r="F158" s="1"/>
      <c r="G158" s="1"/>
      <c r="H158" s="1"/>
      <c r="I158" s="20" t="s">
        <v>251</v>
      </c>
      <c r="J158" s="270">
        <v>0</v>
      </c>
      <c r="K158" s="21"/>
      <c r="L158" s="22">
        <f>ROUNDUP(SUM(L154)*J158,0)</f>
        <v>0</v>
      </c>
      <c r="M158" s="1"/>
      <c r="N158" s="1"/>
      <c r="P158" s="20" t="s">
        <v>251</v>
      </c>
      <c r="Q158" s="270">
        <v>0</v>
      </c>
      <c r="R158" s="21"/>
      <c r="S158" s="22">
        <f>ROUNDUP(SUM(S154)*Q158,0)</f>
        <v>0</v>
      </c>
      <c r="T158" s="1"/>
      <c r="U158" s="1"/>
    </row>
    <row r="159" spans="1:21">
      <c r="B159" s="39" t="s">
        <v>16</v>
      </c>
      <c r="C159" s="40">
        <f>IF(E157&lt;=5000,0.1,IF(E157&lt;=10000,0.06,0.04))</f>
        <v>0.1</v>
      </c>
      <c r="D159" s="41"/>
      <c r="E159" s="42">
        <f>ROUNDUP(E157*C159,0)</f>
        <v>0</v>
      </c>
      <c r="F159" s="1"/>
      <c r="I159" s="39" t="s">
        <v>16</v>
      </c>
      <c r="J159" s="40">
        <f>IF(L157&lt;=5000,0.1,IF(L157&lt;=10000,0.06,0.04))</f>
        <v>0.1</v>
      </c>
      <c r="K159" s="41"/>
      <c r="L159" s="42">
        <f>ROUNDUP(L157*J159,0)</f>
        <v>0</v>
      </c>
      <c r="M159" s="1"/>
      <c r="P159" s="39" t="s">
        <v>16</v>
      </c>
      <c r="Q159" s="40">
        <f>IF(S157&lt;=5000,0.1,IF(S157&lt;=10000,0.06,0.04))</f>
        <v>0.1</v>
      </c>
      <c r="R159" s="41"/>
      <c r="S159" s="42">
        <f>ROUNDUP(S157*Q159,0)</f>
        <v>0</v>
      </c>
      <c r="T159" s="1"/>
    </row>
    <row r="160" spans="1:21">
      <c r="B160" s="10" t="s">
        <v>3</v>
      </c>
      <c r="C160" s="36"/>
      <c r="D160" s="13"/>
      <c r="E160" s="13">
        <f>SUM(E157:E159)</f>
        <v>0</v>
      </c>
      <c r="F160" s="123" t="e">
        <f>E160/F153</f>
        <v>#DIV/0!</v>
      </c>
      <c r="G160" s="124" t="s">
        <v>80</v>
      </c>
      <c r="H160" s="1"/>
      <c r="I160" s="10" t="s">
        <v>3</v>
      </c>
      <c r="J160" s="36"/>
      <c r="K160" s="13"/>
      <c r="L160" s="13">
        <f>SUM(L157:L159)</f>
        <v>0</v>
      </c>
      <c r="M160" s="123" t="e">
        <f>L160/M153</f>
        <v>#DIV/0!</v>
      </c>
      <c r="N160" s="124" t="s">
        <v>80</v>
      </c>
      <c r="P160" s="10" t="s">
        <v>3</v>
      </c>
      <c r="Q160" s="36"/>
      <c r="R160" s="13"/>
      <c r="S160" s="13">
        <f>SUM(S157:S159)</f>
        <v>0</v>
      </c>
      <c r="T160" s="123" t="e">
        <f>S160/T153</f>
        <v>#DIV/0!</v>
      </c>
      <c r="U160" s="124" t="s">
        <v>80</v>
      </c>
    </row>
    <row r="161" spans="2:21">
      <c r="B161" s="1"/>
      <c r="C161" s="32"/>
      <c r="D161" s="7"/>
      <c r="E161" s="7"/>
      <c r="F161" s="1"/>
      <c r="I161" s="1"/>
      <c r="J161" s="32"/>
      <c r="K161" s="7"/>
      <c r="L161" s="7"/>
      <c r="M161" s="1"/>
      <c r="P161" s="1"/>
      <c r="Q161" s="32"/>
      <c r="R161" s="7"/>
      <c r="S161" s="7"/>
      <c r="T161" s="1"/>
    </row>
    <row r="162" spans="2:21">
      <c r="B162" s="75" t="s">
        <v>45</v>
      </c>
      <c r="C162" s="271">
        <f>F153</f>
        <v>0</v>
      </c>
      <c r="D162" s="75" t="s">
        <v>46</v>
      </c>
      <c r="E162" s="272">
        <v>0</v>
      </c>
      <c r="F162" s="1"/>
      <c r="G162" s="273" t="e">
        <f>E162/C162</f>
        <v>#DIV/0!</v>
      </c>
      <c r="I162" s="75" t="s">
        <v>45</v>
      </c>
      <c r="J162" s="271">
        <f>M153</f>
        <v>0</v>
      </c>
      <c r="K162" s="75" t="s">
        <v>46</v>
      </c>
      <c r="L162" s="272">
        <v>0</v>
      </c>
      <c r="M162" s="1"/>
      <c r="N162" s="273" t="e">
        <f>L162/J162</f>
        <v>#DIV/0!</v>
      </c>
      <c r="P162" s="75" t="s">
        <v>45</v>
      </c>
      <c r="Q162" s="271">
        <f>T153</f>
        <v>0</v>
      </c>
      <c r="R162" s="75" t="s">
        <v>46</v>
      </c>
      <c r="S162" s="272">
        <v>0</v>
      </c>
      <c r="T162" s="1"/>
      <c r="U162" s="273" t="e">
        <f>S162/Q162</f>
        <v>#DIV/0!</v>
      </c>
    </row>
    <row r="163" spans="2:21">
      <c r="B163" s="85" t="s">
        <v>52</v>
      </c>
      <c r="C163" s="68" t="s">
        <v>42</v>
      </c>
      <c r="D163" s="68" t="s">
        <v>47</v>
      </c>
      <c r="E163" s="87" t="s">
        <v>51</v>
      </c>
      <c r="F163" s="76" t="s">
        <v>59</v>
      </c>
      <c r="G163" s="156" t="s">
        <v>86</v>
      </c>
      <c r="H163" s="274"/>
      <c r="I163" s="85" t="s">
        <v>52</v>
      </c>
      <c r="J163" s="68" t="s">
        <v>42</v>
      </c>
      <c r="K163" s="68" t="s">
        <v>47</v>
      </c>
      <c r="L163" s="87" t="s">
        <v>51</v>
      </c>
      <c r="M163" s="76" t="s">
        <v>59</v>
      </c>
      <c r="N163" s="156" t="s">
        <v>86</v>
      </c>
      <c r="P163" s="85" t="s">
        <v>52</v>
      </c>
      <c r="Q163" s="68" t="s">
        <v>42</v>
      </c>
      <c r="R163" s="68" t="s">
        <v>47</v>
      </c>
      <c r="S163" s="87" t="s">
        <v>51</v>
      </c>
      <c r="T163" s="76" t="s">
        <v>59</v>
      </c>
      <c r="U163" s="156" t="s">
        <v>86</v>
      </c>
    </row>
    <row r="164" spans="2:21">
      <c r="B164" s="69">
        <v>3</v>
      </c>
      <c r="C164" s="1"/>
      <c r="D164" s="523">
        <f>$D$17</f>
        <v>33.5</v>
      </c>
      <c r="E164" s="70">
        <f>B164*C164*D164*8</f>
        <v>0</v>
      </c>
      <c r="F164" s="76"/>
      <c r="G164" s="157" t="e">
        <f>F153/(E164/D164)</f>
        <v>#DIV/0!</v>
      </c>
      <c r="H164" s="154"/>
      <c r="I164" s="298">
        <v>3</v>
      </c>
      <c r="J164" s="1">
        <v>1</v>
      </c>
      <c r="K164" s="523">
        <f>$D$17</f>
        <v>33.5</v>
      </c>
      <c r="L164" s="70">
        <f>I164*J164*K164*8</f>
        <v>804</v>
      </c>
      <c r="M164" s="76"/>
      <c r="N164" s="157">
        <f>M153/(L164/K164)</f>
        <v>0</v>
      </c>
      <c r="P164" s="298">
        <v>3</v>
      </c>
      <c r="Q164" s="1">
        <v>1.5</v>
      </c>
      <c r="R164" s="523">
        <f>$D$17</f>
        <v>33.5</v>
      </c>
      <c r="S164" s="70">
        <f>P164*Q164*R164*8</f>
        <v>1206</v>
      </c>
      <c r="T164" s="76"/>
      <c r="U164" s="157">
        <f>T153/(S164/R164)</f>
        <v>0</v>
      </c>
    </row>
    <row r="165" spans="2:21">
      <c r="B165" s="69"/>
      <c r="C165" s="1"/>
      <c r="D165" s="523">
        <f>$D$17</f>
        <v>33.5</v>
      </c>
      <c r="E165" s="70">
        <f>B165*C165*D165*8</f>
        <v>0</v>
      </c>
      <c r="F165" s="76"/>
      <c r="G165" s="275" t="e">
        <f>F155/(E165/D165)</f>
        <v>#DIV/0!</v>
      </c>
      <c r="H165" s="154"/>
      <c r="I165" s="69"/>
      <c r="J165" s="1"/>
      <c r="K165" s="523">
        <f>$D$17</f>
        <v>33.5</v>
      </c>
      <c r="L165" s="70">
        <f>I165*J165*K165*8</f>
        <v>0</v>
      </c>
      <c r="M165" s="76"/>
      <c r="N165" s="275" t="e">
        <f>M155/(L165/K165)</f>
        <v>#DIV/0!</v>
      </c>
      <c r="P165" s="69"/>
      <c r="Q165" s="1"/>
      <c r="R165" s="523">
        <f>$D$17</f>
        <v>33.5</v>
      </c>
      <c r="S165" s="70">
        <f>P165*Q165*R165*8</f>
        <v>0</v>
      </c>
      <c r="T165" s="76"/>
      <c r="U165" s="275" t="e">
        <f>T155/(S165/R165)</f>
        <v>#DIV/0!</v>
      </c>
    </row>
    <row r="166" spans="2:21">
      <c r="B166" s="86" t="s">
        <v>53</v>
      </c>
      <c r="C166" s="67" t="s">
        <v>44</v>
      </c>
      <c r="D166" s="67" t="s">
        <v>43</v>
      </c>
      <c r="E166" s="71"/>
      <c r="F166" s="420">
        <f>Polish!B44</f>
        <v>0</v>
      </c>
      <c r="G166" s="420" t="s">
        <v>412</v>
      </c>
      <c r="H166" s="388"/>
      <c r="I166" s="86" t="s">
        <v>53</v>
      </c>
      <c r="J166" s="67" t="s">
        <v>44</v>
      </c>
      <c r="K166" s="67" t="s">
        <v>43</v>
      </c>
      <c r="L166" s="71"/>
      <c r="M166" s="1"/>
      <c r="P166" s="86" t="s">
        <v>53</v>
      </c>
      <c r="Q166" s="67" t="s">
        <v>44</v>
      </c>
      <c r="R166" s="67" t="s">
        <v>43</v>
      </c>
      <c r="S166" s="71"/>
      <c r="T166" s="1"/>
    </row>
    <row r="167" spans="2:21">
      <c r="B167" s="69">
        <f>B164</f>
        <v>3</v>
      </c>
      <c r="C167" s="1">
        <f>12+F166</f>
        <v>12</v>
      </c>
      <c r="D167" s="523">
        <f>$D$20</f>
        <v>33.5</v>
      </c>
      <c r="E167" s="70">
        <f>B167*C167*D167</f>
        <v>1206</v>
      </c>
      <c r="F167" s="76" t="s">
        <v>274</v>
      </c>
      <c r="I167" s="69">
        <f>I164</f>
        <v>3</v>
      </c>
      <c r="J167" s="1">
        <f>16</f>
        <v>16</v>
      </c>
      <c r="K167" s="523">
        <f>$D$20</f>
        <v>33.5</v>
      </c>
      <c r="L167" s="70">
        <f>I167*J167*K167</f>
        <v>1608</v>
      </c>
      <c r="M167" s="76" t="s">
        <v>274</v>
      </c>
      <c r="P167" s="69">
        <f>P164</f>
        <v>3</v>
      </c>
      <c r="Q167" s="1">
        <f>14+6</f>
        <v>20</v>
      </c>
      <c r="R167" s="523">
        <f>$D$20</f>
        <v>33.5</v>
      </c>
      <c r="S167" s="70">
        <f>P167*Q167*R167</f>
        <v>2010</v>
      </c>
      <c r="T167" s="76" t="s">
        <v>274</v>
      </c>
    </row>
    <row r="168" spans="2:21">
      <c r="B168" s="277" t="s">
        <v>4</v>
      </c>
      <c r="C168" s="278"/>
      <c r="D168" s="278"/>
      <c r="E168" s="279">
        <f>ROUNDUP(SUM(E164:E167),0)</f>
        <v>1206</v>
      </c>
      <c r="F168" s="123" t="e">
        <f>E168/C162</f>
        <v>#DIV/0!</v>
      </c>
      <c r="G168" s="124" t="s">
        <v>87</v>
      </c>
      <c r="H168" s="1"/>
      <c r="I168" s="277" t="s">
        <v>4</v>
      </c>
      <c r="J168" s="278"/>
      <c r="K168" s="278"/>
      <c r="L168" s="279">
        <f>ROUNDUP(SUM(L164:L167),0)</f>
        <v>2412</v>
      </c>
      <c r="M168" s="123" t="e">
        <f>L168/J162</f>
        <v>#DIV/0!</v>
      </c>
      <c r="N168" s="124" t="s">
        <v>87</v>
      </c>
      <c r="P168" s="277" t="s">
        <v>4</v>
      </c>
      <c r="Q168" s="278"/>
      <c r="R168" s="278"/>
      <c r="S168" s="279">
        <f>ROUNDUP(SUM(S164:S167),0)</f>
        <v>3216</v>
      </c>
      <c r="T168" s="123" t="e">
        <f>S168/Q162</f>
        <v>#DIV/0!</v>
      </c>
      <c r="U168" s="124" t="s">
        <v>87</v>
      </c>
    </row>
    <row r="169" spans="2:21">
      <c r="B169" s="1"/>
      <c r="C169" s="32"/>
      <c r="D169" s="7"/>
      <c r="E169" s="7"/>
      <c r="F169" s="7"/>
      <c r="G169" s="1"/>
      <c r="H169" s="1"/>
      <c r="I169" s="1"/>
      <c r="J169" s="32"/>
      <c r="K169" s="7"/>
      <c r="L169" s="7"/>
      <c r="M169" s="7"/>
      <c r="N169" s="1"/>
      <c r="P169" s="1"/>
      <c r="Q169" s="32"/>
      <c r="R169" s="7"/>
      <c r="S169" s="7"/>
      <c r="T169" s="7"/>
      <c r="U169" s="1"/>
    </row>
    <row r="170" spans="2:21">
      <c r="B170" s="5" t="s">
        <v>252</v>
      </c>
      <c r="C170" s="30" t="s">
        <v>11</v>
      </c>
      <c r="D170" s="11" t="s">
        <v>1</v>
      </c>
      <c r="E170" s="12" t="s">
        <v>2</v>
      </c>
      <c r="F170" s="1"/>
      <c r="G170" s="1"/>
      <c r="H170" s="1"/>
      <c r="I170" s="5" t="s">
        <v>252</v>
      </c>
      <c r="J170" s="30" t="s">
        <v>11</v>
      </c>
      <c r="K170" s="11" t="s">
        <v>1</v>
      </c>
      <c r="L170" s="12" t="s">
        <v>2</v>
      </c>
      <c r="M170" s="1"/>
      <c r="N170" s="23" t="s">
        <v>283</v>
      </c>
      <c r="P170" s="5" t="s">
        <v>252</v>
      </c>
      <c r="Q170" s="30" t="s">
        <v>11</v>
      </c>
      <c r="R170" s="11" t="s">
        <v>1</v>
      </c>
      <c r="S170" s="12" t="s">
        <v>2</v>
      </c>
      <c r="T170" s="1"/>
      <c r="U170" s="23" t="s">
        <v>283</v>
      </c>
    </row>
    <row r="171" spans="2:21">
      <c r="B171" s="6" t="s">
        <v>17</v>
      </c>
      <c r="C171" s="37"/>
      <c r="D171" s="7">
        <v>35</v>
      </c>
      <c r="E171" s="9">
        <f t="shared" ref="E171:E177" si="27">ROUNDUP(C171*D171,0)</f>
        <v>0</v>
      </c>
      <c r="F171" s="1"/>
      <c r="G171" s="43"/>
      <c r="H171" s="1"/>
      <c r="I171" s="6" t="s">
        <v>17</v>
      </c>
      <c r="J171" s="37"/>
      <c r="K171" s="7">
        <v>35</v>
      </c>
      <c r="L171" s="9">
        <f t="shared" ref="L171:L177" si="28">ROUNDUP(J171*K171,0)</f>
        <v>0</v>
      </c>
      <c r="M171" s="1"/>
      <c r="N171" s="299" t="s">
        <v>276</v>
      </c>
      <c r="P171" s="6" t="s">
        <v>17</v>
      </c>
      <c r="Q171" s="37"/>
      <c r="R171" s="7">
        <v>35</v>
      </c>
      <c r="S171" s="9">
        <f t="shared" ref="S171:S177" si="29">ROUNDUP(Q171*R171,0)</f>
        <v>0</v>
      </c>
      <c r="T171" s="1"/>
      <c r="U171" s="299" t="s">
        <v>276</v>
      </c>
    </row>
    <row r="172" spans="2:21">
      <c r="B172" s="6" t="s">
        <v>75</v>
      </c>
      <c r="C172" s="37"/>
      <c r="D172" s="7">
        <v>0.33</v>
      </c>
      <c r="E172" s="9">
        <f t="shared" si="27"/>
        <v>0</v>
      </c>
      <c r="F172" s="1"/>
      <c r="G172" s="43"/>
      <c r="H172" s="1"/>
      <c r="I172" s="6" t="s">
        <v>75</v>
      </c>
      <c r="J172" s="37"/>
      <c r="K172" s="7">
        <v>0.33</v>
      </c>
      <c r="L172" s="9">
        <f t="shared" si="28"/>
        <v>0</v>
      </c>
      <c r="M172" s="1"/>
      <c r="N172" s="299" t="s">
        <v>277</v>
      </c>
      <c r="P172" s="6" t="s">
        <v>75</v>
      </c>
      <c r="Q172" s="37"/>
      <c r="R172" s="7">
        <v>0.33</v>
      </c>
      <c r="S172" s="9">
        <f t="shared" si="29"/>
        <v>0</v>
      </c>
      <c r="T172" s="1"/>
      <c r="U172" s="299" t="s">
        <v>277</v>
      </c>
    </row>
    <row r="173" spans="2:21">
      <c r="B173" s="6" t="s">
        <v>68</v>
      </c>
      <c r="C173" s="37">
        <v>0</v>
      </c>
      <c r="D173" s="7">
        <f>$D$26</f>
        <v>70</v>
      </c>
      <c r="E173" s="9">
        <f t="shared" si="27"/>
        <v>0</v>
      </c>
      <c r="F173" s="1"/>
      <c r="G173" s="43"/>
      <c r="H173" s="1"/>
      <c r="I173" s="6" t="s">
        <v>68</v>
      </c>
      <c r="J173" s="37">
        <f>(L168/8)/K164</f>
        <v>9</v>
      </c>
      <c r="K173" s="7">
        <f>$D$26</f>
        <v>70</v>
      </c>
      <c r="L173" s="9">
        <f t="shared" si="28"/>
        <v>630</v>
      </c>
      <c r="M173" s="1"/>
      <c r="N173" s="299" t="s">
        <v>284</v>
      </c>
      <c r="P173" s="6" t="s">
        <v>68</v>
      </c>
      <c r="Q173" s="37">
        <f>(S168/8)/R164</f>
        <v>12</v>
      </c>
      <c r="R173" s="7">
        <f>$D$26</f>
        <v>70</v>
      </c>
      <c r="S173" s="9">
        <f t="shared" si="29"/>
        <v>840</v>
      </c>
      <c r="T173" s="1"/>
      <c r="U173" s="299" t="s">
        <v>284</v>
      </c>
    </row>
    <row r="174" spans="2:21">
      <c r="B174" s="6" t="s">
        <v>69</v>
      </c>
      <c r="C174" s="37">
        <f>C173</f>
        <v>0</v>
      </c>
      <c r="D174" s="7">
        <f>$D$27</f>
        <v>45</v>
      </c>
      <c r="E174" s="9">
        <f t="shared" si="27"/>
        <v>0</v>
      </c>
      <c r="F174" s="43"/>
      <c r="G174" s="1"/>
      <c r="H174" s="1"/>
      <c r="I174" s="6" t="s">
        <v>69</v>
      </c>
      <c r="J174" s="37">
        <f>J173</f>
        <v>9</v>
      </c>
      <c r="K174" s="7">
        <f>$D$27</f>
        <v>45</v>
      </c>
      <c r="L174" s="9">
        <f t="shared" si="28"/>
        <v>405</v>
      </c>
      <c r="M174" s="43"/>
      <c r="N174" s="1"/>
      <c r="P174" s="6" t="s">
        <v>69</v>
      </c>
      <c r="Q174" s="37">
        <f>Q173</f>
        <v>12</v>
      </c>
      <c r="R174" s="7">
        <f>$D$27</f>
        <v>45</v>
      </c>
      <c r="S174" s="9">
        <f t="shared" si="29"/>
        <v>540</v>
      </c>
      <c r="T174" s="43"/>
      <c r="U174" s="1"/>
    </row>
    <row r="175" spans="2:21">
      <c r="B175" s="6" t="s">
        <v>253</v>
      </c>
      <c r="C175" s="37">
        <f>(E168/8)/D164</f>
        <v>4.5</v>
      </c>
      <c r="D175" s="7">
        <f>$D$28</f>
        <v>14</v>
      </c>
      <c r="E175" s="9">
        <f t="shared" si="27"/>
        <v>63</v>
      </c>
      <c r="F175" s="43"/>
      <c r="G175" s="1"/>
      <c r="H175" s="1"/>
      <c r="I175" s="6" t="s">
        <v>253</v>
      </c>
      <c r="J175" s="37">
        <f>(L168/8)/K164</f>
        <v>9</v>
      </c>
      <c r="K175" s="7">
        <f>$D$28</f>
        <v>14</v>
      </c>
      <c r="L175" s="9">
        <f t="shared" si="28"/>
        <v>126</v>
      </c>
      <c r="M175" s="43"/>
      <c r="N175" s="1"/>
      <c r="P175" s="6" t="s">
        <v>253</v>
      </c>
      <c r="Q175" s="37">
        <f>(S168/8)/R164</f>
        <v>12</v>
      </c>
      <c r="R175" s="7">
        <f>$D$28</f>
        <v>14</v>
      </c>
      <c r="S175" s="9">
        <f t="shared" si="29"/>
        <v>168</v>
      </c>
      <c r="T175" s="43"/>
      <c r="U175" s="1"/>
    </row>
    <row r="176" spans="2:21">
      <c r="B176" s="6" t="s">
        <v>254</v>
      </c>
      <c r="C176" s="37"/>
      <c r="D176" s="7">
        <v>0.04</v>
      </c>
      <c r="E176" s="9">
        <f t="shared" si="27"/>
        <v>0</v>
      </c>
      <c r="F176" s="1"/>
      <c r="G176" s="43"/>
      <c r="H176" s="1"/>
      <c r="I176" s="6" t="s">
        <v>279</v>
      </c>
      <c r="J176" s="37">
        <v>240</v>
      </c>
      <c r="K176" s="7">
        <v>0.6</v>
      </c>
      <c r="L176" s="9">
        <f t="shared" si="28"/>
        <v>144</v>
      </c>
      <c r="M176" s="1"/>
      <c r="N176" s="1"/>
      <c r="P176" s="6" t="s">
        <v>279</v>
      </c>
      <c r="Q176" s="37">
        <v>400</v>
      </c>
      <c r="R176" s="7">
        <v>0.6</v>
      </c>
      <c r="S176" s="9">
        <f t="shared" si="29"/>
        <v>240</v>
      </c>
      <c r="T176" s="1"/>
      <c r="U176" s="1"/>
    </row>
    <row r="177" spans="2:21">
      <c r="B177" s="6" t="s">
        <v>28</v>
      </c>
      <c r="C177" s="37"/>
      <c r="D177" s="7"/>
      <c r="E177" s="9">
        <f t="shared" si="27"/>
        <v>0</v>
      </c>
      <c r="F177" s="1"/>
      <c r="G177" s="43"/>
      <c r="H177" s="1"/>
      <c r="I177" s="6" t="s">
        <v>28</v>
      </c>
      <c r="J177" s="37"/>
      <c r="K177" s="7"/>
      <c r="L177" s="9">
        <f t="shared" si="28"/>
        <v>0</v>
      </c>
      <c r="M177" s="1"/>
      <c r="N177" s="1"/>
      <c r="P177" s="6" t="s">
        <v>28</v>
      </c>
      <c r="Q177" s="37"/>
      <c r="R177" s="7"/>
      <c r="S177" s="9">
        <f t="shared" si="29"/>
        <v>0</v>
      </c>
      <c r="T177" s="1"/>
      <c r="U177" s="1"/>
    </row>
    <row r="178" spans="2:21">
      <c r="B178" s="10" t="s">
        <v>255</v>
      </c>
      <c r="C178" s="36"/>
      <c r="D178" s="13"/>
      <c r="E178" s="16">
        <f>SUM(E171:E177)</f>
        <v>63</v>
      </c>
      <c r="F178" s="1"/>
      <c r="G178" s="43"/>
      <c r="H178" s="1"/>
      <c r="I178" s="10" t="s">
        <v>255</v>
      </c>
      <c r="J178" s="36"/>
      <c r="K178" s="13"/>
      <c r="L178" s="16">
        <f>SUM(L171:L177)</f>
        <v>1305</v>
      </c>
      <c r="M178" s="1"/>
      <c r="N178" s="1"/>
      <c r="P178" s="10" t="s">
        <v>255</v>
      </c>
      <c r="Q178" s="36"/>
      <c r="R178" s="13"/>
      <c r="S178" s="16">
        <f>SUM(S171:S177)</f>
        <v>1788</v>
      </c>
      <c r="T178" s="1"/>
      <c r="U178" s="1"/>
    </row>
    <row r="179" spans="2:21">
      <c r="B179" s="1"/>
      <c r="C179" s="32"/>
      <c r="D179" s="7"/>
      <c r="E179" s="7"/>
      <c r="F179" s="1"/>
      <c r="G179" s="1"/>
      <c r="H179" s="1"/>
      <c r="I179" s="1"/>
      <c r="J179" s="32"/>
      <c r="K179" s="7"/>
      <c r="L179" s="7"/>
      <c r="M179" s="1"/>
      <c r="N179" s="1"/>
      <c r="P179" s="1"/>
      <c r="Q179" s="32"/>
      <c r="R179" s="7"/>
      <c r="S179" s="7"/>
      <c r="T179" s="1"/>
      <c r="U179" s="1"/>
    </row>
    <row r="180" spans="2:21">
      <c r="B180" s="1"/>
      <c r="C180" s="32"/>
      <c r="D180" s="7"/>
      <c r="E180" s="7"/>
      <c r="F180" s="1"/>
      <c r="G180" s="1"/>
      <c r="H180" s="1"/>
      <c r="I180" s="1"/>
      <c r="J180" s="32"/>
      <c r="K180" s="7"/>
      <c r="L180" s="7"/>
      <c r="M180" s="1"/>
      <c r="N180" s="1"/>
      <c r="P180" s="1"/>
      <c r="Q180" s="32"/>
      <c r="R180" s="7"/>
      <c r="S180" s="7"/>
      <c r="T180" s="1"/>
      <c r="U180" s="1"/>
    </row>
    <row r="181" spans="2:21">
      <c r="B181" s="280" t="s">
        <v>9</v>
      </c>
      <c r="C181" s="281"/>
      <c r="D181" s="282"/>
      <c r="E181" s="283">
        <f>SUM(E160,E168,E178)</f>
        <v>1269</v>
      </c>
      <c r="F181" s="1"/>
      <c r="G181" s="1"/>
      <c r="H181" s="1"/>
      <c r="I181" s="280" t="s">
        <v>9</v>
      </c>
      <c r="J181" s="281"/>
      <c r="K181" s="282"/>
      <c r="L181" s="283">
        <f>SUM(L160,L168,L178)</f>
        <v>3717</v>
      </c>
      <c r="M181" s="1"/>
      <c r="N181" s="1"/>
      <c r="P181" s="280" t="s">
        <v>9</v>
      </c>
      <c r="Q181" s="281"/>
      <c r="R181" s="282"/>
      <c r="S181" s="283">
        <f>SUM(S160,S168,S178)</f>
        <v>5004</v>
      </c>
      <c r="T181" s="1"/>
      <c r="U181" s="1"/>
    </row>
    <row r="182" spans="2:21">
      <c r="B182" s="1"/>
      <c r="C182" s="32"/>
      <c r="D182" s="7"/>
      <c r="E182" s="7"/>
      <c r="F182" s="1"/>
      <c r="G182" s="1"/>
      <c r="H182" s="1"/>
      <c r="I182" s="1"/>
      <c r="J182" s="32"/>
      <c r="K182" s="7"/>
      <c r="L182" s="7"/>
      <c r="M182" s="1"/>
      <c r="N182" s="1"/>
      <c r="P182" s="1"/>
      <c r="Q182" s="32"/>
      <c r="R182" s="7"/>
      <c r="S182" s="7"/>
      <c r="T182" s="1"/>
      <c r="U182" s="1"/>
    </row>
    <row r="183" spans="2:21">
      <c r="B183" s="5" t="s">
        <v>8</v>
      </c>
      <c r="C183" s="30" t="s">
        <v>7</v>
      </c>
      <c r="D183" s="14"/>
      <c r="E183" s="12"/>
      <c r="F183" s="1"/>
      <c r="G183" s="1"/>
      <c r="H183" s="1"/>
      <c r="I183" s="5" t="s">
        <v>8</v>
      </c>
      <c r="J183" s="30" t="s">
        <v>7</v>
      </c>
      <c r="K183" s="14"/>
      <c r="L183" s="12"/>
      <c r="M183" s="1"/>
      <c r="N183" s="1"/>
      <c r="P183" s="5" t="s">
        <v>8</v>
      </c>
      <c r="Q183" s="30" t="s">
        <v>7</v>
      </c>
      <c r="R183" s="14"/>
      <c r="S183" s="12"/>
      <c r="T183" s="1"/>
      <c r="U183" s="1"/>
    </row>
    <row r="184" spans="2:21">
      <c r="B184" s="6" t="s">
        <v>15</v>
      </c>
      <c r="C184" s="208">
        <f>$C$37</f>
        <v>9.4750000000000001E-2</v>
      </c>
      <c r="D184" s="209"/>
      <c r="E184" s="9">
        <f>ROUNDUP(SUM(E160:E160)*C184,0)</f>
        <v>0</v>
      </c>
      <c r="F184" s="1"/>
      <c r="G184" s="1"/>
      <c r="H184" s="1"/>
      <c r="I184" s="6" t="s">
        <v>15</v>
      </c>
      <c r="J184" s="208">
        <f>$C$37</f>
        <v>9.4750000000000001E-2</v>
      </c>
      <c r="K184" s="209"/>
      <c r="L184" s="9">
        <f>ROUNDUP(SUM(L160:L160)*J184,0)</f>
        <v>0</v>
      </c>
      <c r="M184" s="1"/>
      <c r="N184" s="1"/>
      <c r="P184" s="6" t="s">
        <v>15</v>
      </c>
      <c r="Q184" s="208">
        <f>$C$37</f>
        <v>9.4750000000000001E-2</v>
      </c>
      <c r="R184" s="209"/>
      <c r="S184" s="9">
        <f>ROUNDUP(SUM(S160:S160)*Q184,0)</f>
        <v>0</v>
      </c>
      <c r="T184" s="1"/>
      <c r="U184" s="1"/>
    </row>
    <row r="185" spans="2:21">
      <c r="B185" s="6" t="s">
        <v>74</v>
      </c>
      <c r="C185" s="241">
        <v>0.08</v>
      </c>
      <c r="D185" s="209"/>
      <c r="E185" s="9">
        <f>ROUNDUP(SUM(E168)*C185,0)</f>
        <v>97</v>
      </c>
      <c r="F185" s="1"/>
      <c r="G185" s="1"/>
      <c r="H185" s="1"/>
      <c r="I185" s="6" t="s">
        <v>74</v>
      </c>
      <c r="J185" s="241">
        <v>0.08</v>
      </c>
      <c r="K185" s="209"/>
      <c r="L185" s="9">
        <f>ROUNDUP(SUM(L168)*J185,0)</f>
        <v>193</v>
      </c>
      <c r="M185" s="1"/>
      <c r="N185" s="1"/>
      <c r="P185" s="6" t="s">
        <v>74</v>
      </c>
      <c r="Q185" s="241">
        <v>0.08</v>
      </c>
      <c r="R185" s="209"/>
      <c r="S185" s="9">
        <f>ROUNDUP(SUM(S168)*Q185,0)</f>
        <v>258</v>
      </c>
      <c r="T185" s="1"/>
      <c r="U185" s="1"/>
    </row>
    <row r="186" spans="2:21">
      <c r="B186" s="6" t="s">
        <v>256</v>
      </c>
      <c r="C186" s="122">
        <f>IF(E160&lt;=5000,0.1,0.05)</f>
        <v>0.1</v>
      </c>
      <c r="D186" s="7"/>
      <c r="E186" s="9">
        <f>ROUNDUP(E160*C186,0)</f>
        <v>0</v>
      </c>
      <c r="F186" s="1"/>
      <c r="G186" s="1"/>
      <c r="H186" s="1"/>
      <c r="I186" s="6" t="s">
        <v>256</v>
      </c>
      <c r="J186" s="122">
        <f>IF(L160&lt;=5000,0.1,0.05)</f>
        <v>0.1</v>
      </c>
      <c r="K186" s="7"/>
      <c r="L186" s="9">
        <f>ROUNDUP(L160*J186,0)</f>
        <v>0</v>
      </c>
      <c r="M186" s="1"/>
      <c r="N186" s="1"/>
      <c r="P186" s="6" t="s">
        <v>256</v>
      </c>
      <c r="Q186" s="122">
        <f>IF(S160&lt;=5000,0.1,0.05)</f>
        <v>0.1</v>
      </c>
      <c r="R186" s="7"/>
      <c r="S186" s="9">
        <f>ROUNDUP(S160*Q186,0)</f>
        <v>0</v>
      </c>
      <c r="T186" s="1"/>
      <c r="U186" s="1"/>
    </row>
    <row r="187" spans="2:21">
      <c r="B187" s="6" t="s">
        <v>257</v>
      </c>
      <c r="C187" s="122">
        <v>0</v>
      </c>
      <c r="D187" s="7"/>
      <c r="E187" s="9">
        <f>ROUNDUP(E168*C187,0)</f>
        <v>0</v>
      </c>
      <c r="F187" s="1"/>
      <c r="G187" s="1"/>
      <c r="H187" s="1"/>
      <c r="I187" s="6" t="s">
        <v>257</v>
      </c>
      <c r="J187" s="122">
        <v>0</v>
      </c>
      <c r="K187" s="7"/>
      <c r="L187" s="9">
        <f>ROUNDUP(L168*J187,0)</f>
        <v>0</v>
      </c>
      <c r="M187" s="1"/>
      <c r="N187" s="1"/>
      <c r="P187" s="6" t="s">
        <v>257</v>
      </c>
      <c r="Q187" s="122">
        <v>0</v>
      </c>
      <c r="R187" s="7"/>
      <c r="S187" s="9">
        <f>ROUNDUP(S168*Q187,0)</f>
        <v>0</v>
      </c>
      <c r="T187" s="1"/>
      <c r="U187" s="1"/>
    </row>
    <row r="188" spans="2:21">
      <c r="B188" s="6" t="s">
        <v>258</v>
      </c>
      <c r="C188" s="122">
        <v>0.61</v>
      </c>
      <c r="D188" s="7"/>
      <c r="E188" s="9">
        <f>ROUNDUP(SUM(E181:E187)*C188,0)</f>
        <v>834</v>
      </c>
      <c r="F188" s="1"/>
      <c r="G188" s="1"/>
      <c r="H188" s="1"/>
      <c r="I188" s="6" t="s">
        <v>258</v>
      </c>
      <c r="J188" s="122">
        <v>0.4</v>
      </c>
      <c r="K188" s="7"/>
      <c r="L188" s="9">
        <f>ROUNDUP(SUM(L181:L187)*J188,0)</f>
        <v>1564</v>
      </c>
      <c r="M188" s="1"/>
      <c r="N188" s="1"/>
      <c r="P188" s="6" t="s">
        <v>258</v>
      </c>
      <c r="Q188" s="122">
        <v>0.4</v>
      </c>
      <c r="R188" s="7"/>
      <c r="S188" s="9">
        <f>ROUNDUP(SUM(S181:S187)*Q188,0)</f>
        <v>2105</v>
      </c>
      <c r="T188" s="1"/>
      <c r="U188" s="1"/>
    </row>
    <row r="189" spans="2:21">
      <c r="B189" s="284" t="str">
        <f>$B$42</f>
        <v>Kansas Remodel Tax</v>
      </c>
      <c r="C189" s="241">
        <f>$C$42</f>
        <v>0</v>
      </c>
      <c r="D189" s="7"/>
      <c r="E189" s="9">
        <f>ROUNDUP(SUM(E168,E185:E188)*C189,0)</f>
        <v>0</v>
      </c>
      <c r="F189" s="1"/>
      <c r="G189" s="1"/>
      <c r="H189" s="1"/>
      <c r="I189" s="284" t="str">
        <f>$B$42</f>
        <v>Kansas Remodel Tax</v>
      </c>
      <c r="J189" s="241">
        <f>$C$42</f>
        <v>0</v>
      </c>
      <c r="K189" s="7"/>
      <c r="L189" s="9">
        <f>ROUNDUP(SUM(L168,L185:L188)*J189,0)</f>
        <v>0</v>
      </c>
      <c r="M189" s="1"/>
      <c r="N189" s="1"/>
      <c r="P189" s="284" t="str">
        <f>$B$42</f>
        <v>Kansas Remodel Tax</v>
      </c>
      <c r="Q189" s="241">
        <f>$C$42</f>
        <v>0</v>
      </c>
      <c r="R189" s="7"/>
      <c r="S189" s="9">
        <f>ROUNDUP(SUM(S168,S185:S188)*Q189,0)</f>
        <v>0</v>
      </c>
      <c r="T189" s="1"/>
      <c r="U189" s="1"/>
    </row>
    <row r="190" spans="2:21">
      <c r="B190" s="403" t="s">
        <v>398</v>
      </c>
      <c r="C190" s="241">
        <f>$C$43</f>
        <v>0.05</v>
      </c>
      <c r="D190" s="7"/>
      <c r="E190" s="9">
        <f>ROUNDUP(C190*SUM(E181:E189),0)</f>
        <v>110</v>
      </c>
      <c r="F190" s="1"/>
      <c r="G190" s="1"/>
      <c r="H190" s="1"/>
      <c r="I190" s="403" t="s">
        <v>398</v>
      </c>
      <c r="J190" s="241">
        <f>$C$43</f>
        <v>0.05</v>
      </c>
      <c r="K190" s="7"/>
      <c r="L190" s="9">
        <f>ROUNDUP(J190*SUM(L181:L189),0)</f>
        <v>274</v>
      </c>
      <c r="M190" s="1"/>
      <c r="N190" s="1"/>
      <c r="P190" s="403" t="s">
        <v>398</v>
      </c>
      <c r="Q190" s="241">
        <f>$C$43</f>
        <v>0.05</v>
      </c>
      <c r="R190" s="7"/>
      <c r="S190" s="9">
        <f>ROUNDUP(Q190*SUM(S181:S189),0)</f>
        <v>369</v>
      </c>
      <c r="T190" s="1"/>
      <c r="U190" s="1"/>
    </row>
    <row r="191" spans="2:21">
      <c r="B191" s="45" t="s">
        <v>20</v>
      </c>
      <c r="C191" s="46">
        <f>$C$44</f>
        <v>0</v>
      </c>
      <c r="D191" s="15"/>
      <c r="E191" s="210">
        <v>-8</v>
      </c>
      <c r="F191" s="1"/>
      <c r="G191" s="1"/>
      <c r="H191" s="1"/>
      <c r="I191" s="45" t="s">
        <v>20</v>
      </c>
      <c r="J191" s="46">
        <f>$C$44</f>
        <v>0</v>
      </c>
      <c r="K191" s="15"/>
      <c r="L191" s="210">
        <f>ROUNDUP(SUM(L181:L190)*J191,0)</f>
        <v>0</v>
      </c>
      <c r="M191" s="1"/>
      <c r="N191" s="1"/>
      <c r="P191" s="45" t="s">
        <v>20</v>
      </c>
      <c r="Q191" s="46">
        <f>$C$44</f>
        <v>0</v>
      </c>
      <c r="R191" s="15"/>
      <c r="S191" s="210">
        <f>ROUNDUP(SUM(S181:S190)*Q191,0)</f>
        <v>0</v>
      </c>
      <c r="T191" s="1"/>
      <c r="U191" s="1"/>
    </row>
    <row r="192" spans="2:21">
      <c r="B192" s="1"/>
      <c r="C192" s="8"/>
      <c r="D192" s="7"/>
      <c r="E192" s="1075" t="s">
        <v>83</v>
      </c>
      <c r="F192" s="1"/>
      <c r="G192" s="286" t="s">
        <v>70</v>
      </c>
      <c r="H192" s="32"/>
      <c r="I192" s="1"/>
      <c r="J192" s="8"/>
      <c r="K192" s="7"/>
      <c r="L192" s="1075" t="s">
        <v>83</v>
      </c>
      <c r="M192" s="1"/>
      <c r="N192" s="286" t="s">
        <v>70</v>
      </c>
      <c r="P192" s="1"/>
      <c r="Q192" s="8"/>
      <c r="R192" s="7"/>
      <c r="S192" s="1075" t="s">
        <v>83</v>
      </c>
      <c r="T192" s="1"/>
      <c r="U192" s="286" t="s">
        <v>70</v>
      </c>
    </row>
    <row r="193" spans="2:30" ht="16.2" thickBot="1">
      <c r="B193" s="1"/>
      <c r="C193" s="287" t="s">
        <v>262</v>
      </c>
      <c r="D193" s="288">
        <f>C162</f>
        <v>0</v>
      </c>
      <c r="E193" s="1074" t="s">
        <v>664</v>
      </c>
      <c r="F193" s="38" t="s">
        <v>18</v>
      </c>
      <c r="G193" s="131">
        <f>SUM(E186:E188)</f>
        <v>834</v>
      </c>
      <c r="H193" s="7"/>
      <c r="I193" s="1"/>
      <c r="J193" s="287" t="s">
        <v>262</v>
      </c>
      <c r="K193" s="288">
        <f>J162</f>
        <v>0</v>
      </c>
      <c r="L193" s="1074" t="s">
        <v>667</v>
      </c>
      <c r="M193" s="38" t="s">
        <v>18</v>
      </c>
      <c r="N193" s="131">
        <f>SUM(L186:L188)</f>
        <v>1564</v>
      </c>
      <c r="P193" s="1"/>
      <c r="Q193" s="287" t="s">
        <v>262</v>
      </c>
      <c r="R193" s="288">
        <f>Q162</f>
        <v>0</v>
      </c>
      <c r="S193" s="1074" t="s">
        <v>668</v>
      </c>
      <c r="T193" s="38" t="s">
        <v>18</v>
      </c>
      <c r="U193" s="131">
        <f>SUM(S186:S188)</f>
        <v>2105</v>
      </c>
    </row>
    <row r="194" spans="2:30" ht="16.2" thickBot="1">
      <c r="B194" s="289" t="s">
        <v>6</v>
      </c>
      <c r="C194" s="290"/>
      <c r="D194" s="291" t="e">
        <f>E194/C162</f>
        <v>#DIV/0!</v>
      </c>
      <c r="E194" s="292">
        <f>SUM(E181:E191)</f>
        <v>2302</v>
      </c>
      <c r="F194" s="7">
        <f>E194-E184-E189</f>
        <v>2302</v>
      </c>
      <c r="G194" s="293">
        <f>G193/E194</f>
        <v>0.3622936576889661</v>
      </c>
      <c r="H194" s="294"/>
      <c r="I194" s="289" t="s">
        <v>6</v>
      </c>
      <c r="J194" s="290"/>
      <c r="K194" s="291" t="e">
        <f>L194/J162</f>
        <v>#DIV/0!</v>
      </c>
      <c r="L194" s="292">
        <f>SUM(L181:L191)</f>
        <v>5748</v>
      </c>
      <c r="M194" s="7">
        <f>L194-L184-L189</f>
        <v>5748</v>
      </c>
      <c r="N194" s="293">
        <f>N193/L194</f>
        <v>0.27209464161447461</v>
      </c>
      <c r="P194" s="289" t="s">
        <v>6</v>
      </c>
      <c r="Q194" s="290"/>
      <c r="R194" s="291" t="e">
        <f>S194/Q162</f>
        <v>#DIV/0!</v>
      </c>
      <c r="S194" s="292">
        <f>SUM(S181:S191)</f>
        <v>7736</v>
      </c>
      <c r="T194" s="7">
        <f>S194-S184-S189</f>
        <v>7736</v>
      </c>
      <c r="U194" s="293">
        <f>U193/S194</f>
        <v>0.27210444674250256</v>
      </c>
    </row>
    <row r="195" spans="2:30">
      <c r="B195" s="1"/>
      <c r="C195" s="1" t="s">
        <v>5</v>
      </c>
      <c r="D195" s="7" t="e">
        <f>E195/C162</f>
        <v>#DIV/0!</v>
      </c>
      <c r="E195" s="7">
        <f>E194-E189</f>
        <v>2302</v>
      </c>
      <c r="F195" t="s">
        <v>263</v>
      </c>
      <c r="G195" s="295" t="str">
        <f>IF(G194&lt;=0.25,"OWNER APPROVAL REQUIRED","GP % Okay")</f>
        <v>GP % Okay</v>
      </c>
      <c r="H195" s="296"/>
      <c r="I195" s="1"/>
      <c r="J195" s="1" t="s">
        <v>5</v>
      </c>
      <c r="K195" s="7" t="e">
        <f>L195/J162</f>
        <v>#DIV/0!</v>
      </c>
      <c r="L195" s="7">
        <f>L194-L189</f>
        <v>5748</v>
      </c>
      <c r="M195" t="s">
        <v>263</v>
      </c>
      <c r="N195" s="295" t="str">
        <f>IF(N194&lt;=0.25,"OWNER APPROVAL REQUIRED","GP % Okay")</f>
        <v>GP % Okay</v>
      </c>
      <c r="P195" s="1"/>
      <c r="Q195" s="1" t="s">
        <v>5</v>
      </c>
      <c r="R195" s="7" t="e">
        <f>S195/Q162</f>
        <v>#DIV/0!</v>
      </c>
      <c r="S195" s="7">
        <f>S194-S189</f>
        <v>7736</v>
      </c>
      <c r="T195" t="s">
        <v>263</v>
      </c>
      <c r="U195" s="295" t="str">
        <f>IF(U194&lt;=0.25,"OWNER APPROVAL REQUIRED","GP % Okay")</f>
        <v>GP % Okay</v>
      </c>
    </row>
    <row r="198" spans="2:30">
      <c r="B198" s="1907" t="s">
        <v>472</v>
      </c>
      <c r="C198" s="1908"/>
      <c r="D198" s="1908"/>
      <c r="E198" s="1909"/>
      <c r="F198" s="262">
        <f>E243</f>
        <v>4329</v>
      </c>
      <c r="G198" s="263" t="s">
        <v>2</v>
      </c>
      <c r="I198" s="1907" t="s">
        <v>473</v>
      </c>
      <c r="J198" s="1908"/>
      <c r="K198" s="1908"/>
      <c r="L198" s="1909"/>
      <c r="M198" s="262">
        <f>L243</f>
        <v>5907</v>
      </c>
      <c r="N198" s="263" t="s">
        <v>2</v>
      </c>
      <c r="P198" s="1907" t="s">
        <v>474</v>
      </c>
      <c r="Q198" s="1908"/>
      <c r="R198" s="1908"/>
      <c r="S198" s="1909"/>
      <c r="T198" s="262">
        <f>S243</f>
        <v>6833</v>
      </c>
      <c r="U198" s="263" t="s">
        <v>2</v>
      </c>
      <c r="W198" s="1907" t="s">
        <v>489</v>
      </c>
      <c r="X198" s="1908"/>
      <c r="Y198" s="1908"/>
      <c r="Z198" s="1909"/>
      <c r="AB198" s="43"/>
      <c r="AD198" s="1549">
        <v>0.06</v>
      </c>
    </row>
    <row r="199" spans="2:30">
      <c r="B199" s="25" t="s">
        <v>14</v>
      </c>
      <c r="C199" s="90" t="s">
        <v>11</v>
      </c>
      <c r="D199" s="90" t="s">
        <v>1</v>
      </c>
      <c r="E199" s="91" t="s">
        <v>2</v>
      </c>
      <c r="F199" s="511">
        <f>F198/F202</f>
        <v>43.29</v>
      </c>
      <c r="G199" s="512" t="s">
        <v>249</v>
      </c>
      <c r="H199" s="264"/>
      <c r="I199" s="25" t="s">
        <v>14</v>
      </c>
      <c r="J199" s="90" t="s">
        <v>11</v>
      </c>
      <c r="K199" s="90" t="s">
        <v>1</v>
      </c>
      <c r="L199" s="91" t="s">
        <v>2</v>
      </c>
      <c r="M199" s="511">
        <f>M198/M202</f>
        <v>59.07</v>
      </c>
      <c r="N199" s="512" t="s">
        <v>249</v>
      </c>
      <c r="P199" s="25" t="s">
        <v>14</v>
      </c>
      <c r="Q199" s="90" t="s">
        <v>11</v>
      </c>
      <c r="R199" s="90" t="s">
        <v>1</v>
      </c>
      <c r="S199" s="91" t="s">
        <v>2</v>
      </c>
      <c r="T199" s="511">
        <f>T198/T202</f>
        <v>68.33</v>
      </c>
      <c r="U199" s="512" t="s">
        <v>249</v>
      </c>
      <c r="W199" s="25" t="s">
        <v>14</v>
      </c>
      <c r="X199" s="90" t="s">
        <v>11</v>
      </c>
      <c r="Y199" s="90" t="s">
        <v>1</v>
      </c>
      <c r="Z199" s="91" t="s">
        <v>2</v>
      </c>
      <c r="AA199" s="268">
        <v>100</v>
      </c>
      <c r="AB199" s="82" t="s">
        <v>27</v>
      </c>
      <c r="AC199" s="1547" t="s">
        <v>1040</v>
      </c>
    </row>
    <row r="200" spans="2:30">
      <c r="B200" s="44"/>
      <c r="C200" s="265"/>
      <c r="D200" s="33"/>
      <c r="E200" s="34">
        <f t="shared" ref="E200:E201" si="30">C200*D200</f>
        <v>0</v>
      </c>
      <c r="F200" s="1"/>
      <c r="G200" s="1"/>
      <c r="H200" s="1"/>
      <c r="I200" s="44"/>
      <c r="J200" s="265"/>
      <c r="K200" s="33"/>
      <c r="L200" s="34">
        <f t="shared" ref="L200:L201" si="31">J200*K200</f>
        <v>0</v>
      </c>
      <c r="M200" s="1"/>
      <c r="N200" s="1"/>
      <c r="P200" s="44"/>
      <c r="Q200" s="265"/>
      <c r="R200" s="33"/>
      <c r="S200" s="34">
        <f t="shared" ref="S200:S201" si="32">Q200*R200</f>
        <v>0</v>
      </c>
      <c r="T200" s="1"/>
      <c r="U200" s="1"/>
      <c r="W200" s="47" t="s">
        <v>298</v>
      </c>
      <c r="X200" s="265">
        <v>1</v>
      </c>
      <c r="Y200" s="1546">
        <f>51.36+AC200</f>
        <v>54.441600000000001</v>
      </c>
      <c r="Z200" s="34">
        <f t="shared" ref="Z200:Z202" si="33">X200*Y200</f>
        <v>54.441600000000001</v>
      </c>
      <c r="AA200" s="301">
        <f>(8/1600)*AA199</f>
        <v>0.5</v>
      </c>
      <c r="AC200" s="1545">
        <f>51.36*AD198</f>
        <v>3.0815999999999999</v>
      </c>
    </row>
    <row r="201" spans="2:30">
      <c r="B201" s="44"/>
      <c r="C201" s="266"/>
      <c r="D201" s="33"/>
      <c r="E201" s="34">
        <f t="shared" si="30"/>
        <v>0</v>
      </c>
      <c r="F201" s="1"/>
      <c r="G201" s="1"/>
      <c r="H201" s="1"/>
      <c r="I201" s="44"/>
      <c r="J201" s="266"/>
      <c r="K201" s="33"/>
      <c r="L201" s="34">
        <f t="shared" si="31"/>
        <v>0</v>
      </c>
      <c r="M201" s="1"/>
      <c r="N201" s="1"/>
      <c r="P201" s="44"/>
      <c r="Q201" s="266"/>
      <c r="R201" s="33"/>
      <c r="S201" s="34">
        <f t="shared" si="32"/>
        <v>0</v>
      </c>
      <c r="T201" s="1"/>
      <c r="U201" s="1"/>
      <c r="W201" s="47" t="s">
        <v>487</v>
      </c>
      <c r="X201" s="56">
        <v>1</v>
      </c>
      <c r="Y201" s="1546">
        <f>58.8+AC201</f>
        <v>62.327999999999996</v>
      </c>
      <c r="Z201" s="34">
        <f t="shared" si="33"/>
        <v>62.327999999999996</v>
      </c>
      <c r="AA201" s="301">
        <f>(5.5/1600)*AA199</f>
        <v>0.34375</v>
      </c>
      <c r="AC201" s="1545">
        <f>58.8*AD198</f>
        <v>3.5279999999999996</v>
      </c>
    </row>
    <row r="202" spans="2:30">
      <c r="B202" s="25" t="s">
        <v>479</v>
      </c>
      <c r="C202" s="267"/>
      <c r="D202" s="23"/>
      <c r="E202" s="29"/>
      <c r="F202" s="268">
        <v>100</v>
      </c>
      <c r="G202" s="82" t="s">
        <v>27</v>
      </c>
      <c r="H202" s="1"/>
      <c r="I202" s="25" t="s">
        <v>479</v>
      </c>
      <c r="J202" s="267"/>
      <c r="K202" s="23"/>
      <c r="L202" s="29"/>
      <c r="M202" s="268">
        <v>100</v>
      </c>
      <c r="N202" s="82" t="s">
        <v>27</v>
      </c>
      <c r="P202" s="25" t="s">
        <v>479</v>
      </c>
      <c r="Q202" s="267"/>
      <c r="R202" s="23"/>
      <c r="S202" s="29"/>
      <c r="T202" s="268">
        <v>100</v>
      </c>
      <c r="U202" s="82" t="s">
        <v>27</v>
      </c>
      <c r="W202" s="47" t="s">
        <v>488</v>
      </c>
      <c r="X202" s="56">
        <v>2</v>
      </c>
      <c r="Y202" s="1546">
        <f>66.76+AC202</f>
        <v>70.765600000000006</v>
      </c>
      <c r="Z202" s="34">
        <f t="shared" si="33"/>
        <v>141.53120000000001</v>
      </c>
      <c r="AA202" s="220" t="s">
        <v>494</v>
      </c>
      <c r="AC202" s="1545">
        <f>66.76*AD198</f>
        <v>4.0056000000000003</v>
      </c>
    </row>
    <row r="203" spans="2:30">
      <c r="B203" s="47" t="s">
        <v>285</v>
      </c>
      <c r="C203" s="266">
        <v>1</v>
      </c>
      <c r="D203" s="513">
        <f>Z238</f>
        <v>978.92</v>
      </c>
      <c r="E203" s="9">
        <f>C203*D203</f>
        <v>978.92</v>
      </c>
      <c r="F203" s="1"/>
      <c r="G203" s="1"/>
      <c r="H203" s="1"/>
      <c r="I203" s="47" t="s">
        <v>285</v>
      </c>
      <c r="J203" s="266">
        <v>1</v>
      </c>
      <c r="K203" s="492">
        <f>$D$203</f>
        <v>978.92</v>
      </c>
      <c r="L203" s="9">
        <f>J203*K203</f>
        <v>978.92</v>
      </c>
      <c r="M203" s="1"/>
      <c r="N203" s="1"/>
      <c r="P203" s="47" t="s">
        <v>285</v>
      </c>
      <c r="Q203" s="266">
        <v>1</v>
      </c>
      <c r="R203" s="492">
        <f>$D$203</f>
        <v>978.92</v>
      </c>
      <c r="S203" s="9">
        <f>Q203*R203</f>
        <v>978.92</v>
      </c>
      <c r="T203" s="1"/>
      <c r="U203" s="1"/>
      <c r="W203" s="47" t="s">
        <v>1041</v>
      </c>
      <c r="X203" s="56">
        <v>1</v>
      </c>
      <c r="Y203" s="1546">
        <f>364+AC203</f>
        <v>385.84</v>
      </c>
      <c r="Z203" s="34">
        <f t="shared" ref="Z203" si="34">X203*Y203</f>
        <v>385.84</v>
      </c>
      <c r="AA203" s="301">
        <f>AA199/750</f>
        <v>0.13333333333333333</v>
      </c>
      <c r="AC203" s="1545">
        <f>364*AD198</f>
        <v>21.84</v>
      </c>
    </row>
    <row r="204" spans="2:30">
      <c r="B204" s="47"/>
      <c r="C204" s="266"/>
      <c r="D204" s="7"/>
      <c r="E204" s="9">
        <f t="shared" ref="E204:E205" si="35">C204*D204</f>
        <v>0</v>
      </c>
      <c r="F204" s="490"/>
      <c r="G204" s="491" t="s">
        <v>499</v>
      </c>
      <c r="H204" s="1"/>
      <c r="I204" s="47"/>
      <c r="J204" s="266"/>
      <c r="K204" s="7"/>
      <c r="L204" s="9">
        <f t="shared" ref="L204:L205" si="36">J204*K204</f>
        <v>0</v>
      </c>
      <c r="M204" s="490"/>
      <c r="N204" s="491" t="s">
        <v>499</v>
      </c>
      <c r="P204" s="47"/>
      <c r="Q204" s="266"/>
      <c r="R204" s="7"/>
      <c r="S204" s="9">
        <f t="shared" ref="S204:S205" si="37">Q204*R204</f>
        <v>0</v>
      </c>
      <c r="T204" s="490"/>
      <c r="U204" s="491" t="s">
        <v>499</v>
      </c>
      <c r="V204" s="502" t="s">
        <v>501</v>
      </c>
      <c r="W204" s="47" t="s">
        <v>495</v>
      </c>
      <c r="X204" s="302">
        <v>40</v>
      </c>
      <c r="Y204" s="306">
        <v>2.21</v>
      </c>
      <c r="Z204" s="9">
        <f>ROUNDUP(X204*Y204,0)</f>
        <v>89</v>
      </c>
      <c r="AA204" s="301">
        <f>(AA199*0.15)*2</f>
        <v>30</v>
      </c>
    </row>
    <row r="205" spans="2:30">
      <c r="B205" s="48"/>
      <c r="C205" s="269"/>
      <c r="D205" s="26"/>
      <c r="E205" s="27">
        <f t="shared" si="35"/>
        <v>0</v>
      </c>
      <c r="F205" s="1"/>
      <c r="G205" s="1"/>
      <c r="H205" s="1"/>
      <c r="I205" s="48"/>
      <c r="J205" s="269"/>
      <c r="K205" s="26"/>
      <c r="L205" s="27">
        <f t="shared" si="36"/>
        <v>0</v>
      </c>
      <c r="M205" s="1"/>
      <c r="N205" s="1"/>
      <c r="P205" s="48"/>
      <c r="Q205" s="269"/>
      <c r="R205" s="26"/>
      <c r="S205" s="27">
        <f t="shared" si="37"/>
        <v>0</v>
      </c>
      <c r="T205" s="1"/>
      <c r="U205" s="1"/>
      <c r="W205" s="499" t="s">
        <v>3</v>
      </c>
      <c r="X205" s="500"/>
      <c r="Y205" s="501"/>
      <c r="Z205" s="283">
        <f>SUM(Z200:Z204)</f>
        <v>733.1407999999999</v>
      </c>
      <c r="AA205" s="402">
        <f>Z205/AA199</f>
        <v>7.3314079999999988</v>
      </c>
      <c r="AB205" s="220" t="s">
        <v>249</v>
      </c>
    </row>
    <row r="206" spans="2:30">
      <c r="B206" s="17" t="s">
        <v>10</v>
      </c>
      <c r="C206" s="35"/>
      <c r="D206" s="18"/>
      <c r="E206" s="19">
        <f>ROUNDUP(SUM(E200:E205),0)</f>
        <v>979</v>
      </c>
      <c r="F206" s="1"/>
      <c r="G206" s="1"/>
      <c r="H206" s="1"/>
      <c r="I206" s="17" t="s">
        <v>10</v>
      </c>
      <c r="J206" s="35"/>
      <c r="K206" s="18"/>
      <c r="L206" s="19">
        <f>ROUNDUP(SUM(L200:L205),0)</f>
        <v>979</v>
      </c>
      <c r="M206" s="1"/>
      <c r="N206" s="1"/>
      <c r="P206" s="17" t="s">
        <v>10</v>
      </c>
      <c r="Q206" s="35"/>
      <c r="R206" s="18"/>
      <c r="S206" s="19">
        <f>ROUNDUP(SUM(S200:S205),0)</f>
        <v>979</v>
      </c>
      <c r="T206" s="1"/>
      <c r="U206" s="1"/>
    </row>
    <row r="207" spans="2:30">
      <c r="B207" s="20" t="s">
        <v>251</v>
      </c>
      <c r="C207" s="270">
        <v>0</v>
      </c>
      <c r="D207" s="21"/>
      <c r="E207" s="22">
        <f>ROUNDUP(SUM(E203)*C207,0)</f>
        <v>0</v>
      </c>
      <c r="F207" s="1"/>
      <c r="G207" s="1"/>
      <c r="H207" s="1"/>
      <c r="I207" s="20" t="s">
        <v>251</v>
      </c>
      <c r="J207" s="270">
        <v>0</v>
      </c>
      <c r="K207" s="21"/>
      <c r="L207" s="22">
        <f>ROUNDUP(SUM(L203)*J207,0)</f>
        <v>0</v>
      </c>
      <c r="M207" s="1"/>
      <c r="N207" s="1"/>
      <c r="P207" s="20" t="s">
        <v>251</v>
      </c>
      <c r="Q207" s="270">
        <v>0</v>
      </c>
      <c r="R207" s="21"/>
      <c r="S207" s="22">
        <f>ROUNDUP(SUM(S203)*Q207,0)</f>
        <v>0</v>
      </c>
      <c r="T207" s="1"/>
      <c r="U207" s="1"/>
      <c r="W207" s="1907" t="s">
        <v>490</v>
      </c>
      <c r="X207" s="1908"/>
      <c r="Y207" s="1908"/>
      <c r="Z207" s="1909"/>
      <c r="AB207" s="43"/>
    </row>
    <row r="208" spans="2:30">
      <c r="B208" s="446" t="s">
        <v>427</v>
      </c>
      <c r="C208" s="40">
        <f>IF(E206&lt;=5000,0.1,IF(E206&lt;=10000,0.06,0.04))+$C$12</f>
        <v>0.2</v>
      </c>
      <c r="D208" s="41"/>
      <c r="E208" s="42">
        <f>ROUNDUP(E206*C208,0)</f>
        <v>196</v>
      </c>
      <c r="F208" s="454" t="str">
        <f>$F$12</f>
        <v>+3% + 7% material esc.</v>
      </c>
      <c r="I208" s="446" t="s">
        <v>427</v>
      </c>
      <c r="J208" s="40">
        <f>IF(L206&lt;=5000,0.1,IF(L206&lt;=10000,0.06,0.04))+$C$12</f>
        <v>0.2</v>
      </c>
      <c r="K208" s="41"/>
      <c r="L208" s="42">
        <f>ROUNDUP(L206*J208,0)</f>
        <v>196</v>
      </c>
      <c r="M208" s="454" t="str">
        <f>$F$12</f>
        <v>+3% + 7% material esc.</v>
      </c>
      <c r="P208" s="446" t="s">
        <v>427</v>
      </c>
      <c r="Q208" s="40">
        <f>IF(S206&lt;=5000,0.1,IF(S206&lt;=10000,0.06,0.04))+$C$12</f>
        <v>0.2</v>
      </c>
      <c r="R208" s="41"/>
      <c r="S208" s="42">
        <f>ROUNDUP(S206*Q208,0)</f>
        <v>196</v>
      </c>
      <c r="T208" s="454" t="str">
        <f>$F$12</f>
        <v>+3% + 7% material esc.</v>
      </c>
      <c r="W208" s="25" t="s">
        <v>14</v>
      </c>
      <c r="X208" s="90" t="s">
        <v>11</v>
      </c>
      <c r="Y208" s="90" t="s">
        <v>1</v>
      </c>
      <c r="Z208" s="91" t="s">
        <v>2</v>
      </c>
      <c r="AA208" s="268">
        <v>100</v>
      </c>
      <c r="AB208" s="82" t="s">
        <v>27</v>
      </c>
      <c r="AC208" s="1547" t="s">
        <v>1040</v>
      </c>
    </row>
    <row r="209" spans="2:29">
      <c r="B209" s="10" t="s">
        <v>3</v>
      </c>
      <c r="C209" s="36"/>
      <c r="D209" s="13"/>
      <c r="E209" s="13">
        <f>SUM(E206:E208)</f>
        <v>1175</v>
      </c>
      <c r="F209" s="123">
        <f>E209/F202</f>
        <v>11.75</v>
      </c>
      <c r="G209" s="124" t="s">
        <v>80</v>
      </c>
      <c r="H209" s="1"/>
      <c r="I209" s="10" t="s">
        <v>3</v>
      </c>
      <c r="J209" s="36"/>
      <c r="K209" s="13"/>
      <c r="L209" s="13">
        <f>SUM(L206:L208)</f>
        <v>1175</v>
      </c>
      <c r="M209" s="123">
        <f>L209/M202</f>
        <v>11.75</v>
      </c>
      <c r="N209" s="124" t="s">
        <v>80</v>
      </c>
      <c r="P209" s="10" t="s">
        <v>3</v>
      </c>
      <c r="Q209" s="36"/>
      <c r="R209" s="13"/>
      <c r="S209" s="13">
        <f>SUM(S206:S208)</f>
        <v>1175</v>
      </c>
      <c r="T209" s="123">
        <f>S209/T202</f>
        <v>11.75</v>
      </c>
      <c r="U209" s="124" t="s">
        <v>80</v>
      </c>
      <c r="W209" s="47" t="s">
        <v>298</v>
      </c>
      <c r="X209" s="265">
        <v>1</v>
      </c>
      <c r="Y209" s="1546">
        <f>51.36+AC209</f>
        <v>54.441600000000001</v>
      </c>
      <c r="Z209" s="34">
        <f t="shared" ref="Z209:Z211" si="38">X209*Y209</f>
        <v>54.441600000000001</v>
      </c>
      <c r="AA209" s="301">
        <f>(8/1600)*AA208</f>
        <v>0.5</v>
      </c>
      <c r="AC209" s="1545">
        <f>51.36*AD198</f>
        <v>3.0815999999999999</v>
      </c>
    </row>
    <row r="210" spans="2:29">
      <c r="B210" s="1"/>
      <c r="C210" s="32"/>
      <c r="D210" s="7"/>
      <c r="E210" s="7"/>
      <c r="F210" s="1"/>
      <c r="I210" s="1"/>
      <c r="J210" s="32"/>
      <c r="K210" s="7"/>
      <c r="L210" s="7"/>
      <c r="M210" s="1"/>
      <c r="P210" s="1"/>
      <c r="Q210" s="32"/>
      <c r="R210" s="7"/>
      <c r="S210" s="7"/>
      <c r="T210" s="1"/>
      <c r="W210" s="47" t="s">
        <v>484</v>
      </c>
      <c r="X210" s="56">
        <v>4</v>
      </c>
      <c r="Y210" s="1546">
        <f>66.76+AC210</f>
        <v>70.765600000000006</v>
      </c>
      <c r="Z210" s="34">
        <f t="shared" si="38"/>
        <v>283.06240000000003</v>
      </c>
      <c r="AA210" s="301"/>
      <c r="AC210" s="1545">
        <f>66.76*AD198</f>
        <v>4.0056000000000003</v>
      </c>
    </row>
    <row r="211" spans="2:29">
      <c r="B211" s="75" t="s">
        <v>45</v>
      </c>
      <c r="C211" s="271">
        <f>F202</f>
        <v>100</v>
      </c>
      <c r="D211" s="75" t="s">
        <v>46</v>
      </c>
      <c r="E211" s="272">
        <v>0</v>
      </c>
      <c r="F211" s="1"/>
      <c r="G211" s="273">
        <f>E211/C211</f>
        <v>0</v>
      </c>
      <c r="I211" s="75" t="s">
        <v>45</v>
      </c>
      <c r="J211" s="271">
        <f>M202</f>
        <v>100</v>
      </c>
      <c r="K211" s="75" t="s">
        <v>46</v>
      </c>
      <c r="L211" s="272">
        <v>0</v>
      </c>
      <c r="M211" s="1"/>
      <c r="N211" s="273">
        <f>L211/J211</f>
        <v>0</v>
      </c>
      <c r="P211" s="75" t="s">
        <v>45</v>
      </c>
      <c r="Q211" s="271">
        <f>T202</f>
        <v>100</v>
      </c>
      <c r="R211" s="75" t="s">
        <v>46</v>
      </c>
      <c r="S211" s="272">
        <v>0</v>
      </c>
      <c r="T211" s="1"/>
      <c r="U211" s="273">
        <f>S211/Q211</f>
        <v>0</v>
      </c>
      <c r="W211" s="47" t="s">
        <v>1041</v>
      </c>
      <c r="X211" s="121">
        <v>1</v>
      </c>
      <c r="Y211" s="1546">
        <f>364+AC211</f>
        <v>385.84</v>
      </c>
      <c r="Z211" s="34">
        <f t="shared" si="38"/>
        <v>385.84</v>
      </c>
      <c r="AA211" s="301">
        <f>AA208/750</f>
        <v>0.13333333333333333</v>
      </c>
      <c r="AC211" s="1545">
        <f>364*AD198</f>
        <v>21.84</v>
      </c>
    </row>
    <row r="212" spans="2:29">
      <c r="B212" s="85" t="s">
        <v>52</v>
      </c>
      <c r="C212" s="68" t="s">
        <v>42</v>
      </c>
      <c r="D212" s="68" t="s">
        <v>47</v>
      </c>
      <c r="E212" s="87" t="s">
        <v>51</v>
      </c>
      <c r="F212" s="76" t="s">
        <v>59</v>
      </c>
      <c r="G212" s="156" t="s">
        <v>86</v>
      </c>
      <c r="H212" s="274"/>
      <c r="I212" s="85" t="s">
        <v>52</v>
      </c>
      <c r="J212" s="68" t="s">
        <v>42</v>
      </c>
      <c r="K212" s="68" t="s">
        <v>47</v>
      </c>
      <c r="L212" s="87" t="s">
        <v>51</v>
      </c>
      <c r="M212" s="76" t="s">
        <v>59</v>
      </c>
      <c r="N212" s="156" t="s">
        <v>86</v>
      </c>
      <c r="P212" s="85" t="s">
        <v>52</v>
      </c>
      <c r="Q212" s="68" t="s">
        <v>42</v>
      </c>
      <c r="R212" s="68" t="s">
        <v>47</v>
      </c>
      <c r="S212" s="87" t="s">
        <v>51</v>
      </c>
      <c r="T212" s="76" t="s">
        <v>59</v>
      </c>
      <c r="U212" s="156" t="s">
        <v>86</v>
      </c>
      <c r="W212" s="47" t="s">
        <v>485</v>
      </c>
      <c r="X212" s="56">
        <v>100</v>
      </c>
      <c r="Y212" s="306">
        <v>0.38</v>
      </c>
      <c r="Z212" s="9">
        <f>X212*Y212</f>
        <v>38</v>
      </c>
    </row>
    <row r="213" spans="2:29">
      <c r="B213" s="69">
        <v>2</v>
      </c>
      <c r="C213" s="1">
        <v>2</v>
      </c>
      <c r="D213" s="523">
        <f>$D$17</f>
        <v>33.5</v>
      </c>
      <c r="E213" s="70">
        <f>B213*C213*D213*8</f>
        <v>1072</v>
      </c>
      <c r="F213" s="76"/>
      <c r="G213" s="157">
        <f>F202/(E213/D213)</f>
        <v>3.125</v>
      </c>
      <c r="H213" s="154"/>
      <c r="I213" s="69">
        <v>2</v>
      </c>
      <c r="J213" s="1">
        <v>2.5</v>
      </c>
      <c r="K213" s="523">
        <f>$D$17</f>
        <v>33.5</v>
      </c>
      <c r="L213" s="70">
        <f>I213*J213*K213*8</f>
        <v>1340</v>
      </c>
      <c r="M213" s="76"/>
      <c r="N213" s="157">
        <f>M202/(L213/K213)</f>
        <v>2.5</v>
      </c>
      <c r="P213" s="69">
        <v>2</v>
      </c>
      <c r="Q213" s="1">
        <v>2.5</v>
      </c>
      <c r="R213" s="523">
        <f>$D$17</f>
        <v>33.5</v>
      </c>
      <c r="S213" s="70">
        <f>P213*Q213*R213*8</f>
        <v>1340</v>
      </c>
      <c r="T213" s="76"/>
      <c r="U213" s="157">
        <f>T202/(S213/R213)</f>
        <v>2.5</v>
      </c>
      <c r="W213" s="499" t="s">
        <v>3</v>
      </c>
      <c r="X213" s="500"/>
      <c r="Y213" s="501"/>
      <c r="Z213" s="283">
        <f>SUM(Z209:Z212)</f>
        <v>761.34400000000005</v>
      </c>
      <c r="AA213" s="402">
        <f>Z213/AA208</f>
        <v>7.6134400000000007</v>
      </c>
      <c r="AB213" s="220" t="s">
        <v>249</v>
      </c>
    </row>
    <row r="214" spans="2:29">
      <c r="B214" s="69"/>
      <c r="C214" s="1"/>
      <c r="D214" s="523">
        <f>$D$17</f>
        <v>33.5</v>
      </c>
      <c r="E214" s="70">
        <f>B214*C214*D214*8</f>
        <v>0</v>
      </c>
      <c r="F214" s="76"/>
      <c r="G214" s="275" t="e">
        <f>F204/(E214/D214)</f>
        <v>#DIV/0!</v>
      </c>
      <c r="H214" s="154"/>
      <c r="I214" s="69"/>
      <c r="J214" s="1"/>
      <c r="K214" s="523">
        <f>$D$17</f>
        <v>33.5</v>
      </c>
      <c r="L214" s="70">
        <f>I214*J214*K214*8</f>
        <v>0</v>
      </c>
      <c r="M214" s="76"/>
      <c r="N214" s="275" t="e">
        <f>M204/(L214/K214)</f>
        <v>#DIV/0!</v>
      </c>
      <c r="P214" s="69"/>
      <c r="Q214" s="1"/>
      <c r="R214" s="523">
        <f>$D$17</f>
        <v>33.5</v>
      </c>
      <c r="S214" s="70">
        <f>P214*Q214*R214*8</f>
        <v>0</v>
      </c>
      <c r="T214" s="76"/>
      <c r="U214" s="275" t="e">
        <f>T204/(S214/R214)</f>
        <v>#DIV/0!</v>
      </c>
    </row>
    <row r="215" spans="2:29">
      <c r="B215" s="86" t="s">
        <v>53</v>
      </c>
      <c r="C215" s="67" t="s">
        <v>44</v>
      </c>
      <c r="D215" s="67" t="s">
        <v>43</v>
      </c>
      <c r="E215" s="71"/>
      <c r="F215" s="1357">
        <f>Epoxy!B52</f>
        <v>0</v>
      </c>
      <c r="G215" s="434" t="s">
        <v>412</v>
      </c>
      <c r="H215" s="395"/>
      <c r="I215" s="86" t="s">
        <v>53</v>
      </c>
      <c r="J215" s="67" t="s">
        <v>44</v>
      </c>
      <c r="K215" s="67" t="s">
        <v>43</v>
      </c>
      <c r="L215" s="71"/>
      <c r="M215" s="1"/>
      <c r="P215" s="86" t="s">
        <v>53</v>
      </c>
      <c r="Q215" s="67" t="s">
        <v>44</v>
      </c>
      <c r="R215" s="67" t="s">
        <v>43</v>
      </c>
      <c r="S215" s="71"/>
      <c r="T215" s="1"/>
      <c r="W215" s="1907" t="s">
        <v>491</v>
      </c>
      <c r="X215" s="1908"/>
      <c r="Y215" s="1908"/>
      <c r="Z215" s="1909"/>
    </row>
    <row r="216" spans="2:29">
      <c r="B216" s="69">
        <f>B213</f>
        <v>2</v>
      </c>
      <c r="C216" s="1">
        <f>IF(F215&gt;0,F215,F216)</f>
        <v>0</v>
      </c>
      <c r="D216" s="523">
        <f>$D$20</f>
        <v>33.5</v>
      </c>
      <c r="E216" s="70">
        <f>B216*C216*D216</f>
        <v>0</v>
      </c>
      <c r="F216" s="431">
        <f>Polish!B44</f>
        <v>0</v>
      </c>
      <c r="G216" s="431" t="s">
        <v>412</v>
      </c>
      <c r="H216" s="392"/>
      <c r="I216" s="69">
        <f>I213</f>
        <v>2</v>
      </c>
      <c r="J216" s="1">
        <f>4</f>
        <v>4</v>
      </c>
      <c r="K216" s="523">
        <f>$D$20</f>
        <v>33.5</v>
      </c>
      <c r="L216" s="70">
        <f>I216*J216*K216</f>
        <v>268</v>
      </c>
      <c r="M216" s="76" t="s">
        <v>274</v>
      </c>
      <c r="P216" s="69">
        <f>P213</f>
        <v>2</v>
      </c>
      <c r="Q216" s="1">
        <f>6</f>
        <v>6</v>
      </c>
      <c r="R216" s="523">
        <f>$D$20</f>
        <v>33.5</v>
      </c>
      <c r="S216" s="70">
        <f>P216*Q216*R216</f>
        <v>402</v>
      </c>
      <c r="T216" s="76" t="s">
        <v>274</v>
      </c>
      <c r="W216" s="25" t="s">
        <v>14</v>
      </c>
      <c r="X216" s="90" t="s">
        <v>11</v>
      </c>
      <c r="Y216" s="90" t="s">
        <v>1</v>
      </c>
      <c r="Z216" s="91" t="s">
        <v>2</v>
      </c>
      <c r="AA216" s="268">
        <v>100</v>
      </c>
      <c r="AB216" s="82" t="s">
        <v>27</v>
      </c>
      <c r="AC216" s="1547" t="s">
        <v>1040</v>
      </c>
    </row>
    <row r="217" spans="2:29">
      <c r="B217" s="277" t="s">
        <v>4</v>
      </c>
      <c r="C217" s="278"/>
      <c r="D217" s="278"/>
      <c r="E217" s="279">
        <f>ROUNDUP(SUM(E213:E216),0)</f>
        <v>1072</v>
      </c>
      <c r="F217" s="123">
        <f>E217/C211</f>
        <v>10.72</v>
      </c>
      <c r="G217" s="124" t="s">
        <v>87</v>
      </c>
      <c r="H217" s="1"/>
      <c r="I217" s="277" t="s">
        <v>4</v>
      </c>
      <c r="J217" s="278"/>
      <c r="K217" s="278"/>
      <c r="L217" s="279">
        <f>ROUNDUP(SUM(L213:L216),0)</f>
        <v>1608</v>
      </c>
      <c r="M217" s="123">
        <f>L217/J211</f>
        <v>16.079999999999998</v>
      </c>
      <c r="N217" s="124" t="s">
        <v>87</v>
      </c>
      <c r="P217" s="277" t="s">
        <v>4</v>
      </c>
      <c r="Q217" s="278"/>
      <c r="R217" s="278"/>
      <c r="S217" s="279">
        <f>ROUNDUP(SUM(S213:S216),0)</f>
        <v>1742</v>
      </c>
      <c r="T217" s="123">
        <f>S217/Q211</f>
        <v>17.420000000000002</v>
      </c>
      <c r="U217" s="124" t="s">
        <v>87</v>
      </c>
      <c r="W217" s="47" t="s">
        <v>374</v>
      </c>
      <c r="X217" s="265">
        <v>2</v>
      </c>
      <c r="Y217" s="1546">
        <f>129+AC217</f>
        <v>136.74</v>
      </c>
      <c r="Z217" s="34">
        <f t="shared" ref="Z217:Z219" si="39">X217*Y217</f>
        <v>273.48</v>
      </c>
      <c r="AA217" s="301">
        <f>AA216/55</f>
        <v>1.8181818181818181</v>
      </c>
      <c r="AC217" s="1545">
        <f>129*AD198</f>
        <v>7.7399999999999993</v>
      </c>
    </row>
    <row r="218" spans="2:29">
      <c r="B218" s="1"/>
      <c r="C218" s="32"/>
      <c r="D218" s="7"/>
      <c r="E218" s="7"/>
      <c r="F218" s="7"/>
      <c r="G218" s="1"/>
      <c r="H218" s="1"/>
      <c r="I218" s="1"/>
      <c r="J218" s="32"/>
      <c r="K218" s="7"/>
      <c r="L218" s="7"/>
      <c r="M218" s="7"/>
      <c r="N218" s="1"/>
      <c r="P218" s="1"/>
      <c r="Q218" s="32"/>
      <c r="R218" s="7"/>
      <c r="S218" s="7"/>
      <c r="T218" s="7"/>
      <c r="U218" s="1"/>
      <c r="W218" s="47" t="s">
        <v>488</v>
      </c>
      <c r="X218" s="56">
        <f>2+2</f>
        <v>4</v>
      </c>
      <c r="Y218" s="1546">
        <f>66.76+AC218</f>
        <v>70.765600000000006</v>
      </c>
      <c r="Z218" s="34">
        <f t="shared" si="39"/>
        <v>283.06240000000003</v>
      </c>
      <c r="AA218" s="220" t="s">
        <v>494</v>
      </c>
      <c r="AC218" s="1545">
        <f>66.76*AD198</f>
        <v>4.0056000000000003</v>
      </c>
    </row>
    <row r="219" spans="2:29">
      <c r="B219" s="5" t="s">
        <v>252</v>
      </c>
      <c r="C219" s="30" t="s">
        <v>11</v>
      </c>
      <c r="D219" s="11" t="s">
        <v>1</v>
      </c>
      <c r="E219" s="12" t="s">
        <v>2</v>
      </c>
      <c r="F219" s="1"/>
      <c r="G219" s="1"/>
      <c r="H219" s="1"/>
      <c r="I219" s="5" t="s">
        <v>252</v>
      </c>
      <c r="J219" s="30" t="s">
        <v>11</v>
      </c>
      <c r="K219" s="11" t="s">
        <v>1</v>
      </c>
      <c r="L219" s="12" t="s">
        <v>2</v>
      </c>
      <c r="M219" s="1"/>
      <c r="N219" s="1"/>
      <c r="P219" s="5" t="s">
        <v>252</v>
      </c>
      <c r="Q219" s="30" t="s">
        <v>11</v>
      </c>
      <c r="R219" s="11" t="s">
        <v>1</v>
      </c>
      <c r="S219" s="12" t="s">
        <v>2</v>
      </c>
      <c r="T219" s="1"/>
      <c r="U219" s="1"/>
      <c r="W219" s="47" t="s">
        <v>486</v>
      </c>
      <c r="X219" s="56">
        <v>1</v>
      </c>
      <c r="Y219" s="1546">
        <f>85.6+AC219</f>
        <v>90.73599999999999</v>
      </c>
      <c r="Z219" s="34">
        <f t="shared" si="39"/>
        <v>90.73599999999999</v>
      </c>
      <c r="AA219" s="459">
        <f>(8/1600)*AA216</f>
        <v>0.5</v>
      </c>
      <c r="AC219" s="1545">
        <f>85.6*AD198</f>
        <v>5.1359999999999992</v>
      </c>
    </row>
    <row r="220" spans="2:29">
      <c r="B220" s="6" t="s">
        <v>17</v>
      </c>
      <c r="C220" s="37">
        <v>1</v>
      </c>
      <c r="D220" s="7">
        <v>35</v>
      </c>
      <c r="E220" s="9">
        <f t="shared" ref="E220:E226" si="40">ROUNDUP(C220*D220,0)</f>
        <v>35</v>
      </c>
      <c r="F220" s="1"/>
      <c r="G220" s="1"/>
      <c r="H220" s="1"/>
      <c r="I220" s="6" t="s">
        <v>17</v>
      </c>
      <c r="J220" s="37">
        <v>1</v>
      </c>
      <c r="K220" s="7">
        <v>35</v>
      </c>
      <c r="L220" s="9">
        <f t="shared" ref="L220:L226" si="41">ROUNDUP(J220*K220,0)</f>
        <v>35</v>
      </c>
      <c r="M220" s="1"/>
      <c r="N220" s="1"/>
      <c r="P220" s="6" t="s">
        <v>17</v>
      </c>
      <c r="Q220" s="37">
        <v>1</v>
      </c>
      <c r="R220" s="7">
        <v>35</v>
      </c>
      <c r="S220" s="9">
        <f t="shared" ref="S220:S226" si="42">ROUNDUP(Q220*R220,0)</f>
        <v>35</v>
      </c>
      <c r="T220" s="1"/>
      <c r="U220" s="1"/>
      <c r="W220" s="47" t="s">
        <v>1041</v>
      </c>
      <c r="X220" s="121">
        <v>1</v>
      </c>
      <c r="Y220" s="1546">
        <f>364+AC220</f>
        <v>385.84</v>
      </c>
      <c r="Z220" s="9">
        <f>X220*Y220</f>
        <v>385.84</v>
      </c>
      <c r="AA220" s="301">
        <f>AA216/750</f>
        <v>0.13333333333333333</v>
      </c>
      <c r="AB220" s="220" t="s">
        <v>497</v>
      </c>
      <c r="AC220" s="1545">
        <f>364*AD198</f>
        <v>21.84</v>
      </c>
    </row>
    <row r="221" spans="2:29">
      <c r="B221" s="6" t="s">
        <v>75</v>
      </c>
      <c r="C221" s="37"/>
      <c r="D221" s="7">
        <v>0.33</v>
      </c>
      <c r="E221" s="9">
        <f t="shared" si="40"/>
        <v>0</v>
      </c>
      <c r="F221" s="1"/>
      <c r="G221" s="1"/>
      <c r="H221" s="1"/>
      <c r="I221" s="6" t="s">
        <v>75</v>
      </c>
      <c r="J221" s="37"/>
      <c r="K221" s="7">
        <v>0.33</v>
      </c>
      <c r="L221" s="9">
        <f t="shared" si="41"/>
        <v>0</v>
      </c>
      <c r="M221" s="1"/>
      <c r="N221" s="1"/>
      <c r="P221" s="6" t="s">
        <v>75</v>
      </c>
      <c r="Q221" s="37"/>
      <c r="R221" s="7">
        <v>0.33</v>
      </c>
      <c r="S221" s="9">
        <f t="shared" si="42"/>
        <v>0</v>
      </c>
      <c r="T221" s="1"/>
      <c r="U221" s="1"/>
      <c r="W221" s="47" t="s">
        <v>496</v>
      </c>
      <c r="X221" s="56">
        <f>100+50</f>
        <v>150</v>
      </c>
      <c r="Y221" s="306">
        <v>0.38</v>
      </c>
      <c r="Z221" s="9">
        <f>X221*Y221</f>
        <v>57</v>
      </c>
      <c r="AA221" s="220" t="s">
        <v>494</v>
      </c>
    </row>
    <row r="222" spans="2:29">
      <c r="B222" s="6" t="s">
        <v>68</v>
      </c>
      <c r="C222" s="37">
        <v>0</v>
      </c>
      <c r="D222" s="7">
        <f>$D$26</f>
        <v>70</v>
      </c>
      <c r="E222" s="9">
        <f t="shared" si="40"/>
        <v>0</v>
      </c>
      <c r="F222" s="1"/>
      <c r="G222" s="1"/>
      <c r="H222" s="1"/>
      <c r="I222" s="6" t="s">
        <v>68</v>
      </c>
      <c r="J222" s="37">
        <f>I213</f>
        <v>2</v>
      </c>
      <c r="K222" s="7">
        <f>$D$26</f>
        <v>70</v>
      </c>
      <c r="L222" s="9">
        <f t="shared" si="41"/>
        <v>140</v>
      </c>
      <c r="M222" s="1"/>
      <c r="N222" s="1"/>
      <c r="P222" s="6" t="s">
        <v>68</v>
      </c>
      <c r="Q222" s="37">
        <f>((S217-S216)/8)/R213</f>
        <v>5</v>
      </c>
      <c r="R222" s="7">
        <f>$D$26</f>
        <v>70</v>
      </c>
      <c r="S222" s="9">
        <f t="shared" si="42"/>
        <v>350</v>
      </c>
      <c r="T222" s="1"/>
      <c r="U222" s="505"/>
      <c r="V222" s="506" t="s">
        <v>498</v>
      </c>
      <c r="W222" s="507" t="s">
        <v>3</v>
      </c>
      <c r="X222" s="508"/>
      <c r="Y222" s="509"/>
      <c r="Z222" s="510">
        <f>SUM(Z217:Z221)</f>
        <v>1090.1184000000001</v>
      </c>
      <c r="AA222" s="402">
        <f>Z222/AA216</f>
        <v>10.901184000000001</v>
      </c>
      <c r="AB222" s="220" t="s">
        <v>249</v>
      </c>
    </row>
    <row r="223" spans="2:29">
      <c r="B223" s="6" t="s">
        <v>69</v>
      </c>
      <c r="C223" s="37">
        <f>C222</f>
        <v>0</v>
      </c>
      <c r="D223" s="7">
        <f>$D$27</f>
        <v>45</v>
      </c>
      <c r="E223" s="9">
        <f t="shared" si="40"/>
        <v>0</v>
      </c>
      <c r="F223" s="43"/>
      <c r="G223" s="1"/>
      <c r="H223" s="1"/>
      <c r="I223" s="6" t="s">
        <v>69</v>
      </c>
      <c r="J223" s="37">
        <f>J222</f>
        <v>2</v>
      </c>
      <c r="K223" s="7">
        <f>$D$27</f>
        <v>45</v>
      </c>
      <c r="L223" s="9">
        <f t="shared" si="41"/>
        <v>90</v>
      </c>
      <c r="M223" s="43"/>
      <c r="N223" s="1"/>
      <c r="P223" s="6" t="s">
        <v>69</v>
      </c>
      <c r="Q223" s="37">
        <f>Q222</f>
        <v>5</v>
      </c>
      <c r="R223" s="7">
        <f>$D$27</f>
        <v>45</v>
      </c>
      <c r="S223" s="9">
        <f t="shared" si="42"/>
        <v>225</v>
      </c>
      <c r="T223" s="43"/>
      <c r="U223" s="1"/>
    </row>
    <row r="224" spans="2:29">
      <c r="B224" s="6" t="s">
        <v>253</v>
      </c>
      <c r="C224" s="37">
        <f>(E217/8)/D213</f>
        <v>4</v>
      </c>
      <c r="D224" s="7">
        <f>$D$28</f>
        <v>14</v>
      </c>
      <c r="E224" s="9">
        <f t="shared" si="40"/>
        <v>56</v>
      </c>
      <c r="F224" s="43"/>
      <c r="G224" s="1"/>
      <c r="H224" s="1"/>
      <c r="I224" s="6" t="s">
        <v>253</v>
      </c>
      <c r="J224" s="37">
        <f>(L217/8)/K213</f>
        <v>6</v>
      </c>
      <c r="K224" s="7">
        <f>$D$28</f>
        <v>14</v>
      </c>
      <c r="L224" s="9">
        <f t="shared" si="41"/>
        <v>84</v>
      </c>
      <c r="M224" s="43"/>
      <c r="N224" s="1"/>
      <c r="P224" s="6" t="s">
        <v>253</v>
      </c>
      <c r="Q224" s="37">
        <f>(S217/8)/R213</f>
        <v>6.5</v>
      </c>
      <c r="R224" s="7">
        <f>$D$28</f>
        <v>14</v>
      </c>
      <c r="S224" s="9">
        <f t="shared" si="42"/>
        <v>91</v>
      </c>
      <c r="T224" s="43"/>
      <c r="U224" s="1"/>
      <c r="W224" s="1907" t="s">
        <v>492</v>
      </c>
      <c r="X224" s="1908"/>
      <c r="Y224" s="1908"/>
      <c r="Z224" s="1909"/>
    </row>
    <row r="225" spans="2:29">
      <c r="B225" s="6" t="s">
        <v>254</v>
      </c>
      <c r="C225" s="37"/>
      <c r="D225" s="7">
        <v>0.04</v>
      </c>
      <c r="E225" s="9">
        <f t="shared" si="40"/>
        <v>0</v>
      </c>
      <c r="F225" s="1"/>
      <c r="G225" s="1"/>
      <c r="H225" s="1"/>
      <c r="I225" s="6" t="s">
        <v>279</v>
      </c>
      <c r="J225" s="37">
        <v>240</v>
      </c>
      <c r="K225" s="7">
        <v>0.6</v>
      </c>
      <c r="L225" s="9">
        <f t="shared" si="41"/>
        <v>144</v>
      </c>
      <c r="M225" s="1"/>
      <c r="N225" s="1"/>
      <c r="P225" s="6" t="s">
        <v>279</v>
      </c>
      <c r="Q225" s="37">
        <v>400</v>
      </c>
      <c r="R225" s="7">
        <v>0.6</v>
      </c>
      <c r="S225" s="9">
        <f t="shared" si="42"/>
        <v>240</v>
      </c>
      <c r="T225" s="1"/>
      <c r="U225" s="1"/>
      <c r="W225" s="25" t="s">
        <v>14</v>
      </c>
      <c r="X225" s="90" t="s">
        <v>11</v>
      </c>
      <c r="Y225" s="90" t="s">
        <v>1</v>
      </c>
      <c r="Z225" s="91" t="s">
        <v>2</v>
      </c>
      <c r="AA225" s="268">
        <v>100</v>
      </c>
      <c r="AB225" s="82" t="s">
        <v>27</v>
      </c>
      <c r="AC225" s="1547" t="s">
        <v>1040</v>
      </c>
    </row>
    <row r="226" spans="2:29">
      <c r="B226" s="6" t="s">
        <v>28</v>
      </c>
      <c r="C226" s="37"/>
      <c r="D226" s="7"/>
      <c r="E226" s="9">
        <f t="shared" si="40"/>
        <v>0</v>
      </c>
      <c r="F226" s="1"/>
      <c r="G226" s="1"/>
      <c r="H226" s="1"/>
      <c r="I226" s="6" t="s">
        <v>28</v>
      </c>
      <c r="J226" s="37"/>
      <c r="K226" s="7"/>
      <c r="L226" s="9">
        <f t="shared" si="41"/>
        <v>0</v>
      </c>
      <c r="M226" s="1"/>
      <c r="N226" s="1"/>
      <c r="P226" s="6" t="s">
        <v>28</v>
      </c>
      <c r="Q226" s="37"/>
      <c r="R226" s="7"/>
      <c r="S226" s="9">
        <f t="shared" si="42"/>
        <v>0</v>
      </c>
      <c r="T226" s="1"/>
      <c r="U226" s="1"/>
      <c r="W226" s="47" t="s">
        <v>374</v>
      </c>
      <c r="X226" s="265">
        <v>2</v>
      </c>
      <c r="Y226" s="1546">
        <f>129+AC226</f>
        <v>136.74</v>
      </c>
      <c r="Z226" s="34">
        <f t="shared" ref="Z226:Z228" si="43">X226*Y226</f>
        <v>273.48</v>
      </c>
      <c r="AA226" s="301">
        <f>AA225/55</f>
        <v>1.8181818181818181</v>
      </c>
      <c r="AC226" s="1545">
        <f>129*AD198</f>
        <v>7.7399999999999993</v>
      </c>
    </row>
    <row r="227" spans="2:29">
      <c r="B227" s="10" t="s">
        <v>255</v>
      </c>
      <c r="C227" s="36"/>
      <c r="D227" s="13"/>
      <c r="E227" s="16">
        <f>SUM(E220:E226)</f>
        <v>91</v>
      </c>
      <c r="F227" s="1"/>
      <c r="G227" s="1"/>
      <c r="H227" s="1"/>
      <c r="I227" s="10" t="s">
        <v>255</v>
      </c>
      <c r="J227" s="36"/>
      <c r="K227" s="13"/>
      <c r="L227" s="16">
        <f>SUM(L220:L226)</f>
        <v>493</v>
      </c>
      <c r="M227" s="1"/>
      <c r="N227" s="1"/>
      <c r="P227" s="10" t="s">
        <v>255</v>
      </c>
      <c r="Q227" s="36"/>
      <c r="R227" s="13"/>
      <c r="S227" s="16">
        <f>SUM(S220:S226)</f>
        <v>941</v>
      </c>
      <c r="T227" s="1"/>
      <c r="U227" s="1"/>
      <c r="W227" s="47" t="s">
        <v>481</v>
      </c>
      <c r="X227" s="266">
        <v>1</v>
      </c>
      <c r="Y227" s="1546">
        <f>290+AC227</f>
        <v>307.39999999999998</v>
      </c>
      <c r="Z227" s="34">
        <f t="shared" si="43"/>
        <v>307.39999999999998</v>
      </c>
      <c r="AA227" s="301">
        <f>AA225/200</f>
        <v>0.5</v>
      </c>
      <c r="AC227" s="1545">
        <f>290*AD198</f>
        <v>17.399999999999999</v>
      </c>
    </row>
    <row r="228" spans="2:29">
      <c r="B228" s="1"/>
      <c r="C228" s="32"/>
      <c r="D228" s="7"/>
      <c r="E228" s="7"/>
      <c r="F228" s="1"/>
      <c r="G228" s="1"/>
      <c r="H228" s="1"/>
      <c r="I228" s="1"/>
      <c r="J228" s="32"/>
      <c r="K228" s="7"/>
      <c r="L228" s="7"/>
      <c r="M228" s="1"/>
      <c r="N228" s="1"/>
      <c r="P228" s="1"/>
      <c r="Q228" s="32"/>
      <c r="R228" s="7"/>
      <c r="S228" s="7"/>
      <c r="T228" s="1"/>
      <c r="U228" s="1"/>
      <c r="W228" s="47" t="s">
        <v>482</v>
      </c>
      <c r="X228" s="266">
        <v>100</v>
      </c>
      <c r="Y228" s="33">
        <v>0.44</v>
      </c>
      <c r="Z228" s="34">
        <f t="shared" si="43"/>
        <v>44</v>
      </c>
      <c r="AA228" s="301">
        <f>AA225*0.75</f>
        <v>75</v>
      </c>
      <c r="AC228" s="1545"/>
    </row>
    <row r="229" spans="2:29">
      <c r="B229" s="1"/>
      <c r="C229" s="32"/>
      <c r="D229" s="7"/>
      <c r="E229" s="7"/>
      <c r="F229" s="1"/>
      <c r="G229" s="1"/>
      <c r="H229" s="1"/>
      <c r="I229" s="1"/>
      <c r="J229" s="32"/>
      <c r="K229" s="7"/>
      <c r="L229" s="7"/>
      <c r="M229" s="1"/>
      <c r="N229" s="1"/>
      <c r="P229" s="1"/>
      <c r="Q229" s="32"/>
      <c r="R229" s="7"/>
      <c r="S229" s="7"/>
      <c r="T229" s="1"/>
      <c r="U229" s="1"/>
      <c r="W229" s="47"/>
      <c r="X229" s="265"/>
      <c r="Y229" s="7"/>
      <c r="Z229" s="9">
        <f>X229*Y229</f>
        <v>0</v>
      </c>
    </row>
    <row r="230" spans="2:29">
      <c r="B230" s="280" t="s">
        <v>9</v>
      </c>
      <c r="C230" s="281"/>
      <c r="D230" s="282"/>
      <c r="E230" s="283">
        <f>SUM(E209,E217,E227)</f>
        <v>2338</v>
      </c>
      <c r="F230" s="1"/>
      <c r="G230" s="1"/>
      <c r="H230" s="1"/>
      <c r="I230" s="280" t="s">
        <v>9</v>
      </c>
      <c r="J230" s="281"/>
      <c r="K230" s="282"/>
      <c r="L230" s="283">
        <f>SUM(L209,L217,L227)</f>
        <v>3276</v>
      </c>
      <c r="M230" s="1"/>
      <c r="N230" s="1"/>
      <c r="P230" s="280" t="s">
        <v>9</v>
      </c>
      <c r="Q230" s="281"/>
      <c r="R230" s="282"/>
      <c r="S230" s="283">
        <f>SUM(S209,S217,S227)</f>
        <v>3858</v>
      </c>
      <c r="T230" s="1"/>
      <c r="U230" s="1"/>
      <c r="W230" s="499" t="s">
        <v>3</v>
      </c>
      <c r="X230" s="500"/>
      <c r="Y230" s="501"/>
      <c r="Z230" s="283">
        <f>SUM(Z226:Z229)</f>
        <v>624.88</v>
      </c>
      <c r="AA230" s="402">
        <f>Z230/AA225</f>
        <v>6.2488000000000001</v>
      </c>
      <c r="AB230" s="220" t="s">
        <v>249</v>
      </c>
    </row>
    <row r="231" spans="2:29">
      <c r="B231" s="1"/>
      <c r="C231" s="32"/>
      <c r="D231" s="7"/>
      <c r="E231" s="7"/>
      <c r="F231" s="1"/>
      <c r="G231" s="1"/>
      <c r="H231" s="1"/>
      <c r="I231" s="1"/>
      <c r="J231" s="32"/>
      <c r="K231" s="7"/>
      <c r="L231" s="7"/>
      <c r="M231" s="1"/>
      <c r="N231" s="1"/>
      <c r="P231" s="1"/>
      <c r="Q231" s="32"/>
      <c r="R231" s="7"/>
      <c r="S231" s="7"/>
      <c r="T231" s="1"/>
      <c r="U231" s="1"/>
    </row>
    <row r="232" spans="2:29">
      <c r="B232" s="5" t="s">
        <v>8</v>
      </c>
      <c r="C232" s="30" t="s">
        <v>7</v>
      </c>
      <c r="D232" s="14"/>
      <c r="E232" s="12"/>
      <c r="F232" s="1"/>
      <c r="G232" s="1"/>
      <c r="H232" s="1"/>
      <c r="I232" s="5" t="s">
        <v>8</v>
      </c>
      <c r="J232" s="30" t="s">
        <v>7</v>
      </c>
      <c r="K232" s="14"/>
      <c r="L232" s="12"/>
      <c r="M232" s="1"/>
      <c r="N232" s="1"/>
      <c r="P232" s="5" t="s">
        <v>8</v>
      </c>
      <c r="Q232" s="30" t="s">
        <v>7</v>
      </c>
      <c r="R232" s="14"/>
      <c r="S232" s="12"/>
      <c r="T232" s="1"/>
      <c r="U232" s="1"/>
      <c r="W232" s="1907" t="s">
        <v>493</v>
      </c>
      <c r="X232" s="1908"/>
      <c r="Y232" s="1908"/>
      <c r="Z232" s="1909"/>
    </row>
    <row r="233" spans="2:29">
      <c r="B233" s="6" t="s">
        <v>15</v>
      </c>
      <c r="C233" s="208">
        <f>$C$37</f>
        <v>9.4750000000000001E-2</v>
      </c>
      <c r="D233" s="209"/>
      <c r="E233" s="9">
        <f>ROUNDUP(SUM(E209:E209)*C233,0)</f>
        <v>112</v>
      </c>
      <c r="F233" s="1"/>
      <c r="G233" s="1"/>
      <c r="H233" s="1"/>
      <c r="I233" s="6" t="s">
        <v>15</v>
      </c>
      <c r="J233" s="208">
        <f>$C$37</f>
        <v>9.4750000000000001E-2</v>
      </c>
      <c r="K233" s="209"/>
      <c r="L233" s="9">
        <f>ROUNDUP(SUM(L209:L209)*J233,0)</f>
        <v>112</v>
      </c>
      <c r="M233" s="1"/>
      <c r="N233" s="1"/>
      <c r="P233" s="6" t="s">
        <v>15</v>
      </c>
      <c r="Q233" s="208">
        <f>$C$37</f>
        <v>9.4750000000000001E-2</v>
      </c>
      <c r="R233" s="209"/>
      <c r="S233" s="9">
        <f>ROUNDUP(SUM(S209:S209)*Q233,0)</f>
        <v>112</v>
      </c>
      <c r="T233" s="1"/>
      <c r="U233" s="1"/>
      <c r="W233" s="25" t="s">
        <v>14</v>
      </c>
      <c r="X233" s="90" t="s">
        <v>11</v>
      </c>
      <c r="Y233" s="90" t="s">
        <v>1</v>
      </c>
      <c r="Z233" s="91" t="s">
        <v>2</v>
      </c>
      <c r="AA233" s="268">
        <v>100</v>
      </c>
      <c r="AB233" s="82" t="s">
        <v>27</v>
      </c>
      <c r="AC233" s="1547" t="s">
        <v>1040</v>
      </c>
    </row>
    <row r="234" spans="2:29">
      <c r="B234" s="6" t="s">
        <v>74</v>
      </c>
      <c r="C234" s="241">
        <v>0.08</v>
      </c>
      <c r="D234" s="209"/>
      <c r="E234" s="9">
        <f>ROUNDUP(SUM(E217)*C234,0)</f>
        <v>86</v>
      </c>
      <c r="F234" s="1"/>
      <c r="G234" s="1"/>
      <c r="H234" s="1"/>
      <c r="I234" s="6" t="s">
        <v>74</v>
      </c>
      <c r="J234" s="241">
        <v>0.08</v>
      </c>
      <c r="K234" s="209"/>
      <c r="L234" s="9">
        <f>ROUNDUP(SUM(L217)*J234,0)</f>
        <v>129</v>
      </c>
      <c r="M234" s="1"/>
      <c r="N234" s="1"/>
      <c r="P234" s="6" t="s">
        <v>74</v>
      </c>
      <c r="Q234" s="241">
        <v>0.08</v>
      </c>
      <c r="R234" s="209"/>
      <c r="S234" s="9">
        <f>ROUNDUP(SUM(S217)*Q234,0)</f>
        <v>140</v>
      </c>
      <c r="T234" s="1"/>
      <c r="U234" s="1"/>
      <c r="W234" s="47" t="s">
        <v>483</v>
      </c>
      <c r="X234" s="265">
        <v>4</v>
      </c>
      <c r="Y234" s="1546">
        <f>148+AC234</f>
        <v>156.88</v>
      </c>
      <c r="Z234" s="34">
        <f t="shared" ref="Z234:Z236" si="44">X234*Y234</f>
        <v>627.52</v>
      </c>
      <c r="AA234" s="301">
        <f>AA233/32</f>
        <v>3.125</v>
      </c>
      <c r="AC234" s="1545">
        <f>148*AD198</f>
        <v>8.879999999999999</v>
      </c>
    </row>
    <row r="235" spans="2:29">
      <c r="B235" s="6" t="s">
        <v>256</v>
      </c>
      <c r="C235" s="122">
        <v>0.15</v>
      </c>
      <c r="D235" s="7"/>
      <c r="E235" s="9">
        <f>ROUNDUP(E209*C235,0)</f>
        <v>177</v>
      </c>
      <c r="F235" s="1"/>
      <c r="G235" s="1"/>
      <c r="H235" s="1"/>
      <c r="I235" s="6" t="s">
        <v>256</v>
      </c>
      <c r="J235" s="122">
        <v>0.15</v>
      </c>
      <c r="K235" s="7"/>
      <c r="L235" s="9">
        <f>ROUNDUP(L209*J235,0)</f>
        <v>177</v>
      </c>
      <c r="M235" s="1"/>
      <c r="N235" s="1"/>
      <c r="P235" s="6" t="s">
        <v>256</v>
      </c>
      <c r="Q235" s="122">
        <v>0.15</v>
      </c>
      <c r="R235" s="7"/>
      <c r="S235" s="9">
        <f>ROUNDUP(S209*Q235,0)</f>
        <v>177</v>
      </c>
      <c r="T235" s="1"/>
      <c r="U235" s="1"/>
      <c r="W235" s="47" t="s">
        <v>481</v>
      </c>
      <c r="X235" s="266">
        <v>1</v>
      </c>
      <c r="Y235" s="1546">
        <f>290+AC235</f>
        <v>307.39999999999998</v>
      </c>
      <c r="Z235" s="34">
        <f t="shared" si="44"/>
        <v>307.39999999999998</v>
      </c>
      <c r="AA235" s="301">
        <f>AA233/200</f>
        <v>0.5</v>
      </c>
      <c r="AC235" s="1545">
        <f>290*AD198</f>
        <v>17.399999999999999</v>
      </c>
    </row>
    <row r="236" spans="2:29">
      <c r="B236" s="6" t="s">
        <v>257</v>
      </c>
      <c r="C236" s="122">
        <v>0.24</v>
      </c>
      <c r="D236" s="7"/>
      <c r="E236" s="9">
        <f>ROUNDUP(E217*C236,0)</f>
        <v>258</v>
      </c>
      <c r="F236" s="1"/>
      <c r="G236" s="1"/>
      <c r="H236" s="1"/>
      <c r="I236" s="6" t="s">
        <v>257</v>
      </c>
      <c r="J236" s="122">
        <v>0.24</v>
      </c>
      <c r="K236" s="7"/>
      <c r="L236" s="9">
        <f>ROUNDUP(L217*J236,0)</f>
        <v>386</v>
      </c>
      <c r="M236" s="1"/>
      <c r="N236" s="1"/>
      <c r="P236" s="6" t="s">
        <v>257</v>
      </c>
      <c r="Q236" s="122">
        <v>0.24</v>
      </c>
      <c r="R236" s="7"/>
      <c r="S236" s="9">
        <f>ROUNDUP(S217*Q236,0)</f>
        <v>419</v>
      </c>
      <c r="T236" s="1"/>
      <c r="U236" s="1"/>
      <c r="W236" s="47" t="s">
        <v>482</v>
      </c>
      <c r="X236" s="266">
        <v>100</v>
      </c>
      <c r="Y236" s="33">
        <v>0.44</v>
      </c>
      <c r="Z236" s="34">
        <f t="shared" si="44"/>
        <v>44</v>
      </c>
      <c r="AA236" s="301">
        <f>AA233*1</f>
        <v>100</v>
      </c>
      <c r="AC236" s="1545"/>
    </row>
    <row r="237" spans="2:29">
      <c r="B237" s="6" t="s">
        <v>258</v>
      </c>
      <c r="C237" s="122">
        <v>0.38</v>
      </c>
      <c r="D237" s="7"/>
      <c r="E237" s="9">
        <f>ROUNDUP(SUM(E230:E236)*C237,0)</f>
        <v>1129</v>
      </c>
      <c r="F237" s="1"/>
      <c r="G237" s="1"/>
      <c r="H237" s="1"/>
      <c r="I237" s="6" t="s">
        <v>258</v>
      </c>
      <c r="J237" s="122">
        <v>0.38</v>
      </c>
      <c r="K237" s="7"/>
      <c r="L237" s="9">
        <f>ROUNDUP(SUM(L230:L236)*J237,0)</f>
        <v>1551</v>
      </c>
      <c r="M237" s="1"/>
      <c r="N237" s="1"/>
      <c r="P237" s="6" t="s">
        <v>258</v>
      </c>
      <c r="Q237" s="122">
        <v>0.38</v>
      </c>
      <c r="R237" s="7"/>
      <c r="S237" s="9">
        <f>ROUNDUP(SUM(S230:S236)*Q237,0)</f>
        <v>1789</v>
      </c>
      <c r="T237" s="1"/>
      <c r="U237" s="1"/>
      <c r="W237" s="47"/>
      <c r="X237" s="265"/>
      <c r="Y237" s="7"/>
      <c r="Z237" s="9">
        <f>X237*Y237</f>
        <v>0</v>
      </c>
    </row>
    <row r="238" spans="2:29">
      <c r="B238" s="284" t="str">
        <f>$B$42</f>
        <v>Kansas Remodel Tax</v>
      </c>
      <c r="C238" s="241">
        <f>$C$42</f>
        <v>0</v>
      </c>
      <c r="D238" s="7"/>
      <c r="E238" s="9">
        <f>ROUNDUP(SUM(E217,E234:E237)*C238,0)</f>
        <v>0</v>
      </c>
      <c r="F238" s="1"/>
      <c r="G238" s="1"/>
      <c r="H238" s="1"/>
      <c r="I238" s="284" t="str">
        <f>$B$42</f>
        <v>Kansas Remodel Tax</v>
      </c>
      <c r="J238" s="241">
        <f>$C$42</f>
        <v>0</v>
      </c>
      <c r="K238" s="7"/>
      <c r="L238" s="9">
        <f>ROUNDUP(SUM(L217,L234:L237)*J238,0)</f>
        <v>0</v>
      </c>
      <c r="M238" s="1"/>
      <c r="N238" s="1"/>
      <c r="P238" s="284" t="str">
        <f>$B$42</f>
        <v>Kansas Remodel Tax</v>
      </c>
      <c r="Q238" s="241">
        <f>$C$42</f>
        <v>0</v>
      </c>
      <c r="R238" s="7"/>
      <c r="S238" s="9">
        <f>ROUNDUP(SUM(S217,S234:S237)*Q238,0)</f>
        <v>0</v>
      </c>
      <c r="T238" s="1"/>
      <c r="U238" s="486"/>
      <c r="V238" s="489" t="s">
        <v>500</v>
      </c>
      <c r="W238" s="503" t="s">
        <v>3</v>
      </c>
      <c r="X238" s="487"/>
      <c r="Y238" s="488"/>
      <c r="Z238" s="504">
        <f>SUM(Z234:Z237)</f>
        <v>978.92</v>
      </c>
      <c r="AA238" s="402">
        <f>Z238/AA233</f>
        <v>9.7891999999999992</v>
      </c>
      <c r="AB238" s="220" t="s">
        <v>249</v>
      </c>
    </row>
    <row r="239" spans="2:29">
      <c r="B239" s="403" t="s">
        <v>398</v>
      </c>
      <c r="C239" s="241">
        <f>$C$43</f>
        <v>0.05</v>
      </c>
      <c r="D239" s="7"/>
      <c r="E239" s="9">
        <f>ROUNDUP(C239*SUM(E230:E238),0)</f>
        <v>205</v>
      </c>
      <c r="F239" s="1"/>
      <c r="G239" s="1"/>
      <c r="H239" s="1"/>
      <c r="I239" s="403" t="s">
        <v>398</v>
      </c>
      <c r="J239" s="241">
        <f>$C$43</f>
        <v>0.05</v>
      </c>
      <c r="K239" s="7"/>
      <c r="L239" s="9">
        <f>ROUNDUP(J239*SUM(L230:L238),0)</f>
        <v>282</v>
      </c>
      <c r="M239" s="1"/>
      <c r="N239" s="1"/>
      <c r="P239" s="403" t="s">
        <v>398</v>
      </c>
      <c r="Q239" s="241">
        <f>$C$43</f>
        <v>0.05</v>
      </c>
      <c r="R239" s="7"/>
      <c r="S239" s="9">
        <f>ROUNDUP(Q239*SUM(S230:S238),0)</f>
        <v>325</v>
      </c>
      <c r="T239" s="1"/>
      <c r="U239" s="1"/>
    </row>
    <row r="240" spans="2:29">
      <c r="B240" s="45" t="s">
        <v>20</v>
      </c>
      <c r="C240" s="46">
        <f>$C$44</f>
        <v>0</v>
      </c>
      <c r="D240" s="15"/>
      <c r="E240" s="210">
        <v>24</v>
      </c>
      <c r="F240" s="1"/>
      <c r="G240" s="1"/>
      <c r="H240" s="1"/>
      <c r="I240" s="45" t="s">
        <v>20</v>
      </c>
      <c r="J240" s="46">
        <f>$C$44</f>
        <v>0</v>
      </c>
      <c r="K240" s="15"/>
      <c r="L240" s="210">
        <f>ROUNDUP(SUM(L230:L239)*J240,0)-6</f>
        <v>-6</v>
      </c>
      <c r="M240" s="1"/>
      <c r="N240" s="1"/>
      <c r="P240" s="45" t="s">
        <v>20</v>
      </c>
      <c r="Q240" s="46">
        <f>$C$44</f>
        <v>0</v>
      </c>
      <c r="R240" s="15"/>
      <c r="S240" s="210">
        <f>ROUNDUP(SUM(S230:S239)*Q240,0)+13</f>
        <v>13</v>
      </c>
      <c r="T240" s="1"/>
      <c r="U240" s="1"/>
    </row>
    <row r="241" spans="2:21">
      <c r="B241" s="1"/>
      <c r="C241" s="8"/>
      <c r="D241" s="7"/>
      <c r="E241" s="1076" t="s">
        <v>666</v>
      </c>
      <c r="F241" s="1"/>
      <c r="G241" s="286" t="s">
        <v>70</v>
      </c>
      <c r="H241" s="32"/>
      <c r="I241" s="1"/>
      <c r="J241" s="8"/>
      <c r="K241" s="7"/>
      <c r="L241" s="1076" t="s">
        <v>666</v>
      </c>
      <c r="M241" s="1"/>
      <c r="N241" s="286" t="s">
        <v>70</v>
      </c>
      <c r="P241" s="1"/>
      <c r="Q241" s="8"/>
      <c r="R241" s="7"/>
      <c r="S241" s="1076" t="s">
        <v>666</v>
      </c>
      <c r="T241" s="1"/>
      <c r="U241" s="286" t="s">
        <v>70</v>
      </c>
    </row>
    <row r="242" spans="2:21" ht="16.2" thickBot="1">
      <c r="B242" s="1"/>
      <c r="C242" s="287" t="s">
        <v>262</v>
      </c>
      <c r="D242" s="288">
        <f>C211</f>
        <v>100</v>
      </c>
      <c r="E242" s="1073" t="s">
        <v>665</v>
      </c>
      <c r="F242" s="38" t="s">
        <v>18</v>
      </c>
      <c r="G242" s="131">
        <f>SUM(E235:E237)</f>
        <v>1564</v>
      </c>
      <c r="H242" s="7"/>
      <c r="I242" s="1"/>
      <c r="J242" s="287" t="s">
        <v>262</v>
      </c>
      <c r="K242" s="288">
        <f>J211</f>
        <v>100</v>
      </c>
      <c r="L242" s="1073" t="s">
        <v>669</v>
      </c>
      <c r="M242" s="38" t="s">
        <v>18</v>
      </c>
      <c r="N242" s="131">
        <f>SUM(L235:L237)</f>
        <v>2114</v>
      </c>
      <c r="P242" s="1"/>
      <c r="Q242" s="287" t="s">
        <v>262</v>
      </c>
      <c r="R242" s="288">
        <f>Q211</f>
        <v>100</v>
      </c>
      <c r="S242" s="1073" t="s">
        <v>670</v>
      </c>
      <c r="T242" s="38" t="s">
        <v>18</v>
      </c>
      <c r="U242" s="131">
        <f>SUM(S235:S237)</f>
        <v>2385</v>
      </c>
    </row>
    <row r="243" spans="2:21" ht="16.2" thickBot="1">
      <c r="B243" s="289" t="s">
        <v>6</v>
      </c>
      <c r="C243" s="290"/>
      <c r="D243" s="291">
        <f>E243/C211</f>
        <v>43.29</v>
      </c>
      <c r="E243" s="292">
        <f>SUM(E230:E240)</f>
        <v>4329</v>
      </c>
      <c r="F243" s="7">
        <f>E243-E233-E238</f>
        <v>4217</v>
      </c>
      <c r="G243" s="293">
        <f>G242/E243</f>
        <v>0.36128436128436131</v>
      </c>
      <c r="H243" s="294"/>
      <c r="I243" s="289" t="s">
        <v>6</v>
      </c>
      <c r="J243" s="290"/>
      <c r="K243" s="291">
        <f>L243/J211</f>
        <v>59.07</v>
      </c>
      <c r="L243" s="292">
        <f>SUM(L230:L240)</f>
        <v>5907</v>
      </c>
      <c r="M243" s="7">
        <f>L243-L233-L238</f>
        <v>5795</v>
      </c>
      <c r="N243" s="293">
        <f>N242/L243</f>
        <v>0.35788048078550871</v>
      </c>
      <c r="P243" s="289" t="s">
        <v>6</v>
      </c>
      <c r="Q243" s="290"/>
      <c r="R243" s="291">
        <f>S243/Q211</f>
        <v>68.33</v>
      </c>
      <c r="S243" s="292">
        <f>SUM(S230:S240)</f>
        <v>6833</v>
      </c>
      <c r="T243" s="7">
        <f>S243-S233-S238</f>
        <v>6721</v>
      </c>
      <c r="U243" s="293">
        <f>U242/S243</f>
        <v>0.34904141665447097</v>
      </c>
    </row>
    <row r="244" spans="2:21">
      <c r="B244" s="1"/>
      <c r="C244" s="1" t="s">
        <v>5</v>
      </c>
      <c r="D244" s="7">
        <f>E244/C211</f>
        <v>43.29</v>
      </c>
      <c r="E244" s="7">
        <f>E243-E238</f>
        <v>4329</v>
      </c>
      <c r="F244" t="s">
        <v>263</v>
      </c>
      <c r="G244" s="295" t="str">
        <f>IF(G243&lt;=0.25,"OWNER APPROVAL REQUIRED","GP % Okay")</f>
        <v>GP % Okay</v>
      </c>
      <c r="H244" s="296"/>
      <c r="I244" s="1"/>
      <c r="J244" s="1" t="s">
        <v>5</v>
      </c>
      <c r="K244" s="7">
        <f>L244/J211</f>
        <v>59.07</v>
      </c>
      <c r="L244" s="7">
        <f>L243-L238</f>
        <v>5907</v>
      </c>
      <c r="M244" t="s">
        <v>263</v>
      </c>
      <c r="N244" s="295" t="str">
        <f>IF(N243&lt;=0.25,"OWNER APPROVAL REQUIRED","GP % Okay")</f>
        <v>GP % Okay</v>
      </c>
      <c r="P244" s="1"/>
      <c r="Q244" s="1" t="s">
        <v>5</v>
      </c>
      <c r="R244" s="7">
        <f>S244/Q211</f>
        <v>68.33</v>
      </c>
      <c r="S244" s="7">
        <f>S243-S238</f>
        <v>6833</v>
      </c>
      <c r="T244" t="s">
        <v>263</v>
      </c>
      <c r="U244" s="295" t="str">
        <f>IF(U243&lt;=0.25,"OWNER APPROVAL REQUIRED","GP % Okay")</f>
        <v>GP % Okay</v>
      </c>
    </row>
    <row r="247" spans="2:21">
      <c r="B247" s="1910" t="s">
        <v>477</v>
      </c>
      <c r="C247" s="1911"/>
      <c r="D247" s="1911"/>
      <c r="E247" s="1912"/>
      <c r="F247" s="262">
        <f>E292</f>
        <v>1139</v>
      </c>
      <c r="G247" s="263" t="s">
        <v>2</v>
      </c>
      <c r="I247" s="1910" t="s">
        <v>476</v>
      </c>
      <c r="J247" s="1911"/>
      <c r="K247" s="1911"/>
      <c r="L247" s="1912"/>
      <c r="M247" s="262">
        <f>L292</f>
        <v>3292</v>
      </c>
      <c r="N247" s="263" t="s">
        <v>2</v>
      </c>
      <c r="P247" s="1910" t="s">
        <v>475</v>
      </c>
      <c r="Q247" s="1911"/>
      <c r="R247" s="1911"/>
      <c r="S247" s="1912"/>
      <c r="T247" s="262">
        <f>S292</f>
        <v>4649</v>
      </c>
      <c r="U247" s="263" t="s">
        <v>2</v>
      </c>
    </row>
    <row r="248" spans="2:21">
      <c r="B248" s="25" t="s">
        <v>14</v>
      </c>
      <c r="C248" s="90" t="s">
        <v>11</v>
      </c>
      <c r="D248" s="90" t="s">
        <v>1</v>
      </c>
      <c r="E248" s="91" t="s">
        <v>2</v>
      </c>
      <c r="F248" s="511">
        <f>F247/F251</f>
        <v>11.39</v>
      </c>
      <c r="G248" s="512" t="s">
        <v>249</v>
      </c>
      <c r="H248" s="264"/>
      <c r="I248" s="25" t="s">
        <v>14</v>
      </c>
      <c r="J248" s="90" t="s">
        <v>11</v>
      </c>
      <c r="K248" s="90" t="s">
        <v>1</v>
      </c>
      <c r="L248" s="91" t="s">
        <v>2</v>
      </c>
      <c r="M248" s="511">
        <f>M247/M251</f>
        <v>32.92</v>
      </c>
      <c r="N248" s="512" t="s">
        <v>249</v>
      </c>
      <c r="P248" s="25" t="s">
        <v>14</v>
      </c>
      <c r="Q248" s="90" t="s">
        <v>11</v>
      </c>
      <c r="R248" s="90" t="s">
        <v>1</v>
      </c>
      <c r="S248" s="91" t="s">
        <v>2</v>
      </c>
      <c r="T248" s="511">
        <f>T247/T251</f>
        <v>46.49</v>
      </c>
      <c r="U248" s="512" t="s">
        <v>249</v>
      </c>
    </row>
    <row r="249" spans="2:21">
      <c r="B249" s="44"/>
      <c r="C249" s="265"/>
      <c r="D249" s="33"/>
      <c r="E249" s="34">
        <f t="shared" ref="E249:E250" si="45">C249*D249</f>
        <v>0</v>
      </c>
      <c r="F249" s="1"/>
      <c r="G249" s="1"/>
      <c r="H249" s="1"/>
      <c r="I249" s="44"/>
      <c r="J249" s="265"/>
      <c r="K249" s="33"/>
      <c r="L249" s="34">
        <f t="shared" ref="L249:L250" si="46">J249*K249</f>
        <v>0</v>
      </c>
      <c r="M249" s="1"/>
      <c r="N249" s="1"/>
      <c r="P249" s="44"/>
      <c r="Q249" s="265"/>
      <c r="R249" s="33"/>
      <c r="S249" s="34">
        <f t="shared" ref="S249:S250" si="47">Q249*R249</f>
        <v>0</v>
      </c>
      <c r="T249" s="1"/>
      <c r="U249" s="1"/>
    </row>
    <row r="250" spans="2:21">
      <c r="B250" s="44"/>
      <c r="C250" s="266"/>
      <c r="D250" s="33"/>
      <c r="E250" s="34">
        <f t="shared" si="45"/>
        <v>0</v>
      </c>
      <c r="F250" s="1"/>
      <c r="G250" s="1"/>
      <c r="H250" s="1"/>
      <c r="I250" s="44"/>
      <c r="J250" s="266"/>
      <c r="K250" s="33"/>
      <c r="L250" s="34">
        <f t="shared" si="46"/>
        <v>0</v>
      </c>
      <c r="M250" s="1"/>
      <c r="N250" s="1"/>
      <c r="P250" s="44"/>
      <c r="Q250" s="266"/>
      <c r="R250" s="33"/>
      <c r="S250" s="34">
        <f t="shared" si="47"/>
        <v>0</v>
      </c>
      <c r="T250" s="1"/>
      <c r="U250" s="1"/>
    </row>
    <row r="251" spans="2:21">
      <c r="B251" s="25" t="s">
        <v>479</v>
      </c>
      <c r="C251" s="267"/>
      <c r="D251" s="23"/>
      <c r="E251" s="29"/>
      <c r="F251" s="268">
        <v>100</v>
      </c>
      <c r="G251" s="82" t="s">
        <v>27</v>
      </c>
      <c r="H251" s="1"/>
      <c r="I251" s="25" t="s">
        <v>479</v>
      </c>
      <c r="J251" s="267"/>
      <c r="K251" s="23"/>
      <c r="L251" s="29"/>
      <c r="M251" s="268">
        <v>100</v>
      </c>
      <c r="N251" s="82" t="s">
        <v>27</v>
      </c>
      <c r="P251" s="25" t="s">
        <v>479</v>
      </c>
      <c r="Q251" s="267"/>
      <c r="R251" s="23"/>
      <c r="S251" s="29"/>
      <c r="T251" s="268">
        <v>100</v>
      </c>
      <c r="U251" s="82" t="s">
        <v>27</v>
      </c>
    </row>
    <row r="252" spans="2:21">
      <c r="B252" s="47" t="s">
        <v>480</v>
      </c>
      <c r="C252" s="266">
        <v>1</v>
      </c>
      <c r="D252" s="7">
        <v>200</v>
      </c>
      <c r="E252" s="9">
        <f>C252*D252</f>
        <v>200</v>
      </c>
      <c r="F252" s="1"/>
      <c r="G252" s="1"/>
      <c r="H252" s="1"/>
      <c r="I252" s="47" t="s">
        <v>480</v>
      </c>
      <c r="J252" s="266">
        <v>1</v>
      </c>
      <c r="K252" s="7">
        <v>200</v>
      </c>
      <c r="L252" s="9">
        <f>J252*K252</f>
        <v>200</v>
      </c>
      <c r="M252" s="1"/>
      <c r="N252" s="1"/>
      <c r="P252" s="47" t="s">
        <v>480</v>
      </c>
      <c r="Q252" s="266">
        <v>1</v>
      </c>
      <c r="R252" s="7">
        <v>200</v>
      </c>
      <c r="S252" s="9">
        <f>Q252*R252</f>
        <v>200</v>
      </c>
      <c r="T252" s="1"/>
      <c r="U252" s="1"/>
    </row>
    <row r="253" spans="2:21">
      <c r="B253" s="47"/>
      <c r="C253" s="266"/>
      <c r="D253" s="7"/>
      <c r="E253" s="9">
        <f t="shared" ref="E253:E254" si="48">C253*D253</f>
        <v>0</v>
      </c>
      <c r="F253" s="1"/>
      <c r="G253" s="1"/>
      <c r="H253" s="1"/>
      <c r="I253" s="47"/>
      <c r="J253" s="266"/>
      <c r="K253" s="7"/>
      <c r="L253" s="9">
        <f t="shared" ref="L253:L254" si="49">J253*K253</f>
        <v>0</v>
      </c>
      <c r="M253" s="1"/>
      <c r="N253" s="1"/>
      <c r="P253" s="47"/>
      <c r="Q253" s="266"/>
      <c r="R253" s="7"/>
      <c r="S253" s="9">
        <f t="shared" ref="S253:S254" si="50">Q253*R253</f>
        <v>0</v>
      </c>
      <c r="T253" s="1"/>
      <c r="U253" s="1"/>
    </row>
    <row r="254" spans="2:21">
      <c r="B254" s="48"/>
      <c r="C254" s="269"/>
      <c r="D254" s="26"/>
      <c r="E254" s="27">
        <f t="shared" si="48"/>
        <v>0</v>
      </c>
      <c r="F254" s="1"/>
      <c r="G254" s="1"/>
      <c r="H254" s="1"/>
      <c r="I254" s="48"/>
      <c r="J254" s="269"/>
      <c r="K254" s="26"/>
      <c r="L254" s="27">
        <f t="shared" si="49"/>
        <v>0</v>
      </c>
      <c r="M254" s="1"/>
      <c r="N254" s="1"/>
      <c r="P254" s="48"/>
      <c r="Q254" s="269"/>
      <c r="R254" s="26"/>
      <c r="S254" s="27">
        <f t="shared" si="50"/>
        <v>0</v>
      </c>
      <c r="T254" s="1"/>
      <c r="U254" s="1"/>
    </row>
    <row r="255" spans="2:21">
      <c r="B255" s="17" t="s">
        <v>10</v>
      </c>
      <c r="C255" s="35"/>
      <c r="D255" s="18"/>
      <c r="E255" s="19">
        <f>ROUNDUP(SUM(E249:E254),0)</f>
        <v>200</v>
      </c>
      <c r="F255" s="1"/>
      <c r="G255" s="1"/>
      <c r="H255" s="1"/>
      <c r="I255" s="17" t="s">
        <v>10</v>
      </c>
      <c r="J255" s="35"/>
      <c r="K255" s="18"/>
      <c r="L255" s="19">
        <f>ROUNDUP(SUM(L249:L254),0)</f>
        <v>200</v>
      </c>
      <c r="M255" s="1"/>
      <c r="N255" s="1"/>
      <c r="P255" s="17" t="s">
        <v>10</v>
      </c>
      <c r="Q255" s="35"/>
      <c r="R255" s="18"/>
      <c r="S255" s="19">
        <f>ROUNDUP(SUM(S249:S254),0)</f>
        <v>200</v>
      </c>
      <c r="T255" s="1"/>
      <c r="U255" s="1"/>
    </row>
    <row r="256" spans="2:21">
      <c r="B256" s="20" t="s">
        <v>251</v>
      </c>
      <c r="C256" s="270">
        <v>0</v>
      </c>
      <c r="D256" s="21"/>
      <c r="E256" s="22">
        <f>ROUNDUP(SUM(E252)*C256,0)</f>
        <v>0</v>
      </c>
      <c r="F256" s="1"/>
      <c r="G256" s="1"/>
      <c r="H256" s="1"/>
      <c r="I256" s="20" t="s">
        <v>251</v>
      </c>
      <c r="J256" s="270">
        <v>0</v>
      </c>
      <c r="K256" s="21"/>
      <c r="L256" s="22">
        <f>ROUNDUP(SUM(L252)*J256,0)</f>
        <v>0</v>
      </c>
      <c r="M256" s="1"/>
      <c r="N256" s="1"/>
      <c r="P256" s="20" t="s">
        <v>251</v>
      </c>
      <c r="Q256" s="270">
        <v>0</v>
      </c>
      <c r="R256" s="21"/>
      <c r="S256" s="22">
        <f>ROUNDUP(SUM(S252)*Q256,0)</f>
        <v>0</v>
      </c>
      <c r="T256" s="1"/>
      <c r="U256" s="1"/>
    </row>
    <row r="257" spans="2:21">
      <c r="B257" s="446" t="s">
        <v>427</v>
      </c>
      <c r="C257" s="40">
        <f>IF(E255&lt;=5000,0.1,IF(E255&lt;=10000,0.06,0.04))+$C$12</f>
        <v>0.2</v>
      </c>
      <c r="D257" s="41"/>
      <c r="E257" s="42">
        <f>ROUNDUP(E255*C257,0)</f>
        <v>40</v>
      </c>
      <c r="F257" s="454" t="str">
        <f>$F$12</f>
        <v>+3% + 7% material esc.</v>
      </c>
      <c r="I257" s="446" t="s">
        <v>427</v>
      </c>
      <c r="J257" s="40">
        <f>IF(L255&lt;=5000,0.1,IF(L255&lt;=10000,0.06,0.04))+$C$12</f>
        <v>0.2</v>
      </c>
      <c r="K257" s="41"/>
      <c r="L257" s="42">
        <f>ROUNDUP(L255*J257,0)</f>
        <v>40</v>
      </c>
      <c r="M257" s="454" t="str">
        <f>$F$12</f>
        <v>+3% + 7% material esc.</v>
      </c>
      <c r="P257" s="446" t="s">
        <v>427</v>
      </c>
      <c r="Q257" s="40">
        <f>IF(S255&lt;=5000,0.1,IF(S255&lt;=10000,0.06,0.04))+$C$12</f>
        <v>0.2</v>
      </c>
      <c r="R257" s="41"/>
      <c r="S257" s="42">
        <f>ROUNDUP(S255*Q257,0)</f>
        <v>40</v>
      </c>
      <c r="T257" s="454" t="str">
        <f>$F$12</f>
        <v>+3% + 7% material esc.</v>
      </c>
    </row>
    <row r="258" spans="2:21">
      <c r="B258" s="10" t="s">
        <v>3</v>
      </c>
      <c r="C258" s="36"/>
      <c r="D258" s="13"/>
      <c r="E258" s="13">
        <f>SUM(E255:E257)</f>
        <v>240</v>
      </c>
      <c r="F258" s="123">
        <f>E258/F251</f>
        <v>2.4</v>
      </c>
      <c r="G258" s="124" t="s">
        <v>80</v>
      </c>
      <c r="H258" s="1"/>
      <c r="I258" s="10" t="s">
        <v>3</v>
      </c>
      <c r="J258" s="36"/>
      <c r="K258" s="13"/>
      <c r="L258" s="13">
        <f>SUM(L255:L257)</f>
        <v>240</v>
      </c>
      <c r="M258" s="123">
        <f>L258/M251</f>
        <v>2.4</v>
      </c>
      <c r="N258" s="124" t="s">
        <v>80</v>
      </c>
      <c r="P258" s="10" t="s">
        <v>3</v>
      </c>
      <c r="Q258" s="36"/>
      <c r="R258" s="13"/>
      <c r="S258" s="13">
        <f>SUM(S255:S257)</f>
        <v>240</v>
      </c>
      <c r="T258" s="123">
        <f>S258/T251</f>
        <v>2.4</v>
      </c>
      <c r="U258" s="124" t="s">
        <v>80</v>
      </c>
    </row>
    <row r="259" spans="2:21">
      <c r="B259" s="1"/>
      <c r="C259" s="32"/>
      <c r="D259" s="7"/>
      <c r="E259" s="7"/>
      <c r="F259" s="1"/>
      <c r="I259" s="1"/>
      <c r="J259" s="32"/>
      <c r="K259" s="7"/>
      <c r="L259" s="7"/>
      <c r="M259" s="1"/>
      <c r="P259" s="1"/>
      <c r="Q259" s="32"/>
      <c r="R259" s="7"/>
      <c r="S259" s="7"/>
      <c r="T259" s="1"/>
    </row>
    <row r="260" spans="2:21">
      <c r="B260" s="75" t="s">
        <v>45</v>
      </c>
      <c r="C260" s="271">
        <f>F251</f>
        <v>100</v>
      </c>
      <c r="D260" s="75" t="s">
        <v>46</v>
      </c>
      <c r="E260" s="272">
        <v>0</v>
      </c>
      <c r="F260" s="1"/>
      <c r="G260" s="273">
        <f>E260/C260</f>
        <v>0</v>
      </c>
      <c r="I260" s="75" t="s">
        <v>45</v>
      </c>
      <c r="J260" s="271">
        <f>M251</f>
        <v>100</v>
      </c>
      <c r="K260" s="75" t="s">
        <v>46</v>
      </c>
      <c r="L260" s="272">
        <v>0</v>
      </c>
      <c r="M260" s="1"/>
      <c r="N260" s="273">
        <f>L260/J260</f>
        <v>0</v>
      </c>
      <c r="P260" s="75" t="s">
        <v>45</v>
      </c>
      <c r="Q260" s="271">
        <f>T251</f>
        <v>100</v>
      </c>
      <c r="R260" s="75" t="s">
        <v>46</v>
      </c>
      <c r="S260" s="272">
        <v>0</v>
      </c>
      <c r="T260" s="1"/>
      <c r="U260" s="273">
        <f>S260/Q260</f>
        <v>0</v>
      </c>
    </row>
    <row r="261" spans="2:21">
      <c r="B261" s="85" t="s">
        <v>52</v>
      </c>
      <c r="C261" s="68" t="s">
        <v>42</v>
      </c>
      <c r="D261" s="68" t="s">
        <v>47</v>
      </c>
      <c r="E261" s="87" t="s">
        <v>51</v>
      </c>
      <c r="F261" s="76" t="s">
        <v>59</v>
      </c>
      <c r="G261" s="156" t="s">
        <v>86</v>
      </c>
      <c r="H261" s="274"/>
      <c r="I261" s="85" t="s">
        <v>52</v>
      </c>
      <c r="J261" s="68" t="s">
        <v>42</v>
      </c>
      <c r="K261" s="68" t="s">
        <v>47</v>
      </c>
      <c r="L261" s="87" t="s">
        <v>51</v>
      </c>
      <c r="M261" s="76" t="s">
        <v>59</v>
      </c>
      <c r="N261" s="156" t="s">
        <v>86</v>
      </c>
      <c r="P261" s="85" t="s">
        <v>52</v>
      </c>
      <c r="Q261" s="68" t="s">
        <v>42</v>
      </c>
      <c r="R261" s="68" t="s">
        <v>47</v>
      </c>
      <c r="S261" s="87" t="s">
        <v>51</v>
      </c>
      <c r="T261" s="76" t="s">
        <v>59</v>
      </c>
      <c r="U261" s="156" t="s">
        <v>86</v>
      </c>
    </row>
    <row r="262" spans="2:21">
      <c r="B262" s="69">
        <v>1.5</v>
      </c>
      <c r="C262" s="1">
        <v>1</v>
      </c>
      <c r="D262" s="523">
        <f>$D$17</f>
        <v>33.5</v>
      </c>
      <c r="E262" s="70">
        <f>B262*C262*D262*8</f>
        <v>402</v>
      </c>
      <c r="F262" s="76"/>
      <c r="G262" s="157">
        <f>F251/(E262/D262)</f>
        <v>8.3333333333333339</v>
      </c>
      <c r="H262" s="154"/>
      <c r="I262" s="69">
        <v>2</v>
      </c>
      <c r="J262" s="1">
        <v>1.5</v>
      </c>
      <c r="K262" s="523">
        <f>$D$17</f>
        <v>33.5</v>
      </c>
      <c r="L262" s="70">
        <f>I262*J262*K262*8</f>
        <v>804</v>
      </c>
      <c r="M262" s="76"/>
      <c r="N262" s="157">
        <f>M251/(L262/K262)</f>
        <v>4.166666666666667</v>
      </c>
      <c r="P262" s="69">
        <v>2</v>
      </c>
      <c r="Q262" s="1">
        <v>2</v>
      </c>
      <c r="R262" s="523">
        <f>$D$17</f>
        <v>33.5</v>
      </c>
      <c r="S262" s="70">
        <f>P262*Q262*R262*8</f>
        <v>1072</v>
      </c>
      <c r="T262" s="76"/>
      <c r="U262" s="157">
        <f>T251/(S262/R262)</f>
        <v>3.125</v>
      </c>
    </row>
    <row r="263" spans="2:21">
      <c r="B263" s="69"/>
      <c r="C263" s="1"/>
      <c r="D263" s="523">
        <f>$D$17</f>
        <v>33.5</v>
      </c>
      <c r="E263" s="70">
        <f>B263*C263*D263*8</f>
        <v>0</v>
      </c>
      <c r="F263" s="76"/>
      <c r="G263" s="275" t="e">
        <f>F253/(E263/D263)</f>
        <v>#DIV/0!</v>
      </c>
      <c r="H263" s="154"/>
      <c r="I263" s="69"/>
      <c r="J263" s="1"/>
      <c r="K263" s="523">
        <f>$D$17</f>
        <v>33.5</v>
      </c>
      <c r="L263" s="70">
        <f>I263*J263*K263*8</f>
        <v>0</v>
      </c>
      <c r="M263" s="76"/>
      <c r="N263" s="275" t="e">
        <f>M253/(L263/K263)</f>
        <v>#DIV/0!</v>
      </c>
      <c r="P263" s="69"/>
      <c r="Q263" s="1"/>
      <c r="R263" s="523">
        <f>$D$17</f>
        <v>33.5</v>
      </c>
      <c r="S263" s="70">
        <f>P263*Q263*R263*8</f>
        <v>0</v>
      </c>
      <c r="T263" s="76"/>
      <c r="U263" s="275" t="e">
        <f>T253/(S263/R263)</f>
        <v>#DIV/0!</v>
      </c>
    </row>
    <row r="264" spans="2:21">
      <c r="B264" s="86" t="s">
        <v>53</v>
      </c>
      <c r="C264" s="67" t="s">
        <v>44</v>
      </c>
      <c r="D264" s="67" t="s">
        <v>43</v>
      </c>
      <c r="E264" s="71"/>
      <c r="F264" s="1357">
        <f>Epoxy!B52</f>
        <v>0</v>
      </c>
      <c r="G264" s="434" t="s">
        <v>412</v>
      </c>
      <c r="H264" s="395"/>
      <c r="I264" s="86" t="s">
        <v>53</v>
      </c>
      <c r="J264" s="67" t="s">
        <v>44</v>
      </c>
      <c r="K264" s="67" t="s">
        <v>43</v>
      </c>
      <c r="L264" s="71"/>
      <c r="M264" s="1"/>
      <c r="P264" s="86" t="s">
        <v>53</v>
      </c>
      <c r="Q264" s="67" t="s">
        <v>44</v>
      </c>
      <c r="R264" s="67" t="s">
        <v>43</v>
      </c>
      <c r="S264" s="71"/>
      <c r="T264" s="1"/>
    </row>
    <row r="265" spans="2:21">
      <c r="B265" s="69">
        <v>2</v>
      </c>
      <c r="C265" s="1">
        <f>IF(F264&gt;0,F264,F265)</f>
        <v>0</v>
      </c>
      <c r="D265" s="523">
        <f>$D$20</f>
        <v>33.5</v>
      </c>
      <c r="E265" s="70">
        <f>B265*C265*D265</f>
        <v>0</v>
      </c>
      <c r="F265" s="431">
        <f>Polish!B44</f>
        <v>0</v>
      </c>
      <c r="G265" s="431" t="s">
        <v>412</v>
      </c>
      <c r="H265" s="392"/>
      <c r="I265" s="69">
        <f>I262</f>
        <v>2</v>
      </c>
      <c r="J265" s="1">
        <f>4</f>
        <v>4</v>
      </c>
      <c r="K265" s="523">
        <f>$D$20</f>
        <v>33.5</v>
      </c>
      <c r="L265" s="70">
        <f>I265*J265*K265</f>
        <v>268</v>
      </c>
      <c r="M265" s="76" t="s">
        <v>274</v>
      </c>
      <c r="P265" s="69">
        <f>P262</f>
        <v>2</v>
      </c>
      <c r="Q265" s="1">
        <f>6</f>
        <v>6</v>
      </c>
      <c r="R265" s="523">
        <f>$D$20</f>
        <v>33.5</v>
      </c>
      <c r="S265" s="70">
        <f>P265*Q265*R265</f>
        <v>402</v>
      </c>
      <c r="T265" s="76" t="s">
        <v>274</v>
      </c>
    </row>
    <row r="266" spans="2:21">
      <c r="B266" s="277" t="s">
        <v>4</v>
      </c>
      <c r="C266" s="278"/>
      <c r="D266" s="278"/>
      <c r="E266" s="279">
        <f>ROUNDUP(SUM(E262:E265),0)</f>
        <v>402</v>
      </c>
      <c r="F266" s="123">
        <f>E266/C260</f>
        <v>4.0199999999999996</v>
      </c>
      <c r="G266" s="124" t="s">
        <v>87</v>
      </c>
      <c r="H266" s="1"/>
      <c r="I266" s="277" t="s">
        <v>4</v>
      </c>
      <c r="J266" s="278"/>
      <c r="K266" s="278"/>
      <c r="L266" s="279">
        <f>ROUNDUP(SUM(L262:L265),0)</f>
        <v>1072</v>
      </c>
      <c r="M266" s="123">
        <f>L266/J260</f>
        <v>10.72</v>
      </c>
      <c r="N266" s="124" t="s">
        <v>87</v>
      </c>
      <c r="P266" s="277" t="s">
        <v>4</v>
      </c>
      <c r="Q266" s="278"/>
      <c r="R266" s="278"/>
      <c r="S266" s="279">
        <f>ROUNDUP(SUM(S262:S265),0)</f>
        <v>1474</v>
      </c>
      <c r="T266" s="123">
        <f>S266/Q260</f>
        <v>14.74</v>
      </c>
      <c r="U266" s="124" t="s">
        <v>87</v>
      </c>
    </row>
    <row r="267" spans="2:21">
      <c r="B267" s="1"/>
      <c r="C267" s="32"/>
      <c r="D267" s="7"/>
      <c r="E267" s="7"/>
      <c r="F267" s="7"/>
      <c r="G267" s="1"/>
      <c r="H267" s="1"/>
      <c r="I267" s="1"/>
      <c r="J267" s="32"/>
      <c r="K267" s="7"/>
      <c r="L267" s="7"/>
      <c r="M267" s="7"/>
      <c r="N267" s="1"/>
      <c r="P267" s="1"/>
      <c r="Q267" s="32"/>
      <c r="R267" s="7"/>
      <c r="S267" s="7"/>
      <c r="T267" s="7"/>
      <c r="U267" s="1"/>
    </row>
    <row r="268" spans="2:21">
      <c r="B268" s="5" t="s">
        <v>252</v>
      </c>
      <c r="C268" s="30" t="s">
        <v>11</v>
      </c>
      <c r="D268" s="11" t="s">
        <v>1</v>
      </c>
      <c r="E268" s="12" t="s">
        <v>2</v>
      </c>
      <c r="F268" s="1"/>
      <c r="G268" s="1"/>
      <c r="H268" s="1"/>
      <c r="I268" s="5" t="s">
        <v>252</v>
      </c>
      <c r="J268" s="30" t="s">
        <v>11</v>
      </c>
      <c r="K268" s="11" t="s">
        <v>1</v>
      </c>
      <c r="L268" s="12" t="s">
        <v>2</v>
      </c>
      <c r="M268" s="1"/>
      <c r="N268" s="1"/>
      <c r="P268" s="5" t="s">
        <v>252</v>
      </c>
      <c r="Q268" s="30" t="s">
        <v>11</v>
      </c>
      <c r="R268" s="11" t="s">
        <v>1</v>
      </c>
      <c r="S268" s="12" t="s">
        <v>2</v>
      </c>
      <c r="T268" s="1"/>
      <c r="U268" s="1"/>
    </row>
    <row r="269" spans="2:21">
      <c r="B269" s="6" t="s">
        <v>17</v>
      </c>
      <c r="C269" s="37"/>
      <c r="D269" s="7">
        <v>35</v>
      </c>
      <c r="E269" s="9">
        <f t="shared" ref="E269:E275" si="51">ROUNDUP(C269*D269,0)</f>
        <v>0</v>
      </c>
      <c r="F269" s="1"/>
      <c r="G269" s="1"/>
      <c r="H269" s="1"/>
      <c r="I269" s="6" t="s">
        <v>17</v>
      </c>
      <c r="J269" s="37"/>
      <c r="K269" s="7">
        <v>35</v>
      </c>
      <c r="L269" s="9">
        <f t="shared" ref="L269:L275" si="52">ROUNDUP(J269*K269,0)</f>
        <v>0</v>
      </c>
      <c r="M269" s="1"/>
      <c r="N269" s="1"/>
      <c r="P269" s="6" t="s">
        <v>17</v>
      </c>
      <c r="Q269" s="37"/>
      <c r="R269" s="7">
        <v>35</v>
      </c>
      <c r="S269" s="9">
        <f t="shared" ref="S269:S275" si="53">ROUNDUP(Q269*R269,0)</f>
        <v>0</v>
      </c>
      <c r="T269" s="1"/>
      <c r="U269" s="1"/>
    </row>
    <row r="270" spans="2:21">
      <c r="B270" s="6" t="s">
        <v>75</v>
      </c>
      <c r="C270" s="37"/>
      <c r="D270" s="7">
        <v>0.33</v>
      </c>
      <c r="E270" s="9">
        <f t="shared" si="51"/>
        <v>0</v>
      </c>
      <c r="F270" s="1"/>
      <c r="G270" s="1"/>
      <c r="H270" s="1"/>
      <c r="I270" s="6" t="s">
        <v>75</v>
      </c>
      <c r="J270" s="37"/>
      <c r="K270" s="7">
        <v>0.33</v>
      </c>
      <c r="L270" s="9">
        <f t="shared" si="52"/>
        <v>0</v>
      </c>
      <c r="M270" s="1"/>
      <c r="N270" s="1"/>
      <c r="P270" s="6" t="s">
        <v>75</v>
      </c>
      <c r="Q270" s="37"/>
      <c r="R270" s="7">
        <v>0.33</v>
      </c>
      <c r="S270" s="9">
        <f t="shared" si="53"/>
        <v>0</v>
      </c>
      <c r="T270" s="1"/>
      <c r="U270" s="1"/>
    </row>
    <row r="271" spans="2:21">
      <c r="B271" s="6" t="s">
        <v>68</v>
      </c>
      <c r="C271" s="37">
        <v>0</v>
      </c>
      <c r="D271" s="7">
        <f>$D$26</f>
        <v>70</v>
      </c>
      <c r="E271" s="9">
        <f t="shared" si="51"/>
        <v>0</v>
      </c>
      <c r="F271" s="1"/>
      <c r="G271" s="1"/>
      <c r="H271" s="1"/>
      <c r="I271" s="6" t="s">
        <v>68</v>
      </c>
      <c r="J271" s="37">
        <f>I262</f>
        <v>2</v>
      </c>
      <c r="K271" s="7">
        <f>$D$26</f>
        <v>70</v>
      </c>
      <c r="L271" s="9">
        <f t="shared" si="52"/>
        <v>140</v>
      </c>
      <c r="M271" s="1"/>
      <c r="N271" s="1"/>
      <c r="P271" s="6" t="s">
        <v>68</v>
      </c>
      <c r="Q271" s="37">
        <f>((S266-S265)/8)/R262</f>
        <v>4</v>
      </c>
      <c r="R271" s="7">
        <f>$D$26</f>
        <v>70</v>
      </c>
      <c r="S271" s="9">
        <f t="shared" si="53"/>
        <v>280</v>
      </c>
      <c r="T271" s="1"/>
      <c r="U271" s="1"/>
    </row>
    <row r="272" spans="2:21">
      <c r="B272" s="6" t="s">
        <v>69</v>
      </c>
      <c r="C272" s="37">
        <f>C271</f>
        <v>0</v>
      </c>
      <c r="D272" s="7">
        <f>$D$27</f>
        <v>45</v>
      </c>
      <c r="E272" s="9">
        <f t="shared" si="51"/>
        <v>0</v>
      </c>
      <c r="F272" s="43"/>
      <c r="G272" s="1"/>
      <c r="H272" s="1"/>
      <c r="I272" s="6" t="s">
        <v>69</v>
      </c>
      <c r="J272" s="37">
        <f>J271</f>
        <v>2</v>
      </c>
      <c r="K272" s="7">
        <f>$D$27</f>
        <v>45</v>
      </c>
      <c r="L272" s="9">
        <f t="shared" si="52"/>
        <v>90</v>
      </c>
      <c r="M272" s="43"/>
      <c r="N272" s="1"/>
      <c r="P272" s="6" t="s">
        <v>69</v>
      </c>
      <c r="Q272" s="37">
        <f>Q271</f>
        <v>4</v>
      </c>
      <c r="R272" s="7">
        <f>$D$27</f>
        <v>45</v>
      </c>
      <c r="S272" s="9">
        <f t="shared" si="53"/>
        <v>180</v>
      </c>
      <c r="T272" s="43"/>
      <c r="U272" s="1"/>
    </row>
    <row r="273" spans="2:21">
      <c r="B273" s="6" t="s">
        <v>253</v>
      </c>
      <c r="C273" s="37">
        <f>(E266/8)/D262</f>
        <v>1.5</v>
      </c>
      <c r="D273" s="7">
        <f>$D$28</f>
        <v>14</v>
      </c>
      <c r="E273" s="9">
        <f t="shared" si="51"/>
        <v>21</v>
      </c>
      <c r="F273" s="43"/>
      <c r="G273" s="1"/>
      <c r="H273" s="1"/>
      <c r="I273" s="6" t="s">
        <v>253</v>
      </c>
      <c r="J273" s="37">
        <f>(L266/8)/K262</f>
        <v>4</v>
      </c>
      <c r="K273" s="7">
        <f>$D$28</f>
        <v>14</v>
      </c>
      <c r="L273" s="9">
        <f t="shared" si="52"/>
        <v>56</v>
      </c>
      <c r="M273" s="43"/>
      <c r="N273" s="1"/>
      <c r="P273" s="6" t="s">
        <v>253</v>
      </c>
      <c r="Q273" s="37">
        <f>(S266/8)/R262</f>
        <v>5.5</v>
      </c>
      <c r="R273" s="7">
        <f>$D$28</f>
        <v>14</v>
      </c>
      <c r="S273" s="9">
        <f t="shared" si="53"/>
        <v>77</v>
      </c>
      <c r="T273" s="43"/>
      <c r="U273" s="1"/>
    </row>
    <row r="274" spans="2:21">
      <c r="B274" s="6" t="s">
        <v>254</v>
      </c>
      <c r="C274" s="37"/>
      <c r="D274" s="7">
        <v>0.04</v>
      </c>
      <c r="E274" s="9">
        <f t="shared" si="51"/>
        <v>0</v>
      </c>
      <c r="F274" s="1"/>
      <c r="G274" s="1"/>
      <c r="H274" s="1"/>
      <c r="I274" s="6" t="s">
        <v>279</v>
      </c>
      <c r="J274" s="37">
        <v>240</v>
      </c>
      <c r="K274" s="7">
        <v>0.6</v>
      </c>
      <c r="L274" s="9">
        <f t="shared" si="52"/>
        <v>144</v>
      </c>
      <c r="M274" s="1"/>
      <c r="N274" s="1"/>
      <c r="P274" s="6" t="s">
        <v>279</v>
      </c>
      <c r="Q274" s="37">
        <v>400</v>
      </c>
      <c r="R274" s="7">
        <v>0.6</v>
      </c>
      <c r="S274" s="9">
        <f t="shared" si="53"/>
        <v>240</v>
      </c>
      <c r="T274" s="1"/>
      <c r="U274" s="1"/>
    </row>
    <row r="275" spans="2:21">
      <c r="B275" s="6" t="s">
        <v>28</v>
      </c>
      <c r="C275" s="37"/>
      <c r="D275" s="7"/>
      <c r="E275" s="9">
        <f t="shared" si="51"/>
        <v>0</v>
      </c>
      <c r="F275" s="1"/>
      <c r="G275" s="1"/>
      <c r="H275" s="1"/>
      <c r="I275" s="6" t="s">
        <v>28</v>
      </c>
      <c r="J275" s="37"/>
      <c r="K275" s="7"/>
      <c r="L275" s="9">
        <f t="shared" si="52"/>
        <v>0</v>
      </c>
      <c r="M275" s="1"/>
      <c r="N275" s="1"/>
      <c r="P275" s="6" t="s">
        <v>28</v>
      </c>
      <c r="Q275" s="37"/>
      <c r="R275" s="7"/>
      <c r="S275" s="9">
        <f t="shared" si="53"/>
        <v>0</v>
      </c>
      <c r="T275" s="1"/>
      <c r="U275" s="1"/>
    </row>
    <row r="276" spans="2:21">
      <c r="B276" s="10" t="s">
        <v>255</v>
      </c>
      <c r="C276" s="36"/>
      <c r="D276" s="13"/>
      <c r="E276" s="16">
        <f>SUM(E269:E275)</f>
        <v>21</v>
      </c>
      <c r="F276" s="1"/>
      <c r="G276" s="1"/>
      <c r="H276" s="1"/>
      <c r="I276" s="10" t="s">
        <v>255</v>
      </c>
      <c r="J276" s="36"/>
      <c r="K276" s="13"/>
      <c r="L276" s="16">
        <f>SUM(L269:L275)</f>
        <v>430</v>
      </c>
      <c r="M276" s="1"/>
      <c r="N276" s="1"/>
      <c r="P276" s="10" t="s">
        <v>255</v>
      </c>
      <c r="Q276" s="36"/>
      <c r="R276" s="13"/>
      <c r="S276" s="16">
        <f>SUM(S269:S275)</f>
        <v>777</v>
      </c>
      <c r="T276" s="1"/>
      <c r="U276" s="1"/>
    </row>
    <row r="277" spans="2:21">
      <c r="B277" s="1"/>
      <c r="C277" s="32"/>
      <c r="D277" s="7"/>
      <c r="E277" s="7"/>
      <c r="F277" s="1"/>
      <c r="G277" s="1"/>
      <c r="H277" s="1"/>
      <c r="I277" s="1"/>
      <c r="J277" s="32"/>
      <c r="K277" s="7"/>
      <c r="L277" s="7"/>
      <c r="M277" s="1"/>
      <c r="N277" s="1"/>
      <c r="P277" s="1"/>
      <c r="Q277" s="32"/>
      <c r="R277" s="7"/>
      <c r="S277" s="7"/>
      <c r="T277" s="1"/>
      <c r="U277" s="1"/>
    </row>
    <row r="278" spans="2:21">
      <c r="B278" s="1"/>
      <c r="C278" s="32"/>
      <c r="D278" s="7"/>
      <c r="E278" s="7"/>
      <c r="F278" s="1"/>
      <c r="G278" s="1"/>
      <c r="H278" s="1"/>
      <c r="I278" s="1"/>
      <c r="J278" s="32"/>
      <c r="K278" s="7"/>
      <c r="L278" s="7"/>
      <c r="M278" s="1"/>
      <c r="N278" s="1"/>
      <c r="P278" s="1"/>
      <c r="Q278" s="32"/>
      <c r="R278" s="7"/>
      <c r="S278" s="7"/>
      <c r="T278" s="1"/>
      <c r="U278" s="1"/>
    </row>
    <row r="279" spans="2:21">
      <c r="B279" s="280" t="s">
        <v>9</v>
      </c>
      <c r="C279" s="281"/>
      <c r="D279" s="282"/>
      <c r="E279" s="283">
        <f>SUM(E258,E266,E276)</f>
        <v>663</v>
      </c>
      <c r="F279" s="1"/>
      <c r="G279" s="1"/>
      <c r="H279" s="1"/>
      <c r="I279" s="280" t="s">
        <v>9</v>
      </c>
      <c r="J279" s="281"/>
      <c r="K279" s="282"/>
      <c r="L279" s="283">
        <f>SUM(L258,L266,L276)</f>
        <v>1742</v>
      </c>
      <c r="M279" s="1"/>
      <c r="N279" s="1"/>
      <c r="P279" s="280" t="s">
        <v>9</v>
      </c>
      <c r="Q279" s="281"/>
      <c r="R279" s="282"/>
      <c r="S279" s="283">
        <f>SUM(S258,S266,S276)</f>
        <v>2491</v>
      </c>
      <c r="T279" s="1"/>
      <c r="U279" s="1"/>
    </row>
    <row r="280" spans="2:21">
      <c r="B280" s="1"/>
      <c r="C280" s="32"/>
      <c r="D280" s="7"/>
      <c r="E280" s="7"/>
      <c r="F280" s="1"/>
      <c r="G280" s="1"/>
      <c r="H280" s="1"/>
      <c r="I280" s="1"/>
      <c r="J280" s="32"/>
      <c r="K280" s="7"/>
      <c r="L280" s="7"/>
      <c r="M280" s="1"/>
      <c r="N280" s="1"/>
      <c r="P280" s="1"/>
      <c r="Q280" s="32"/>
      <c r="R280" s="7"/>
      <c r="S280" s="7"/>
      <c r="T280" s="1"/>
      <c r="U280" s="1"/>
    </row>
    <row r="281" spans="2:21">
      <c r="B281" s="5" t="s">
        <v>8</v>
      </c>
      <c r="C281" s="30" t="s">
        <v>7</v>
      </c>
      <c r="D281" s="14"/>
      <c r="E281" s="12"/>
      <c r="F281" s="1"/>
      <c r="G281" s="1"/>
      <c r="H281" s="1"/>
      <c r="I281" s="5" t="s">
        <v>8</v>
      </c>
      <c r="J281" s="30" t="s">
        <v>7</v>
      </c>
      <c r="K281" s="14"/>
      <c r="L281" s="12"/>
      <c r="M281" s="1"/>
      <c r="N281" s="1"/>
      <c r="P281" s="5" t="s">
        <v>8</v>
      </c>
      <c r="Q281" s="30" t="s">
        <v>7</v>
      </c>
      <c r="R281" s="14"/>
      <c r="S281" s="12"/>
      <c r="T281" s="1"/>
      <c r="U281" s="1"/>
    </row>
    <row r="282" spans="2:21">
      <c r="B282" s="6" t="s">
        <v>15</v>
      </c>
      <c r="C282" s="208">
        <f>$C$37</f>
        <v>9.4750000000000001E-2</v>
      </c>
      <c r="D282" s="209"/>
      <c r="E282" s="9">
        <f>ROUNDUP(SUM(E258:E258)*C282,0)</f>
        <v>23</v>
      </c>
      <c r="F282" s="1"/>
      <c r="G282" s="1"/>
      <c r="H282" s="1"/>
      <c r="I282" s="6" t="s">
        <v>15</v>
      </c>
      <c r="J282" s="208">
        <f>$C$37</f>
        <v>9.4750000000000001E-2</v>
      </c>
      <c r="K282" s="209"/>
      <c r="L282" s="9">
        <f>ROUNDUP(SUM(L258:L258)*J282,0)</f>
        <v>23</v>
      </c>
      <c r="M282" s="1"/>
      <c r="N282" s="1"/>
      <c r="P282" s="6" t="s">
        <v>15</v>
      </c>
      <c r="Q282" s="208">
        <f>$C$37</f>
        <v>9.4750000000000001E-2</v>
      </c>
      <c r="R282" s="209"/>
      <c r="S282" s="9">
        <f>ROUNDUP(SUM(S258:S258)*Q282,0)</f>
        <v>23</v>
      </c>
      <c r="T282" s="1"/>
      <c r="U282" s="1"/>
    </row>
    <row r="283" spans="2:21">
      <c r="B283" s="6" t="s">
        <v>74</v>
      </c>
      <c r="C283" s="241">
        <v>0.08</v>
      </c>
      <c r="D283" s="209"/>
      <c r="E283" s="9">
        <f>ROUNDUP(SUM(E266)*C283,0)</f>
        <v>33</v>
      </c>
      <c r="F283" s="1"/>
      <c r="G283" s="1"/>
      <c r="H283" s="1"/>
      <c r="I283" s="6" t="s">
        <v>74</v>
      </c>
      <c r="J283" s="241">
        <v>0.08</v>
      </c>
      <c r="K283" s="209"/>
      <c r="L283" s="9">
        <f>ROUNDUP(SUM(L266)*J283,0)</f>
        <v>86</v>
      </c>
      <c r="M283" s="1"/>
      <c r="N283" s="1"/>
      <c r="P283" s="6" t="s">
        <v>74</v>
      </c>
      <c r="Q283" s="241">
        <v>0.08</v>
      </c>
      <c r="R283" s="209"/>
      <c r="S283" s="9">
        <f>ROUNDUP(SUM(S266)*Q283,0)</f>
        <v>118</v>
      </c>
      <c r="T283" s="1"/>
      <c r="U283" s="1"/>
    </row>
    <row r="284" spans="2:21">
      <c r="B284" s="6" t="s">
        <v>256</v>
      </c>
      <c r="C284" s="122">
        <v>0</v>
      </c>
      <c r="D284" s="7"/>
      <c r="E284" s="9">
        <f>ROUNDUP(E258*C284,0)</f>
        <v>0</v>
      </c>
      <c r="F284" s="1"/>
      <c r="G284" s="1"/>
      <c r="H284" s="1"/>
      <c r="I284" s="6" t="s">
        <v>256</v>
      </c>
      <c r="J284" s="122">
        <f>IF(L258&lt;=5000,0.1,0.05)</f>
        <v>0.1</v>
      </c>
      <c r="K284" s="7"/>
      <c r="L284" s="9">
        <f>ROUNDUP(L258*J284,0)</f>
        <v>24</v>
      </c>
      <c r="M284" s="1"/>
      <c r="N284" s="1"/>
      <c r="P284" s="6" t="s">
        <v>256</v>
      </c>
      <c r="Q284" s="122">
        <f>IF(S258&lt;=5000,0.1,0.05)</f>
        <v>0.1</v>
      </c>
      <c r="R284" s="7"/>
      <c r="S284" s="9">
        <f>ROUNDUP(S258*Q284,0)</f>
        <v>24</v>
      </c>
      <c r="T284" s="1"/>
      <c r="U284" s="1"/>
    </row>
    <row r="285" spans="2:21">
      <c r="B285" s="6" t="s">
        <v>257</v>
      </c>
      <c r="C285" s="122">
        <v>0.2</v>
      </c>
      <c r="D285" s="7"/>
      <c r="E285" s="9">
        <f>ROUNDUP(E266*C285,0)</f>
        <v>81</v>
      </c>
      <c r="F285" s="1"/>
      <c r="G285" s="1"/>
      <c r="H285" s="1"/>
      <c r="I285" s="6" t="s">
        <v>257</v>
      </c>
      <c r="J285" s="122">
        <v>0.2</v>
      </c>
      <c r="K285" s="7"/>
      <c r="L285" s="9">
        <f>ROUNDUP(L266*J285,0)</f>
        <v>215</v>
      </c>
      <c r="M285" s="1"/>
      <c r="N285" s="1"/>
      <c r="P285" s="6" t="s">
        <v>257</v>
      </c>
      <c r="Q285" s="122">
        <v>0.2</v>
      </c>
      <c r="R285" s="7"/>
      <c r="S285" s="9">
        <f>ROUNDUP(S266*Q285,0)</f>
        <v>295</v>
      </c>
      <c r="T285" s="1"/>
      <c r="U285" s="1"/>
    </row>
    <row r="286" spans="2:21">
      <c r="B286" s="6" t="s">
        <v>258</v>
      </c>
      <c r="C286" s="122">
        <v>0.35</v>
      </c>
      <c r="D286" s="7"/>
      <c r="E286" s="9">
        <f>ROUNDUP(SUM(E279:E285)*C286,0)</f>
        <v>280</v>
      </c>
      <c r="F286" s="1"/>
      <c r="G286" s="1"/>
      <c r="H286" s="1"/>
      <c r="I286" s="6" t="s">
        <v>258</v>
      </c>
      <c r="J286" s="122">
        <v>0.5</v>
      </c>
      <c r="K286" s="7"/>
      <c r="L286" s="9">
        <f>ROUNDUP(SUM(L279:L285)*J286,0)</f>
        <v>1045</v>
      </c>
      <c r="M286" s="1"/>
      <c r="N286" s="1"/>
      <c r="P286" s="6" t="s">
        <v>258</v>
      </c>
      <c r="Q286" s="122">
        <v>0.5</v>
      </c>
      <c r="R286" s="7"/>
      <c r="S286" s="9">
        <f>ROUNDUP(SUM(S279:S285)*Q286,0)</f>
        <v>1476</v>
      </c>
      <c r="T286" s="1"/>
      <c r="U286" s="1"/>
    </row>
    <row r="287" spans="2:21">
      <c r="B287" s="284" t="str">
        <f>$B$42</f>
        <v>Kansas Remodel Tax</v>
      </c>
      <c r="C287" s="241">
        <f>$C$42</f>
        <v>0</v>
      </c>
      <c r="D287" s="7"/>
      <c r="E287" s="9">
        <f>ROUNDUP(SUM(E266,E283:E286)*C287,0)</f>
        <v>0</v>
      </c>
      <c r="F287" s="1"/>
      <c r="G287" s="1"/>
      <c r="H287" s="1"/>
      <c r="I287" s="284" t="str">
        <f>$B$42</f>
        <v>Kansas Remodel Tax</v>
      </c>
      <c r="J287" s="241">
        <f>$C$42</f>
        <v>0</v>
      </c>
      <c r="K287" s="7"/>
      <c r="L287" s="9">
        <f>ROUNDUP(SUM(L266,L283:L286)*J287,0)</f>
        <v>0</v>
      </c>
      <c r="M287" s="1"/>
      <c r="N287" s="1"/>
      <c r="P287" s="284" t="str">
        <f>$B$42</f>
        <v>Kansas Remodel Tax</v>
      </c>
      <c r="Q287" s="241">
        <f>$C$42</f>
        <v>0</v>
      </c>
      <c r="R287" s="7"/>
      <c r="S287" s="9">
        <f>ROUNDUP(SUM(S266,S283:S286)*Q287,0)</f>
        <v>0</v>
      </c>
      <c r="T287" s="1"/>
      <c r="U287" s="1"/>
    </row>
    <row r="288" spans="2:21">
      <c r="B288" s="403" t="s">
        <v>398</v>
      </c>
      <c r="C288" s="241">
        <f>$C$43</f>
        <v>0.05</v>
      </c>
      <c r="D288" s="7"/>
      <c r="E288" s="9">
        <f>ROUNDUP(C288*SUM(E279:E287),0)</f>
        <v>54</v>
      </c>
      <c r="F288" s="1"/>
      <c r="G288" s="1"/>
      <c r="H288" s="1"/>
      <c r="I288" s="403" t="s">
        <v>398</v>
      </c>
      <c r="J288" s="241">
        <f>$C$43</f>
        <v>0.05</v>
      </c>
      <c r="K288" s="7"/>
      <c r="L288" s="9">
        <f>ROUNDUP(J288*SUM(L279:L287),0)</f>
        <v>157</v>
      </c>
      <c r="M288" s="1"/>
      <c r="N288" s="1"/>
      <c r="P288" s="403" t="s">
        <v>398</v>
      </c>
      <c r="Q288" s="241">
        <f>$C$43</f>
        <v>0.05</v>
      </c>
      <c r="R288" s="7"/>
      <c r="S288" s="9">
        <f>ROUNDUP(Q288*SUM(S279:S287),0)</f>
        <v>222</v>
      </c>
      <c r="T288" s="1"/>
      <c r="U288" s="1"/>
    </row>
    <row r="289" spans="2:42">
      <c r="B289" s="45" t="s">
        <v>20</v>
      </c>
      <c r="C289" s="46">
        <f>$C$44</f>
        <v>0</v>
      </c>
      <c r="D289" s="15"/>
      <c r="E289" s="210">
        <v>5</v>
      </c>
      <c r="F289" s="1"/>
      <c r="G289" s="1"/>
      <c r="H289" s="1"/>
      <c r="I289" s="45" t="s">
        <v>20</v>
      </c>
      <c r="J289" s="46">
        <f>$C$44</f>
        <v>0</v>
      </c>
      <c r="K289" s="15"/>
      <c r="L289" s="210">
        <f>ROUNDUP(SUM(L279:L288)*J289,0)</f>
        <v>0</v>
      </c>
      <c r="M289" s="1"/>
      <c r="N289" s="1"/>
      <c r="P289" s="45" t="s">
        <v>20</v>
      </c>
      <c r="Q289" s="46">
        <f>$C$44</f>
        <v>0</v>
      </c>
      <c r="R289" s="15"/>
      <c r="S289" s="210">
        <f>ROUNDUP(SUM(S279:S288)*Q289,0)</f>
        <v>0</v>
      </c>
      <c r="T289" s="1"/>
      <c r="U289" s="1"/>
    </row>
    <row r="290" spans="2:42">
      <c r="B290" s="1"/>
      <c r="C290" s="8"/>
      <c r="D290" s="7"/>
      <c r="E290" s="1075" t="s">
        <v>83</v>
      </c>
      <c r="F290" s="1"/>
      <c r="G290" s="286" t="s">
        <v>70</v>
      </c>
      <c r="H290" s="32"/>
      <c r="I290" s="1"/>
      <c r="J290" s="8"/>
      <c r="K290" s="7"/>
      <c r="L290" s="1075" t="s">
        <v>83</v>
      </c>
      <c r="M290" s="1"/>
      <c r="N290" s="286" t="s">
        <v>70</v>
      </c>
      <c r="P290" s="1"/>
      <c r="Q290" s="8"/>
      <c r="R290" s="7"/>
      <c r="S290" s="1075" t="s">
        <v>83</v>
      </c>
      <c r="T290" s="1"/>
      <c r="U290" s="286" t="s">
        <v>70</v>
      </c>
    </row>
    <row r="291" spans="2:42" ht="16.2" thickBot="1">
      <c r="B291" s="1"/>
      <c r="C291" s="287" t="s">
        <v>262</v>
      </c>
      <c r="D291" s="288">
        <f>C260</f>
        <v>100</v>
      </c>
      <c r="E291" s="1074" t="s">
        <v>665</v>
      </c>
      <c r="F291" s="38" t="s">
        <v>18</v>
      </c>
      <c r="G291" s="131">
        <f>SUM(E284:E286)</f>
        <v>361</v>
      </c>
      <c r="H291" s="7"/>
      <c r="I291" s="1"/>
      <c r="J291" s="287" t="s">
        <v>262</v>
      </c>
      <c r="K291" s="288">
        <f>J260</f>
        <v>100</v>
      </c>
      <c r="L291" s="1074" t="s">
        <v>669</v>
      </c>
      <c r="M291" s="38" t="s">
        <v>18</v>
      </c>
      <c r="N291" s="131">
        <f>SUM(L284:L286)</f>
        <v>1284</v>
      </c>
      <c r="P291" s="1"/>
      <c r="Q291" s="287" t="s">
        <v>262</v>
      </c>
      <c r="R291" s="288">
        <f>Q260</f>
        <v>100</v>
      </c>
      <c r="S291" s="1074" t="s">
        <v>670</v>
      </c>
      <c r="T291" s="38" t="s">
        <v>18</v>
      </c>
      <c r="U291" s="131">
        <f>SUM(S284:S286)</f>
        <v>1795</v>
      </c>
    </row>
    <row r="292" spans="2:42" ht="16.2" thickBot="1">
      <c r="B292" s="289" t="s">
        <v>6</v>
      </c>
      <c r="C292" s="290"/>
      <c r="D292" s="291">
        <f>E292/C260</f>
        <v>11.39</v>
      </c>
      <c r="E292" s="292">
        <f>SUM(E279:E289)</f>
        <v>1139</v>
      </c>
      <c r="F292" s="7">
        <f>E292-E282-E287</f>
        <v>1116</v>
      </c>
      <c r="G292" s="293">
        <f>G291/E292</f>
        <v>0.31694468832309042</v>
      </c>
      <c r="H292" s="294"/>
      <c r="I292" s="289" t="s">
        <v>6</v>
      </c>
      <c r="J292" s="290"/>
      <c r="K292" s="291">
        <f>L292/J260</f>
        <v>32.92</v>
      </c>
      <c r="L292" s="292">
        <f>SUM(L279:L289)</f>
        <v>3292</v>
      </c>
      <c r="M292" s="7">
        <f>L292-L282-L287</f>
        <v>3269</v>
      </c>
      <c r="N292" s="293">
        <f>N291/L292</f>
        <v>0.39003645200486026</v>
      </c>
      <c r="P292" s="289" t="s">
        <v>6</v>
      </c>
      <c r="Q292" s="290"/>
      <c r="R292" s="291">
        <f>S292/Q260</f>
        <v>46.49</v>
      </c>
      <c r="S292" s="292">
        <f>SUM(S279:S289)</f>
        <v>4649</v>
      </c>
      <c r="T292" s="7">
        <f>S292-S282-S287</f>
        <v>4626</v>
      </c>
      <c r="U292" s="293">
        <f>U291/S292</f>
        <v>0.38610453861045385</v>
      </c>
    </row>
    <row r="293" spans="2:42">
      <c r="B293" s="1"/>
      <c r="C293" s="1" t="s">
        <v>5</v>
      </c>
      <c r="D293" s="7">
        <f>E293/C260</f>
        <v>11.39</v>
      </c>
      <c r="E293" s="7">
        <f>E292-E287</f>
        <v>1139</v>
      </c>
      <c r="F293" t="s">
        <v>263</v>
      </c>
      <c r="G293" s="295" t="str">
        <f>IF(G292&lt;=0.25,"OWNER APPROVAL REQUIRED","GP % Okay")</f>
        <v>GP % Okay</v>
      </c>
      <c r="H293" s="296"/>
      <c r="I293" s="1"/>
      <c r="J293" s="1" t="s">
        <v>5</v>
      </c>
      <c r="K293" s="7">
        <f>L293/J260</f>
        <v>32.92</v>
      </c>
      <c r="L293" s="7">
        <f>L292-L287</f>
        <v>3292</v>
      </c>
      <c r="M293" t="s">
        <v>263</v>
      </c>
      <c r="N293" s="295" t="str">
        <f>IF(N292&lt;=0.25,"OWNER APPROVAL REQUIRED","GP % Okay")</f>
        <v>GP % Okay</v>
      </c>
      <c r="P293" s="1"/>
      <c r="Q293" s="1" t="s">
        <v>5</v>
      </c>
      <c r="R293" s="7">
        <f>S293/Q260</f>
        <v>46.49</v>
      </c>
      <c r="S293" s="7">
        <f>S292-S287</f>
        <v>4649</v>
      </c>
      <c r="T293" t="s">
        <v>263</v>
      </c>
      <c r="U293" s="295" t="str">
        <f>IF(U292&lt;=0.25,"OWNER APPROVAL REQUIRED","GP % Okay")</f>
        <v>GP % Okay</v>
      </c>
    </row>
    <row r="296" spans="2:42">
      <c r="B296" s="1907" t="s">
        <v>457</v>
      </c>
      <c r="C296" s="1908"/>
      <c r="D296" s="1908"/>
      <c r="E296" s="1909"/>
      <c r="F296" s="262">
        <f>D341</f>
        <v>2.2223999999999999</v>
      </c>
      <c r="G296" s="263" t="s">
        <v>249</v>
      </c>
      <c r="H296" s="473" t="s">
        <v>456</v>
      </c>
      <c r="I296" s="1907" t="s">
        <v>452</v>
      </c>
      <c r="J296" s="1908"/>
      <c r="K296" s="1908"/>
      <c r="L296" s="1909"/>
      <c r="M296" s="262">
        <f>K341</f>
        <v>2.226</v>
      </c>
      <c r="N296" s="263" t="s">
        <v>249</v>
      </c>
      <c r="O296" s="474" t="s">
        <v>455</v>
      </c>
      <c r="P296" s="1907" t="s">
        <v>453</v>
      </c>
      <c r="Q296" s="1908"/>
      <c r="R296" s="1908"/>
      <c r="S296" s="1909"/>
      <c r="T296" s="262">
        <f>R341</f>
        <v>1.5578000000000001</v>
      </c>
      <c r="U296" s="263" t="s">
        <v>249</v>
      </c>
      <c r="V296" s="474" t="s">
        <v>455</v>
      </c>
      <c r="W296" s="1907" t="s">
        <v>454</v>
      </c>
      <c r="X296" s="1908"/>
      <c r="Y296" s="1908"/>
      <c r="Z296" s="1909"/>
      <c r="AA296" s="262">
        <f>Y341</f>
        <v>1.671</v>
      </c>
      <c r="AB296" s="263" t="s">
        <v>249</v>
      </c>
      <c r="AC296" s="470" t="s">
        <v>463</v>
      </c>
      <c r="AD296" s="1913" t="s">
        <v>462</v>
      </c>
      <c r="AE296" s="1914"/>
      <c r="AF296" s="1914"/>
      <c r="AG296" s="1915"/>
      <c r="AH296" s="262">
        <f>AF341</f>
        <v>4.4622000000000002</v>
      </c>
      <c r="AI296" s="263" t="s">
        <v>249</v>
      </c>
      <c r="AJ296" s="470" t="s">
        <v>463</v>
      </c>
      <c r="AK296" s="1913" t="s">
        <v>459</v>
      </c>
      <c r="AL296" s="1914"/>
      <c r="AM296" s="1914"/>
      <c r="AN296" s="1915"/>
      <c r="AO296" s="262">
        <f>AM341</f>
        <v>4.6849999999999996</v>
      </c>
      <c r="AP296" s="263" t="s">
        <v>249</v>
      </c>
    </row>
    <row r="297" spans="2:42">
      <c r="B297" s="25" t="s">
        <v>14</v>
      </c>
      <c r="C297" s="90" t="s">
        <v>11</v>
      </c>
      <c r="D297" s="90" t="s">
        <v>1</v>
      </c>
      <c r="E297" s="91" t="s">
        <v>2</v>
      </c>
      <c r="F297" s="23"/>
      <c r="G297" s="89"/>
      <c r="H297" s="264"/>
      <c r="I297" s="25" t="s">
        <v>14</v>
      </c>
      <c r="J297" s="90" t="s">
        <v>11</v>
      </c>
      <c r="K297" s="90" t="s">
        <v>1</v>
      </c>
      <c r="L297" s="91" t="s">
        <v>2</v>
      </c>
      <c r="M297" s="23"/>
      <c r="N297" s="89"/>
      <c r="O297" s="463" t="s">
        <v>458</v>
      </c>
      <c r="P297" s="25" t="s">
        <v>14</v>
      </c>
      <c r="Q297" s="90" t="s">
        <v>11</v>
      </c>
      <c r="R297" s="90" t="s">
        <v>1</v>
      </c>
      <c r="S297" s="91" t="s">
        <v>2</v>
      </c>
      <c r="T297" s="23"/>
      <c r="U297" s="89"/>
      <c r="V297" s="264"/>
      <c r="W297" s="25" t="s">
        <v>14</v>
      </c>
      <c r="X297" s="90" t="s">
        <v>11</v>
      </c>
      <c r="Y297" s="90" t="s">
        <v>1</v>
      </c>
      <c r="Z297" s="91" t="s">
        <v>2</v>
      </c>
      <c r="AA297" s="23"/>
      <c r="AB297" s="89"/>
      <c r="AC297" s="470" t="s">
        <v>374</v>
      </c>
      <c r="AD297" s="25" t="s">
        <v>14</v>
      </c>
      <c r="AE297" s="90" t="s">
        <v>11</v>
      </c>
      <c r="AF297" s="90" t="s">
        <v>1</v>
      </c>
      <c r="AG297" s="91" t="s">
        <v>2</v>
      </c>
      <c r="AH297" s="23"/>
      <c r="AI297" s="89"/>
      <c r="AJ297" s="470" t="s">
        <v>374</v>
      </c>
      <c r="AK297" s="25" t="s">
        <v>14</v>
      </c>
      <c r="AL297" s="90" t="s">
        <v>11</v>
      </c>
      <c r="AM297" s="90" t="s">
        <v>1</v>
      </c>
      <c r="AN297" s="91" t="s">
        <v>2</v>
      </c>
      <c r="AO297" s="23"/>
      <c r="AP297" s="89"/>
    </row>
    <row r="298" spans="2:42">
      <c r="B298" s="44"/>
      <c r="C298" s="265"/>
      <c r="D298" s="33"/>
      <c r="E298" s="34">
        <f t="shared" ref="E298:E299" si="54">C298*D298</f>
        <v>0</v>
      </c>
      <c r="F298" s="1"/>
      <c r="G298" s="1"/>
      <c r="H298" s="1"/>
      <c r="I298" s="44"/>
      <c r="J298" s="265"/>
      <c r="K298" s="33"/>
      <c r="L298" s="34">
        <f t="shared" ref="L298:L299" si="55">J298*K298</f>
        <v>0</v>
      </c>
      <c r="M298" s="1"/>
      <c r="N298" s="1"/>
      <c r="P298" s="44"/>
      <c r="Q298" s="265"/>
      <c r="R298" s="33"/>
      <c r="S298" s="34">
        <f t="shared" ref="S298:S299" si="56">Q298*R298</f>
        <v>0</v>
      </c>
      <c r="T298" s="1"/>
      <c r="U298" s="1"/>
      <c r="V298" s="1"/>
      <c r="W298" s="44"/>
      <c r="X298" s="265"/>
      <c r="Y298" s="33"/>
      <c r="Z298" s="34">
        <f t="shared" ref="Z298:Z299" si="57">X298*Y298</f>
        <v>0</v>
      </c>
      <c r="AA298" s="1"/>
      <c r="AB298" s="1"/>
      <c r="AC298" s="469" t="s">
        <v>458</v>
      </c>
      <c r="AD298" s="44"/>
      <c r="AE298" s="265"/>
      <c r="AF298" s="33"/>
      <c r="AG298" s="34">
        <f t="shared" ref="AG298:AG299" si="58">AE298*AF298</f>
        <v>0</v>
      </c>
      <c r="AH298" s="1"/>
      <c r="AI298" s="1"/>
      <c r="AK298" s="44"/>
      <c r="AL298" s="265"/>
      <c r="AM298" s="33"/>
      <c r="AN298" s="34">
        <f t="shared" ref="AN298:AN299" si="59">AL298*AM298</f>
        <v>0</v>
      </c>
      <c r="AO298" s="1"/>
      <c r="AP298" s="1"/>
    </row>
    <row r="299" spans="2:42">
      <c r="B299" s="44"/>
      <c r="C299" s="266"/>
      <c r="D299" s="33"/>
      <c r="E299" s="34">
        <f t="shared" si="54"/>
        <v>0</v>
      </c>
      <c r="F299" s="1"/>
      <c r="G299" s="1"/>
      <c r="H299" s="1"/>
      <c r="I299" s="44"/>
      <c r="J299" s="266"/>
      <c r="K299" s="33"/>
      <c r="L299" s="34">
        <f t="shared" si="55"/>
        <v>0</v>
      </c>
      <c r="M299" s="1"/>
      <c r="N299" s="1"/>
      <c r="P299" s="44"/>
      <c r="Q299" s="266"/>
      <c r="R299" s="33"/>
      <c r="S299" s="34">
        <f t="shared" si="56"/>
        <v>0</v>
      </c>
      <c r="T299" s="1"/>
      <c r="U299" s="1"/>
      <c r="V299" s="1"/>
      <c r="W299" s="44"/>
      <c r="X299" s="266"/>
      <c r="Y299" s="33"/>
      <c r="Z299" s="34">
        <f t="shared" si="57"/>
        <v>0</v>
      </c>
      <c r="AA299" s="1"/>
      <c r="AB299" s="1"/>
      <c r="AD299" s="44"/>
      <c r="AE299" s="266"/>
      <c r="AF299" s="33"/>
      <c r="AG299" s="34">
        <f t="shared" si="58"/>
        <v>0</v>
      </c>
      <c r="AH299" s="1"/>
      <c r="AI299" s="1"/>
      <c r="AK299" s="44"/>
      <c r="AL299" s="266"/>
      <c r="AM299" s="33"/>
      <c r="AN299" s="34">
        <f t="shared" si="59"/>
        <v>0</v>
      </c>
      <c r="AO299" s="1"/>
      <c r="AP299" s="1"/>
    </row>
    <row r="300" spans="2:42">
      <c r="B300" s="25" t="s">
        <v>12</v>
      </c>
      <c r="C300" s="267"/>
      <c r="D300" s="23"/>
      <c r="E300" s="29"/>
      <c r="F300" s="268">
        <v>5000</v>
      </c>
      <c r="G300" s="82" t="s">
        <v>27</v>
      </c>
      <c r="H300" s="1"/>
      <c r="I300" s="25" t="s">
        <v>12</v>
      </c>
      <c r="J300" s="267"/>
      <c r="K300" s="23"/>
      <c r="L300" s="29"/>
      <c r="M300" s="268">
        <v>1000</v>
      </c>
      <c r="N300" s="82" t="s">
        <v>27</v>
      </c>
      <c r="P300" s="25" t="s">
        <v>12</v>
      </c>
      <c r="Q300" s="267"/>
      <c r="R300" s="23"/>
      <c r="S300" s="29"/>
      <c r="T300" s="268">
        <v>5000</v>
      </c>
      <c r="U300" s="82" t="s">
        <v>27</v>
      </c>
      <c r="V300" s="1"/>
      <c r="W300" s="25" t="s">
        <v>12</v>
      </c>
      <c r="X300" s="267"/>
      <c r="Y300" s="23"/>
      <c r="Z300" s="29"/>
      <c r="AA300" s="268">
        <v>1000</v>
      </c>
      <c r="AB300" s="82" t="s">
        <v>27</v>
      </c>
      <c r="AD300" s="25" t="s">
        <v>12</v>
      </c>
      <c r="AE300" s="267"/>
      <c r="AF300" s="23"/>
      <c r="AG300" s="29"/>
      <c r="AH300" s="268">
        <v>5000</v>
      </c>
      <c r="AI300" s="82" t="s">
        <v>27</v>
      </c>
      <c r="AK300" s="25" t="s">
        <v>12</v>
      </c>
      <c r="AL300" s="267"/>
      <c r="AM300" s="23"/>
      <c r="AN300" s="29"/>
      <c r="AO300" s="268">
        <v>1000</v>
      </c>
      <c r="AP300" s="82" t="s">
        <v>27</v>
      </c>
    </row>
    <row r="301" spans="2:42">
      <c r="B301" s="460" t="s">
        <v>450</v>
      </c>
      <c r="C301" s="461">
        <v>-25</v>
      </c>
      <c r="D301" s="1550">
        <f>Y200</f>
        <v>54.441600000000001</v>
      </c>
      <c r="E301" s="9">
        <f>C301*D301</f>
        <v>-1361.04</v>
      </c>
      <c r="F301" s="475">
        <f>-(F300/200)</f>
        <v>-25</v>
      </c>
      <c r="G301" s="74" t="s">
        <v>467</v>
      </c>
      <c r="H301" s="1"/>
      <c r="I301" s="460" t="s">
        <v>450</v>
      </c>
      <c r="J301" s="461">
        <v>-5</v>
      </c>
      <c r="K301" s="7">
        <f>$D$301</f>
        <v>54.441600000000001</v>
      </c>
      <c r="L301" s="9">
        <f>J301*K301</f>
        <v>-272.20800000000003</v>
      </c>
      <c r="M301" s="475">
        <f>-(M300/200)</f>
        <v>-5</v>
      </c>
      <c r="N301" s="74" t="s">
        <v>467</v>
      </c>
      <c r="P301" s="460" t="s">
        <v>450</v>
      </c>
      <c r="Q301" s="461">
        <v>-25</v>
      </c>
      <c r="R301" s="7">
        <f>$D$301</f>
        <v>54.441600000000001</v>
      </c>
      <c r="S301" s="9">
        <f>Q301*R301</f>
        <v>-1361.04</v>
      </c>
      <c r="T301" s="475">
        <f>-(T300/200)</f>
        <v>-25</v>
      </c>
      <c r="U301" s="74" t="s">
        <v>467</v>
      </c>
      <c r="V301" s="1"/>
      <c r="W301" s="460" t="s">
        <v>450</v>
      </c>
      <c r="X301" s="461">
        <v>-5</v>
      </c>
      <c r="Y301" s="7">
        <f>$D$301</f>
        <v>54.441600000000001</v>
      </c>
      <c r="Z301" s="9">
        <f>X301*Y301</f>
        <v>-272.20800000000003</v>
      </c>
      <c r="AA301" s="475">
        <f>-(AA300/200)</f>
        <v>-5</v>
      </c>
      <c r="AB301" s="74" t="s">
        <v>467</v>
      </c>
      <c r="AD301" s="460" t="s">
        <v>450</v>
      </c>
      <c r="AE301" s="461">
        <v>-25</v>
      </c>
      <c r="AF301" s="7">
        <f>$D$301</f>
        <v>54.441600000000001</v>
      </c>
      <c r="AG301" s="9">
        <f>AE301*AF301</f>
        <v>-1361.04</v>
      </c>
      <c r="AH301" s="475">
        <f>-(AH300/200)</f>
        <v>-25</v>
      </c>
      <c r="AI301" s="74" t="s">
        <v>464</v>
      </c>
      <c r="AK301" s="460" t="s">
        <v>450</v>
      </c>
      <c r="AL301" s="461">
        <v>-5</v>
      </c>
      <c r="AM301" s="7">
        <f>$D$301</f>
        <v>54.441600000000001</v>
      </c>
      <c r="AN301" s="9">
        <f>AL301*AM301</f>
        <v>-272.20800000000003</v>
      </c>
      <c r="AO301" s="475">
        <f>-(AO300/200)</f>
        <v>-5</v>
      </c>
      <c r="AP301" s="74" t="s">
        <v>464</v>
      </c>
    </row>
    <row r="302" spans="2:42">
      <c r="B302" s="47" t="s">
        <v>451</v>
      </c>
      <c r="C302" s="466">
        <v>50</v>
      </c>
      <c r="D302" s="1550">
        <f>129.8+F303</f>
        <v>137.58800000000002</v>
      </c>
      <c r="E302" s="9">
        <f t="shared" ref="E302:E303" si="60">C302*D302</f>
        <v>6879.4000000000015</v>
      </c>
      <c r="F302" s="477">
        <f>(16/1600)*F300</f>
        <v>50</v>
      </c>
      <c r="G302" s="478" t="s">
        <v>456</v>
      </c>
      <c r="H302" s="1"/>
      <c r="I302" s="47" t="s">
        <v>451</v>
      </c>
      <c r="J302" s="466">
        <v>10</v>
      </c>
      <c r="K302" s="7">
        <f>$D$302</f>
        <v>137.58800000000002</v>
      </c>
      <c r="L302" s="9">
        <f t="shared" ref="L302:L303" si="61">J302*K302</f>
        <v>1375.88</v>
      </c>
      <c r="M302" s="477">
        <f>(16/1600)*M300</f>
        <v>10</v>
      </c>
      <c r="N302" s="478" t="s">
        <v>456</v>
      </c>
      <c r="P302" s="47" t="s">
        <v>451</v>
      </c>
      <c r="Q302" s="465">
        <v>38</v>
      </c>
      <c r="R302" s="7">
        <f>$D$302</f>
        <v>137.58800000000002</v>
      </c>
      <c r="S302" s="9">
        <f t="shared" ref="S302:S303" si="62">Q302*R302</f>
        <v>5228.344000000001</v>
      </c>
      <c r="T302" s="477">
        <f>(12/1600)*T300</f>
        <v>37.5</v>
      </c>
      <c r="U302" s="464" t="s">
        <v>455</v>
      </c>
      <c r="V302" s="1"/>
      <c r="W302" s="47" t="s">
        <v>451</v>
      </c>
      <c r="X302" s="465">
        <v>8</v>
      </c>
      <c r="Y302" s="7">
        <f>$D$302</f>
        <v>137.58800000000002</v>
      </c>
      <c r="Z302" s="9">
        <f t="shared" ref="Z302:Z303" si="63">X302*Y302</f>
        <v>1100.7040000000002</v>
      </c>
      <c r="AA302" s="477">
        <f>(12/1600)*AA300</f>
        <v>7.5</v>
      </c>
      <c r="AB302" s="464" t="s">
        <v>455</v>
      </c>
      <c r="AD302" s="471" t="s">
        <v>466</v>
      </c>
      <c r="AE302" s="472"/>
      <c r="AF302" s="1551">
        <f>Y202</f>
        <v>70.765600000000006</v>
      </c>
      <c r="AG302" s="9">
        <f t="shared" ref="AG302:AG303" si="64">AE302*AF302</f>
        <v>0</v>
      </c>
      <c r="AH302" s="476">
        <f>-(5.4/1600)*AH300</f>
        <v>-16.875000000000004</v>
      </c>
      <c r="AI302" s="74" t="s">
        <v>465</v>
      </c>
      <c r="AK302" s="471" t="s">
        <v>466</v>
      </c>
      <c r="AL302" s="472"/>
      <c r="AM302" s="26">
        <f>$AF$302</f>
        <v>70.765600000000006</v>
      </c>
      <c r="AN302" s="9">
        <f t="shared" ref="AN302:AN303" si="65">AL302*AM302</f>
        <v>0</v>
      </c>
      <c r="AO302" s="476">
        <f>-(5.4/1600)*AO300</f>
        <v>-3.3750000000000004</v>
      </c>
      <c r="AP302" s="74" t="s">
        <v>465</v>
      </c>
    </row>
    <row r="303" spans="2:42">
      <c r="B303" s="48"/>
      <c r="C303" s="269"/>
      <c r="D303" s="26"/>
      <c r="E303" s="27">
        <f t="shared" si="60"/>
        <v>0</v>
      </c>
      <c r="F303" s="1545">
        <f>129.8*H303</f>
        <v>7.7880000000000003</v>
      </c>
      <c r="G303" s="1552" t="s">
        <v>1040</v>
      </c>
      <c r="H303" s="1549">
        <v>0.06</v>
      </c>
      <c r="I303" s="48"/>
      <c r="J303" s="269"/>
      <c r="K303" s="26"/>
      <c r="L303" s="27">
        <f t="shared" si="61"/>
        <v>0</v>
      </c>
      <c r="M303" s="1"/>
      <c r="N303" s="1"/>
      <c r="P303" s="48"/>
      <c r="Q303" s="269"/>
      <c r="R303" s="26"/>
      <c r="S303" s="27">
        <f t="shared" si="62"/>
        <v>0</v>
      </c>
      <c r="T303" s="459"/>
      <c r="U303" s="1"/>
      <c r="V303" s="1"/>
      <c r="W303" s="48"/>
      <c r="X303" s="269"/>
      <c r="Y303" s="26"/>
      <c r="Z303" s="27">
        <f t="shared" si="63"/>
        <v>0</v>
      </c>
      <c r="AA303" s="1"/>
      <c r="AB303" s="1"/>
      <c r="AD303" s="423" t="s">
        <v>460</v>
      </c>
      <c r="AE303" s="468">
        <v>91</v>
      </c>
      <c r="AF303" s="1550">
        <f>Y226</f>
        <v>136.74</v>
      </c>
      <c r="AG303" s="27">
        <f t="shared" si="64"/>
        <v>12443.34</v>
      </c>
      <c r="AH303" s="477">
        <f>AH300/55</f>
        <v>90.909090909090907</v>
      </c>
      <c r="AI303" s="467" t="s">
        <v>461</v>
      </c>
      <c r="AK303" s="423" t="s">
        <v>460</v>
      </c>
      <c r="AL303" s="468">
        <v>19</v>
      </c>
      <c r="AM303" s="1550">
        <f>AF303</f>
        <v>136.74</v>
      </c>
      <c r="AN303" s="27">
        <f t="shared" si="65"/>
        <v>2598.0600000000004</v>
      </c>
      <c r="AO303" s="477">
        <f>AO300/55</f>
        <v>18.181818181818183</v>
      </c>
      <c r="AP303" s="467" t="s">
        <v>461</v>
      </c>
    </row>
    <row r="304" spans="2:42">
      <c r="B304" s="17" t="s">
        <v>10</v>
      </c>
      <c r="C304" s="35"/>
      <c r="D304" s="18"/>
      <c r="E304" s="19">
        <f>ROUNDUP(SUM(E298:E303),0)</f>
        <v>5519</v>
      </c>
      <c r="F304" s="1"/>
      <c r="G304" s="1"/>
      <c r="H304" s="1"/>
      <c r="I304" s="17" t="s">
        <v>10</v>
      </c>
      <c r="J304" s="35"/>
      <c r="K304" s="18"/>
      <c r="L304" s="19">
        <f>ROUNDUP(SUM(L298:L303),0)</f>
        <v>1104</v>
      </c>
      <c r="M304" s="1"/>
      <c r="N304" s="1"/>
      <c r="P304" s="17" t="s">
        <v>10</v>
      </c>
      <c r="Q304" s="35"/>
      <c r="R304" s="18"/>
      <c r="S304" s="19">
        <f>ROUNDUP(SUM(S298:S303),0)</f>
        <v>3868</v>
      </c>
      <c r="T304" s="1"/>
      <c r="U304" s="1"/>
      <c r="V304" s="1"/>
      <c r="W304" s="17" t="s">
        <v>10</v>
      </c>
      <c r="X304" s="35"/>
      <c r="Y304" s="18"/>
      <c r="Z304" s="19">
        <f>ROUNDUP(SUM(Z298:Z303),0)</f>
        <v>829</v>
      </c>
      <c r="AA304" s="1"/>
      <c r="AB304" s="1"/>
      <c r="AD304" s="17" t="s">
        <v>10</v>
      </c>
      <c r="AE304" s="35"/>
      <c r="AF304" s="18"/>
      <c r="AG304" s="19">
        <f>ROUNDUP(SUM(AG298:AG303),0)</f>
        <v>11083</v>
      </c>
      <c r="AH304" s="1"/>
      <c r="AI304" s="1"/>
      <c r="AK304" s="17" t="s">
        <v>10</v>
      </c>
      <c r="AL304" s="35"/>
      <c r="AM304" s="18"/>
      <c r="AN304" s="19">
        <f>ROUNDUP(SUM(AN298:AN303),0)</f>
        <v>2326</v>
      </c>
      <c r="AO304" s="1"/>
      <c r="AP304" s="1"/>
    </row>
    <row r="305" spans="2:42">
      <c r="B305" s="20" t="s">
        <v>251</v>
      </c>
      <c r="C305" s="270">
        <v>0</v>
      </c>
      <c r="D305" s="21"/>
      <c r="E305" s="22">
        <f>ROUNDUP(SUM(E301)*C305,0)</f>
        <v>0</v>
      </c>
      <c r="F305" s="1"/>
      <c r="G305" s="1"/>
      <c r="H305" s="1"/>
      <c r="I305" s="20" t="s">
        <v>251</v>
      </c>
      <c r="J305" s="270">
        <v>0</v>
      </c>
      <c r="K305" s="21"/>
      <c r="L305" s="22">
        <f>ROUNDUP(SUM(L301)*J305,0)</f>
        <v>0</v>
      </c>
      <c r="M305" s="1"/>
      <c r="N305" s="1"/>
      <c r="P305" s="20" t="s">
        <v>251</v>
      </c>
      <c r="Q305" s="270">
        <v>0</v>
      </c>
      <c r="R305" s="21"/>
      <c r="S305" s="22">
        <f>ROUNDUP(SUM(S301)*Q305,0)</f>
        <v>0</v>
      </c>
      <c r="T305" s="1"/>
      <c r="U305" s="1"/>
      <c r="V305" s="1"/>
      <c r="W305" s="20" t="s">
        <v>251</v>
      </c>
      <c r="X305" s="270">
        <v>0</v>
      </c>
      <c r="Y305" s="21"/>
      <c r="Z305" s="22">
        <f>ROUNDUP(SUM(Z301)*X305,0)</f>
        <v>0</v>
      </c>
      <c r="AA305" s="1"/>
      <c r="AB305" s="1"/>
      <c r="AD305" s="20" t="s">
        <v>251</v>
      </c>
      <c r="AE305" s="270">
        <v>0</v>
      </c>
      <c r="AF305" s="21"/>
      <c r="AG305" s="22">
        <f>ROUNDUP(SUM(AG301)*AE305,0)</f>
        <v>0</v>
      </c>
      <c r="AH305" s="1"/>
      <c r="AI305" s="1"/>
      <c r="AK305" s="20" t="s">
        <v>251</v>
      </c>
      <c r="AL305" s="270">
        <v>0</v>
      </c>
      <c r="AM305" s="21"/>
      <c r="AN305" s="22">
        <f>ROUNDUP(SUM(AN301)*AL305,0)</f>
        <v>0</v>
      </c>
      <c r="AO305" s="1"/>
      <c r="AP305" s="1"/>
    </row>
    <row r="306" spans="2:42">
      <c r="B306" s="446" t="s">
        <v>427</v>
      </c>
      <c r="C306" s="40">
        <f>$C$12</f>
        <v>0.1</v>
      </c>
      <c r="D306" s="41"/>
      <c r="E306" s="42">
        <f>ROUNDUP(E304*C306,0)</f>
        <v>552</v>
      </c>
      <c r="F306" s="454" t="str">
        <f>$F$12</f>
        <v>+3% + 7% material esc.</v>
      </c>
      <c r="I306" s="446" t="s">
        <v>427</v>
      </c>
      <c r="J306" s="40">
        <f>$C$12</f>
        <v>0.1</v>
      </c>
      <c r="K306" s="41"/>
      <c r="L306" s="42">
        <f>ROUNDUP(L304*J306,0)</f>
        <v>111</v>
      </c>
      <c r="M306" s="454" t="str">
        <f>$F$12</f>
        <v>+3% + 7% material esc.</v>
      </c>
      <c r="P306" s="446" t="s">
        <v>427</v>
      </c>
      <c r="Q306" s="40">
        <f>$C$12</f>
        <v>0.1</v>
      </c>
      <c r="R306" s="41"/>
      <c r="S306" s="42">
        <f>ROUNDUP(S304*Q306,0)</f>
        <v>387</v>
      </c>
      <c r="T306" s="454" t="str">
        <f>$F$12</f>
        <v>+3% + 7% material esc.</v>
      </c>
      <c r="W306" s="446" t="s">
        <v>427</v>
      </c>
      <c r="X306" s="40">
        <f>$C$12</f>
        <v>0.1</v>
      </c>
      <c r="Y306" s="41"/>
      <c r="Z306" s="42">
        <f>ROUNDUP(Z304*X306,0)</f>
        <v>83</v>
      </c>
      <c r="AA306" s="454" t="str">
        <f>$F$12</f>
        <v>+3% + 7% material esc.</v>
      </c>
      <c r="AD306" s="446" t="s">
        <v>427</v>
      </c>
      <c r="AE306" s="40">
        <f>$C$12</f>
        <v>0.1</v>
      </c>
      <c r="AF306" s="41"/>
      <c r="AG306" s="42">
        <f>ROUNDUP(AG304*AE306,0)</f>
        <v>1109</v>
      </c>
      <c r="AH306" s="454" t="str">
        <f>$F$12</f>
        <v>+3% + 7% material esc.</v>
      </c>
      <c r="AK306" s="446" t="s">
        <v>427</v>
      </c>
      <c r="AL306" s="40">
        <f>$C$12</f>
        <v>0.1</v>
      </c>
      <c r="AM306" s="41"/>
      <c r="AN306" s="42">
        <f>ROUNDUP(AN304*AL306,0)</f>
        <v>233</v>
      </c>
      <c r="AO306" s="454" t="str">
        <f>$F$12</f>
        <v>+3% + 7% material esc.</v>
      </c>
    </row>
    <row r="307" spans="2:42">
      <c r="B307" s="10" t="s">
        <v>3</v>
      </c>
      <c r="C307" s="36"/>
      <c r="D307" s="13"/>
      <c r="E307" s="13">
        <f>SUM(E304:E306)</f>
        <v>6071</v>
      </c>
      <c r="F307" s="123">
        <f>E307/F300</f>
        <v>1.2141999999999999</v>
      </c>
      <c r="G307" s="124" t="s">
        <v>80</v>
      </c>
      <c r="H307" s="1"/>
      <c r="I307" s="10" t="s">
        <v>3</v>
      </c>
      <c r="J307" s="36"/>
      <c r="K307" s="13"/>
      <c r="L307" s="13">
        <f>SUM(L304:L306)</f>
        <v>1215</v>
      </c>
      <c r="M307" s="123">
        <f>L307/M300</f>
        <v>1.2150000000000001</v>
      </c>
      <c r="N307" s="124" t="s">
        <v>80</v>
      </c>
      <c r="P307" s="10" t="s">
        <v>3</v>
      </c>
      <c r="Q307" s="36"/>
      <c r="R307" s="13"/>
      <c r="S307" s="13">
        <f>SUM(S304:S306)</f>
        <v>4255</v>
      </c>
      <c r="T307" s="123">
        <f>S307/T300</f>
        <v>0.85099999999999998</v>
      </c>
      <c r="U307" s="124" t="s">
        <v>80</v>
      </c>
      <c r="V307" s="1"/>
      <c r="W307" s="10" t="s">
        <v>3</v>
      </c>
      <c r="X307" s="36"/>
      <c r="Y307" s="13"/>
      <c r="Z307" s="13">
        <f>SUM(Z304:Z306)</f>
        <v>912</v>
      </c>
      <c r="AA307" s="123">
        <f>Z307/AA300</f>
        <v>0.91200000000000003</v>
      </c>
      <c r="AB307" s="124" t="s">
        <v>80</v>
      </c>
      <c r="AD307" s="10" t="s">
        <v>3</v>
      </c>
      <c r="AE307" s="36"/>
      <c r="AF307" s="13"/>
      <c r="AG307" s="13">
        <f>SUM(AG304:AG306)</f>
        <v>12192</v>
      </c>
      <c r="AH307" s="123">
        <f>AG307/AH300</f>
        <v>2.4384000000000001</v>
      </c>
      <c r="AI307" s="124" t="s">
        <v>80</v>
      </c>
      <c r="AK307" s="10" t="s">
        <v>3</v>
      </c>
      <c r="AL307" s="36"/>
      <c r="AM307" s="13"/>
      <c r="AN307" s="13">
        <f>SUM(AN304:AN306)</f>
        <v>2559</v>
      </c>
      <c r="AO307" s="123">
        <f>AN307/AO300</f>
        <v>2.5590000000000002</v>
      </c>
      <c r="AP307" s="124" t="s">
        <v>80</v>
      </c>
    </row>
    <row r="308" spans="2:42">
      <c r="B308" s="1"/>
      <c r="C308" s="32"/>
      <c r="D308" s="7"/>
      <c r="E308" s="7"/>
      <c r="F308" s="1"/>
      <c r="I308" s="1"/>
      <c r="J308" s="32"/>
      <c r="K308" s="7"/>
      <c r="L308" s="7"/>
      <c r="M308" s="1"/>
      <c r="P308" s="1"/>
      <c r="Q308" s="32"/>
      <c r="R308" s="7"/>
      <c r="S308" s="7"/>
      <c r="T308" s="1"/>
      <c r="W308" s="1"/>
      <c r="X308" s="32"/>
      <c r="Y308" s="7"/>
      <c r="Z308" s="7"/>
      <c r="AA308" s="1"/>
      <c r="AD308" s="1"/>
      <c r="AE308" s="32"/>
      <c r="AF308" s="7"/>
      <c r="AG308" s="7"/>
      <c r="AH308" s="1"/>
      <c r="AK308" s="1"/>
      <c r="AL308" s="32"/>
      <c r="AM308" s="7"/>
      <c r="AN308" s="7"/>
      <c r="AO308" s="1"/>
    </row>
    <row r="309" spans="2:42">
      <c r="B309" s="75" t="s">
        <v>45</v>
      </c>
      <c r="C309" s="271">
        <f>F300</f>
        <v>5000</v>
      </c>
      <c r="D309" s="75" t="s">
        <v>46</v>
      </c>
      <c r="E309" s="272">
        <v>0</v>
      </c>
      <c r="F309" s="1"/>
      <c r="G309" s="273">
        <f>E309/C309</f>
        <v>0</v>
      </c>
      <c r="I309" s="75" t="s">
        <v>45</v>
      </c>
      <c r="J309" s="271">
        <f>M300</f>
        <v>1000</v>
      </c>
      <c r="K309" s="75" t="s">
        <v>46</v>
      </c>
      <c r="L309" s="272">
        <v>0</v>
      </c>
      <c r="M309" s="1"/>
      <c r="N309" s="273">
        <f>L309/J309</f>
        <v>0</v>
      </c>
      <c r="P309" s="75" t="s">
        <v>45</v>
      </c>
      <c r="Q309" s="271">
        <f>T300</f>
        <v>5000</v>
      </c>
      <c r="R309" s="75" t="s">
        <v>46</v>
      </c>
      <c r="S309" s="272">
        <v>0</v>
      </c>
      <c r="T309" s="1"/>
      <c r="U309" s="273">
        <f>S309/Q309</f>
        <v>0</v>
      </c>
      <c r="W309" s="75" t="s">
        <v>45</v>
      </c>
      <c r="X309" s="271">
        <f>AA300</f>
        <v>1000</v>
      </c>
      <c r="Y309" s="75" t="s">
        <v>46</v>
      </c>
      <c r="Z309" s="272">
        <v>0</v>
      </c>
      <c r="AA309" s="1"/>
      <c r="AB309" s="273">
        <f>Z309/X309</f>
        <v>0</v>
      </c>
      <c r="AD309" s="75" t="s">
        <v>45</v>
      </c>
      <c r="AE309" s="271">
        <f>AH300</f>
        <v>5000</v>
      </c>
      <c r="AF309" s="75" t="s">
        <v>46</v>
      </c>
      <c r="AG309" s="272">
        <v>0</v>
      </c>
      <c r="AH309" s="1"/>
      <c r="AI309" s="273">
        <f>AG309/AE309</f>
        <v>0</v>
      </c>
      <c r="AK309" s="75" t="s">
        <v>45</v>
      </c>
      <c r="AL309" s="271">
        <f>AO300</f>
        <v>1000</v>
      </c>
      <c r="AM309" s="75" t="s">
        <v>46</v>
      </c>
      <c r="AN309" s="272">
        <v>0</v>
      </c>
      <c r="AO309" s="1"/>
      <c r="AP309" s="273">
        <f>AN309/AL309</f>
        <v>0</v>
      </c>
    </row>
    <row r="310" spans="2:42">
      <c r="B310" s="85" t="s">
        <v>52</v>
      </c>
      <c r="C310" s="68" t="s">
        <v>42</v>
      </c>
      <c r="D310" s="68" t="s">
        <v>47</v>
      </c>
      <c r="E310" s="87" t="s">
        <v>51</v>
      </c>
      <c r="F310" s="76" t="s">
        <v>59</v>
      </c>
      <c r="G310" s="156" t="s">
        <v>86</v>
      </c>
      <c r="H310" s="274"/>
      <c r="I310" s="85" t="s">
        <v>52</v>
      </c>
      <c r="J310" s="68" t="s">
        <v>42</v>
      </c>
      <c r="K310" s="68" t="s">
        <v>47</v>
      </c>
      <c r="L310" s="87" t="s">
        <v>51</v>
      </c>
      <c r="M310" s="76" t="s">
        <v>59</v>
      </c>
      <c r="N310" s="156" t="s">
        <v>86</v>
      </c>
      <c r="P310" s="85" t="s">
        <v>52</v>
      </c>
      <c r="Q310" s="68" t="s">
        <v>42</v>
      </c>
      <c r="R310" s="68" t="s">
        <v>47</v>
      </c>
      <c r="S310" s="87" t="s">
        <v>51</v>
      </c>
      <c r="T310" s="76" t="s">
        <v>59</v>
      </c>
      <c r="U310" s="156" t="s">
        <v>86</v>
      </c>
      <c r="V310" s="274"/>
      <c r="W310" s="85" t="s">
        <v>52</v>
      </c>
      <c r="X310" s="68" t="s">
        <v>42</v>
      </c>
      <c r="Y310" s="68" t="s">
        <v>47</v>
      </c>
      <c r="Z310" s="87" t="s">
        <v>51</v>
      </c>
      <c r="AA310" s="76" t="s">
        <v>59</v>
      </c>
      <c r="AB310" s="156" t="s">
        <v>86</v>
      </c>
      <c r="AD310" s="85" t="s">
        <v>52</v>
      </c>
      <c r="AE310" s="68" t="s">
        <v>42</v>
      </c>
      <c r="AF310" s="68" t="s">
        <v>47</v>
      </c>
      <c r="AG310" s="87" t="s">
        <v>51</v>
      </c>
      <c r="AH310" s="76" t="s">
        <v>59</v>
      </c>
      <c r="AI310" s="156" t="s">
        <v>86</v>
      </c>
      <c r="AK310" s="85" t="s">
        <v>52</v>
      </c>
      <c r="AL310" s="68" t="s">
        <v>42</v>
      </c>
      <c r="AM310" s="68" t="s">
        <v>47</v>
      </c>
      <c r="AN310" s="87" t="s">
        <v>51</v>
      </c>
      <c r="AO310" s="76" t="s">
        <v>59</v>
      </c>
      <c r="AP310" s="156" t="s">
        <v>86</v>
      </c>
    </row>
    <row r="311" spans="2:42">
      <c r="B311" s="69">
        <v>3</v>
      </c>
      <c r="C311" s="1">
        <v>0</v>
      </c>
      <c r="D311" s="523">
        <f>$D$17</f>
        <v>33.5</v>
      </c>
      <c r="E311" s="70">
        <f>B311*C311*D311*8</f>
        <v>0</v>
      </c>
      <c r="F311" s="76"/>
      <c r="G311" s="157" t="e">
        <f>F300/(E311/D311)</f>
        <v>#DIV/0!</v>
      </c>
      <c r="H311" s="154"/>
      <c r="I311" s="69">
        <v>3</v>
      </c>
      <c r="J311" s="1">
        <v>0</v>
      </c>
      <c r="K311" s="523">
        <f>$D$17</f>
        <v>33.5</v>
      </c>
      <c r="L311" s="70">
        <f>I311*J311*K311*8</f>
        <v>0</v>
      </c>
      <c r="M311" s="76"/>
      <c r="N311" s="157" t="e">
        <f>M300/(L311/K311)</f>
        <v>#DIV/0!</v>
      </c>
      <c r="P311" s="69">
        <v>3</v>
      </c>
      <c r="Q311" s="1">
        <v>0</v>
      </c>
      <c r="R311" s="523">
        <f>$D$17</f>
        <v>33.5</v>
      </c>
      <c r="S311" s="70">
        <f>P311*Q311*R311*8</f>
        <v>0</v>
      </c>
      <c r="T311" s="76"/>
      <c r="U311" s="157" t="e">
        <f>T300/(S311/R311)</f>
        <v>#DIV/0!</v>
      </c>
      <c r="V311" s="154"/>
      <c r="W311" s="69">
        <v>3</v>
      </c>
      <c r="X311" s="1">
        <v>0</v>
      </c>
      <c r="Y311" s="523">
        <f>$D$17</f>
        <v>33.5</v>
      </c>
      <c r="Z311" s="70">
        <f>W311*X311*Y311*8</f>
        <v>0</v>
      </c>
      <c r="AA311" s="76"/>
      <c r="AB311" s="157" t="e">
        <f>AA300/(Z311/Y311)</f>
        <v>#DIV/0!</v>
      </c>
      <c r="AD311" s="69">
        <v>3</v>
      </c>
      <c r="AE311" s="1">
        <v>0</v>
      </c>
      <c r="AF311" s="523">
        <f>$D$17</f>
        <v>33.5</v>
      </c>
      <c r="AG311" s="70">
        <f>AD311*AE311*AF311*8</f>
        <v>0</v>
      </c>
      <c r="AH311" s="76"/>
      <c r="AI311" s="157" t="e">
        <f>AH300/(AG311/AF311)</f>
        <v>#DIV/0!</v>
      </c>
      <c r="AK311" s="69">
        <v>3</v>
      </c>
      <c r="AL311" s="1">
        <v>0</v>
      </c>
      <c r="AM311" s="523">
        <f>$D$17</f>
        <v>33.5</v>
      </c>
      <c r="AN311" s="70">
        <f>AK311*AL311*AM311*8</f>
        <v>0</v>
      </c>
      <c r="AO311" s="76"/>
      <c r="AP311" s="157" t="e">
        <f>AO300/(AN311/AM311)</f>
        <v>#DIV/0!</v>
      </c>
    </row>
    <row r="312" spans="2:42">
      <c r="B312" s="69"/>
      <c r="C312" s="1"/>
      <c r="D312" s="523">
        <f>$D$17</f>
        <v>33.5</v>
      </c>
      <c r="E312" s="70">
        <f>B312*C312*D312*8</f>
        <v>0</v>
      </c>
      <c r="F312" s="76"/>
      <c r="G312" s="275" t="e">
        <f>F302/(E312/D312)</f>
        <v>#DIV/0!</v>
      </c>
      <c r="H312" s="154"/>
      <c r="I312" s="69"/>
      <c r="J312" s="1"/>
      <c r="K312" s="523">
        <f>$D$17</f>
        <v>33.5</v>
      </c>
      <c r="L312" s="70">
        <f>I312*J312*K312*8</f>
        <v>0</v>
      </c>
      <c r="M312" s="76"/>
      <c r="N312" s="275" t="e">
        <f>M302/(L312/K312)</f>
        <v>#DIV/0!</v>
      </c>
      <c r="P312" s="69"/>
      <c r="Q312" s="1"/>
      <c r="R312" s="523">
        <f>$D$17</f>
        <v>33.5</v>
      </c>
      <c r="S312" s="70">
        <f>P312*Q312*R312*8</f>
        <v>0</v>
      </c>
      <c r="T312" s="76"/>
      <c r="U312" s="275" t="e">
        <f>T302/(S312/R312)</f>
        <v>#DIV/0!</v>
      </c>
      <c r="V312" s="154"/>
      <c r="W312" s="69"/>
      <c r="X312" s="1"/>
      <c r="Y312" s="523">
        <f>$D$17</f>
        <v>33.5</v>
      </c>
      <c r="Z312" s="70">
        <f>W312*X312*Y312*8</f>
        <v>0</v>
      </c>
      <c r="AA312" s="76"/>
      <c r="AB312" s="275" t="e">
        <f>AA302/(Z312/Y312)</f>
        <v>#DIV/0!</v>
      </c>
      <c r="AD312" s="69"/>
      <c r="AE312" s="1"/>
      <c r="AF312" s="523">
        <f>$D$17</f>
        <v>33.5</v>
      </c>
      <c r="AG312" s="70">
        <f>AD312*AE312*AF312*8</f>
        <v>0</v>
      </c>
      <c r="AH312" s="76"/>
      <c r="AI312" s="275" t="e">
        <f>AH302/(AG312/AF312)</f>
        <v>#DIV/0!</v>
      </c>
      <c r="AK312" s="69"/>
      <c r="AL312" s="1"/>
      <c r="AM312" s="523">
        <f>$D$17</f>
        <v>33.5</v>
      </c>
      <c r="AN312" s="70">
        <f>AK312*AL312*AM312*8</f>
        <v>0</v>
      </c>
      <c r="AO312" s="76"/>
      <c r="AP312" s="275" t="e">
        <f>AO302/(AN312/AM312)</f>
        <v>#DIV/0!</v>
      </c>
    </row>
    <row r="313" spans="2:42">
      <c r="B313" s="86" t="s">
        <v>53</v>
      </c>
      <c r="C313" s="67" t="s">
        <v>44</v>
      </c>
      <c r="D313" s="276" t="s">
        <v>43</v>
      </c>
      <c r="E313" s="71"/>
      <c r="F313" s="1"/>
      <c r="I313" s="86" t="s">
        <v>53</v>
      </c>
      <c r="J313" s="67" t="s">
        <v>44</v>
      </c>
      <c r="K313" s="276" t="s">
        <v>43</v>
      </c>
      <c r="L313" s="71"/>
      <c r="M313" s="1"/>
      <c r="P313" s="86" t="s">
        <v>53</v>
      </c>
      <c r="Q313" s="67" t="s">
        <v>44</v>
      </c>
      <c r="R313" s="276" t="s">
        <v>43</v>
      </c>
      <c r="S313" s="71"/>
      <c r="T313" s="1"/>
      <c r="W313" s="86" t="s">
        <v>53</v>
      </c>
      <c r="X313" s="67" t="s">
        <v>44</v>
      </c>
      <c r="Y313" s="276" t="s">
        <v>43</v>
      </c>
      <c r="Z313" s="71"/>
      <c r="AA313" s="1"/>
      <c r="AD313" s="86" t="s">
        <v>53</v>
      </c>
      <c r="AE313" s="67" t="s">
        <v>44</v>
      </c>
      <c r="AF313" s="276" t="s">
        <v>43</v>
      </c>
      <c r="AG313" s="71"/>
      <c r="AH313" s="1"/>
      <c r="AK313" s="86" t="s">
        <v>53</v>
      </c>
      <c r="AL313" s="67" t="s">
        <v>44</v>
      </c>
      <c r="AM313" s="276" t="s">
        <v>43</v>
      </c>
      <c r="AN313" s="71"/>
      <c r="AO313" s="1"/>
    </row>
    <row r="314" spans="2:42">
      <c r="B314" s="69">
        <v>0</v>
      </c>
      <c r="C314" s="1">
        <v>0</v>
      </c>
      <c r="D314" s="523">
        <f>$D$20</f>
        <v>33.5</v>
      </c>
      <c r="E314" s="70">
        <f>B314*C314*D314</f>
        <v>0</v>
      </c>
      <c r="F314" s="76"/>
      <c r="I314" s="69">
        <v>0</v>
      </c>
      <c r="J314" s="1">
        <v>0</v>
      </c>
      <c r="K314" s="523">
        <f>$D$20</f>
        <v>33.5</v>
      </c>
      <c r="L314" s="70">
        <f>I314*J314*K314</f>
        <v>0</v>
      </c>
      <c r="M314" s="76"/>
      <c r="P314" s="69">
        <v>0</v>
      </c>
      <c r="Q314" s="1">
        <v>0</v>
      </c>
      <c r="R314" s="523">
        <f>$D$20</f>
        <v>33.5</v>
      </c>
      <c r="S314" s="70">
        <f>P314*Q314*R314</f>
        <v>0</v>
      </c>
      <c r="T314" s="76"/>
      <c r="W314" s="69">
        <v>0</v>
      </c>
      <c r="X314" s="1">
        <v>0</v>
      </c>
      <c r="Y314" s="523">
        <f>$D$20</f>
        <v>33.5</v>
      </c>
      <c r="Z314" s="70">
        <f>W314*X314*Y314</f>
        <v>0</v>
      </c>
      <c r="AA314" s="76"/>
      <c r="AD314" s="69">
        <v>0</v>
      </c>
      <c r="AE314" s="1">
        <v>0</v>
      </c>
      <c r="AF314" s="523">
        <f>$D$20</f>
        <v>33.5</v>
      </c>
      <c r="AG314" s="70">
        <f>AD314*AE314*AF314</f>
        <v>0</v>
      </c>
      <c r="AH314" s="76"/>
      <c r="AK314" s="69">
        <v>0</v>
      </c>
      <c r="AL314" s="1">
        <v>0</v>
      </c>
      <c r="AM314" s="523">
        <f>$D$20</f>
        <v>33.5</v>
      </c>
      <c r="AN314" s="70">
        <f>AK314*AL314*AM314</f>
        <v>0</v>
      </c>
      <c r="AO314" s="76"/>
    </row>
    <row r="315" spans="2:42">
      <c r="B315" s="277" t="s">
        <v>4</v>
      </c>
      <c r="C315" s="278"/>
      <c r="D315" s="278"/>
      <c r="E315" s="279">
        <f>ROUNDUP(SUM(E311:E314),0)</f>
        <v>0</v>
      </c>
      <c r="F315" s="123">
        <f>E315/C309</f>
        <v>0</v>
      </c>
      <c r="G315" s="124" t="s">
        <v>87</v>
      </c>
      <c r="H315" s="1"/>
      <c r="I315" s="277" t="s">
        <v>4</v>
      </c>
      <c r="J315" s="278"/>
      <c r="K315" s="278"/>
      <c r="L315" s="279">
        <f>ROUNDUP(SUM(L311:L314),0)</f>
        <v>0</v>
      </c>
      <c r="M315" s="123">
        <f>L315/J309</f>
        <v>0</v>
      </c>
      <c r="N315" s="124" t="s">
        <v>87</v>
      </c>
      <c r="P315" s="277" t="s">
        <v>4</v>
      </c>
      <c r="Q315" s="278"/>
      <c r="R315" s="278"/>
      <c r="S315" s="279">
        <f>ROUNDUP(SUM(S311:S314),0)</f>
        <v>0</v>
      </c>
      <c r="T315" s="123">
        <f>S315/Q309</f>
        <v>0</v>
      </c>
      <c r="U315" s="124" t="s">
        <v>87</v>
      </c>
      <c r="V315" s="1"/>
      <c r="W315" s="277" t="s">
        <v>4</v>
      </c>
      <c r="X315" s="278"/>
      <c r="Y315" s="278"/>
      <c r="Z315" s="279">
        <f>ROUNDUP(SUM(Z311:Z314),0)</f>
        <v>0</v>
      </c>
      <c r="AA315" s="123">
        <f>Z315/X309</f>
        <v>0</v>
      </c>
      <c r="AB315" s="124" t="s">
        <v>87</v>
      </c>
      <c r="AD315" s="277" t="s">
        <v>4</v>
      </c>
      <c r="AE315" s="278"/>
      <c r="AF315" s="278"/>
      <c r="AG315" s="279">
        <f>ROUNDUP(SUM(AG311:AG314),0)</f>
        <v>0</v>
      </c>
      <c r="AH315" s="123">
        <f>AG315/AE309</f>
        <v>0</v>
      </c>
      <c r="AI315" s="124" t="s">
        <v>87</v>
      </c>
      <c r="AK315" s="277" t="s">
        <v>4</v>
      </c>
      <c r="AL315" s="278"/>
      <c r="AM315" s="278"/>
      <c r="AN315" s="279">
        <f>ROUNDUP(SUM(AN311:AN314),0)</f>
        <v>0</v>
      </c>
      <c r="AO315" s="123">
        <f>AN315/AL309</f>
        <v>0</v>
      </c>
      <c r="AP315" s="124" t="s">
        <v>87</v>
      </c>
    </row>
    <row r="316" spans="2:42">
      <c r="B316" s="1"/>
      <c r="C316" s="32"/>
      <c r="D316" s="7"/>
      <c r="E316" s="7"/>
      <c r="F316" s="7"/>
      <c r="G316" s="1"/>
      <c r="H316" s="1"/>
      <c r="I316" s="1"/>
      <c r="J316" s="32"/>
      <c r="K316" s="7"/>
      <c r="L316" s="7"/>
      <c r="M316" s="7"/>
      <c r="N316" s="1"/>
      <c r="P316" s="1"/>
      <c r="Q316" s="32"/>
      <c r="R316" s="7"/>
      <c r="S316" s="7"/>
      <c r="T316" s="7"/>
      <c r="U316" s="1"/>
      <c r="V316" s="1"/>
      <c r="W316" s="1"/>
      <c r="X316" s="32"/>
      <c r="Y316" s="7"/>
      <c r="Z316" s="7"/>
      <c r="AA316" s="7"/>
      <c r="AB316" s="1"/>
      <c r="AD316" s="1"/>
      <c r="AE316" s="32"/>
      <c r="AF316" s="7"/>
      <c r="AG316" s="7"/>
      <c r="AH316" s="7"/>
      <c r="AI316" s="1"/>
      <c r="AK316" s="1"/>
      <c r="AL316" s="32"/>
      <c r="AM316" s="7"/>
      <c r="AN316" s="7"/>
      <c r="AO316" s="7"/>
      <c r="AP316" s="1"/>
    </row>
    <row r="317" spans="2:42">
      <c r="B317" s="5" t="s">
        <v>252</v>
      </c>
      <c r="C317" s="30" t="s">
        <v>11</v>
      </c>
      <c r="D317" s="11" t="s">
        <v>1</v>
      </c>
      <c r="E317" s="12" t="s">
        <v>2</v>
      </c>
      <c r="F317" s="1"/>
      <c r="G317" s="1"/>
      <c r="H317" s="1"/>
      <c r="I317" s="5" t="s">
        <v>252</v>
      </c>
      <c r="J317" s="30" t="s">
        <v>11</v>
      </c>
      <c r="K317" s="11" t="s">
        <v>1</v>
      </c>
      <c r="L317" s="12" t="s">
        <v>2</v>
      </c>
      <c r="M317" s="1"/>
      <c r="N317" s="1"/>
      <c r="P317" s="5" t="s">
        <v>252</v>
      </c>
      <c r="Q317" s="30" t="s">
        <v>11</v>
      </c>
      <c r="R317" s="11" t="s">
        <v>1</v>
      </c>
      <c r="S317" s="12" t="s">
        <v>2</v>
      </c>
      <c r="T317" s="1"/>
      <c r="U317" s="1"/>
      <c r="V317" s="1"/>
      <c r="W317" s="5" t="s">
        <v>252</v>
      </c>
      <c r="X317" s="30" t="s">
        <v>11</v>
      </c>
      <c r="Y317" s="11" t="s">
        <v>1</v>
      </c>
      <c r="Z317" s="12" t="s">
        <v>2</v>
      </c>
      <c r="AA317" s="1"/>
      <c r="AB317" s="1"/>
      <c r="AD317" s="5" t="s">
        <v>252</v>
      </c>
      <c r="AE317" s="30" t="s">
        <v>11</v>
      </c>
      <c r="AF317" s="11" t="s">
        <v>1</v>
      </c>
      <c r="AG317" s="12" t="s">
        <v>2</v>
      </c>
      <c r="AH317" s="1"/>
      <c r="AI317" s="1"/>
      <c r="AK317" s="5" t="s">
        <v>252</v>
      </c>
      <c r="AL317" s="30" t="s">
        <v>11</v>
      </c>
      <c r="AM317" s="11" t="s">
        <v>1</v>
      </c>
      <c r="AN317" s="12" t="s">
        <v>2</v>
      </c>
      <c r="AO317" s="1"/>
      <c r="AP317" s="1"/>
    </row>
    <row r="318" spans="2:42">
      <c r="B318" s="6" t="s">
        <v>17</v>
      </c>
      <c r="C318" s="37"/>
      <c r="D318" s="7">
        <v>35</v>
      </c>
      <c r="E318" s="9">
        <f t="shared" ref="E318:E324" si="66">ROUNDUP(C318*D318,0)</f>
        <v>0</v>
      </c>
      <c r="F318" s="1"/>
      <c r="G318" s="1"/>
      <c r="H318" s="1"/>
      <c r="I318" s="6" t="s">
        <v>17</v>
      </c>
      <c r="J318" s="37"/>
      <c r="K318" s="7">
        <v>35</v>
      </c>
      <c r="L318" s="9">
        <f t="shared" ref="L318:L324" si="67">ROUNDUP(J318*K318,0)</f>
        <v>0</v>
      </c>
      <c r="M318" s="1"/>
      <c r="N318" s="1"/>
      <c r="P318" s="6" t="s">
        <v>17</v>
      </c>
      <c r="Q318" s="37"/>
      <c r="R318" s="7">
        <v>35</v>
      </c>
      <c r="S318" s="9">
        <f t="shared" ref="S318:S324" si="68">ROUNDUP(Q318*R318,0)</f>
        <v>0</v>
      </c>
      <c r="T318" s="1"/>
      <c r="U318" s="1"/>
      <c r="V318" s="1"/>
      <c r="W318" s="6" t="s">
        <v>17</v>
      </c>
      <c r="X318" s="37"/>
      <c r="Y318" s="7">
        <v>35</v>
      </c>
      <c r="Z318" s="9">
        <f t="shared" ref="Z318:Z324" si="69">ROUNDUP(X318*Y318,0)</f>
        <v>0</v>
      </c>
      <c r="AA318" s="1"/>
      <c r="AB318" s="1"/>
      <c r="AD318" s="6" t="s">
        <v>17</v>
      </c>
      <c r="AE318" s="37"/>
      <c r="AF318" s="7">
        <v>35</v>
      </c>
      <c r="AG318" s="9">
        <f t="shared" ref="AG318:AG324" si="70">ROUNDUP(AE318*AF318,0)</f>
        <v>0</v>
      </c>
      <c r="AH318" s="1"/>
      <c r="AI318" s="1"/>
      <c r="AK318" s="6" t="s">
        <v>17</v>
      </c>
      <c r="AL318" s="37"/>
      <c r="AM318" s="7">
        <v>35</v>
      </c>
      <c r="AN318" s="9">
        <f t="shared" ref="AN318:AN324" si="71">ROUNDUP(AL318*AM318,0)</f>
        <v>0</v>
      </c>
      <c r="AO318" s="1"/>
      <c r="AP318" s="1"/>
    </row>
    <row r="319" spans="2:42">
      <c r="B319" s="6" t="s">
        <v>75</v>
      </c>
      <c r="C319" s="37"/>
      <c r="D319" s="7">
        <v>0.33</v>
      </c>
      <c r="E319" s="9">
        <f t="shared" si="66"/>
        <v>0</v>
      </c>
      <c r="F319" s="1"/>
      <c r="G319" s="1"/>
      <c r="H319" s="1"/>
      <c r="I319" s="6" t="s">
        <v>75</v>
      </c>
      <c r="J319" s="37"/>
      <c r="K319" s="7">
        <v>0.33</v>
      </c>
      <c r="L319" s="9">
        <f t="shared" si="67"/>
        <v>0</v>
      </c>
      <c r="M319" s="1"/>
      <c r="N319" s="1"/>
      <c r="P319" s="6" t="s">
        <v>75</v>
      </c>
      <c r="Q319" s="37"/>
      <c r="R319" s="7">
        <v>0.33</v>
      </c>
      <c r="S319" s="9">
        <f t="shared" si="68"/>
        <v>0</v>
      </c>
      <c r="T319" s="1"/>
      <c r="U319" s="1"/>
      <c r="V319" s="1"/>
      <c r="W319" s="6" t="s">
        <v>75</v>
      </c>
      <c r="X319" s="37"/>
      <c r="Y319" s="7">
        <v>0.33</v>
      </c>
      <c r="Z319" s="9">
        <f t="shared" si="69"/>
        <v>0</v>
      </c>
      <c r="AA319" s="1"/>
      <c r="AB319" s="1"/>
      <c r="AD319" s="6" t="s">
        <v>75</v>
      </c>
      <c r="AE319" s="37"/>
      <c r="AF319" s="7">
        <v>0.33</v>
      </c>
      <c r="AG319" s="9">
        <f t="shared" si="70"/>
        <v>0</v>
      </c>
      <c r="AH319" s="1"/>
      <c r="AI319" s="1"/>
      <c r="AK319" s="6" t="s">
        <v>75</v>
      </c>
      <c r="AL319" s="37"/>
      <c r="AM319" s="7">
        <v>0.33</v>
      </c>
      <c r="AN319" s="9">
        <f t="shared" si="71"/>
        <v>0</v>
      </c>
      <c r="AO319" s="1"/>
      <c r="AP319" s="1"/>
    </row>
    <row r="320" spans="2:42">
      <c r="B320" s="6" t="s">
        <v>68</v>
      </c>
      <c r="C320" s="37">
        <v>0</v>
      </c>
      <c r="D320" s="7">
        <f>$D$26</f>
        <v>70</v>
      </c>
      <c r="E320" s="9">
        <f t="shared" si="66"/>
        <v>0</v>
      </c>
      <c r="F320" s="1"/>
      <c r="G320" s="1"/>
      <c r="H320" s="1"/>
      <c r="I320" s="6" t="s">
        <v>68</v>
      </c>
      <c r="J320" s="37">
        <v>0</v>
      </c>
      <c r="K320" s="7">
        <f>$D$26</f>
        <v>70</v>
      </c>
      <c r="L320" s="9">
        <f t="shared" si="67"/>
        <v>0</v>
      </c>
      <c r="M320" s="1"/>
      <c r="N320" s="1"/>
      <c r="P320" s="6" t="s">
        <v>68</v>
      </c>
      <c r="Q320" s="37">
        <v>0</v>
      </c>
      <c r="R320" s="7">
        <f>$D$26</f>
        <v>70</v>
      </c>
      <c r="S320" s="9">
        <f t="shared" si="68"/>
        <v>0</v>
      </c>
      <c r="T320" s="1"/>
      <c r="U320" s="1"/>
      <c r="V320" s="1"/>
      <c r="W320" s="6" t="s">
        <v>68</v>
      </c>
      <c r="X320" s="37">
        <v>0</v>
      </c>
      <c r="Y320" s="7">
        <f>$D$26</f>
        <v>70</v>
      </c>
      <c r="Z320" s="9">
        <f t="shared" si="69"/>
        <v>0</v>
      </c>
      <c r="AA320" s="1"/>
      <c r="AB320" s="1"/>
      <c r="AD320" s="6" t="s">
        <v>68</v>
      </c>
      <c r="AE320" s="37">
        <v>0</v>
      </c>
      <c r="AF320" s="7">
        <f>$D$26</f>
        <v>70</v>
      </c>
      <c r="AG320" s="9">
        <f t="shared" si="70"/>
        <v>0</v>
      </c>
      <c r="AH320" s="1"/>
      <c r="AI320" s="1"/>
      <c r="AK320" s="6" t="s">
        <v>68</v>
      </c>
      <c r="AL320" s="37">
        <v>0</v>
      </c>
      <c r="AM320" s="7">
        <f>$D$26</f>
        <v>70</v>
      </c>
      <c r="AN320" s="9">
        <f t="shared" si="71"/>
        <v>0</v>
      </c>
      <c r="AO320" s="1"/>
      <c r="AP320" s="1"/>
    </row>
    <row r="321" spans="2:42">
      <c r="B321" s="6" t="s">
        <v>69</v>
      </c>
      <c r="C321" s="37">
        <f>C320</f>
        <v>0</v>
      </c>
      <c r="D321" s="7">
        <f>$D$27</f>
        <v>45</v>
      </c>
      <c r="E321" s="9">
        <f t="shared" si="66"/>
        <v>0</v>
      </c>
      <c r="F321" s="43"/>
      <c r="G321" s="1"/>
      <c r="H321" s="1"/>
      <c r="I321" s="6" t="s">
        <v>69</v>
      </c>
      <c r="J321" s="37">
        <f>J320</f>
        <v>0</v>
      </c>
      <c r="K321" s="7">
        <f>$D$27</f>
        <v>45</v>
      </c>
      <c r="L321" s="9">
        <f t="shared" si="67"/>
        <v>0</v>
      </c>
      <c r="M321" s="43"/>
      <c r="N321" s="1"/>
      <c r="P321" s="6" t="s">
        <v>69</v>
      </c>
      <c r="Q321" s="37">
        <f>Q320</f>
        <v>0</v>
      </c>
      <c r="R321" s="7">
        <f>$D$27</f>
        <v>45</v>
      </c>
      <c r="S321" s="9">
        <f t="shared" si="68"/>
        <v>0</v>
      </c>
      <c r="T321" s="43"/>
      <c r="U321" s="1"/>
      <c r="V321" s="1"/>
      <c r="W321" s="6" t="s">
        <v>69</v>
      </c>
      <c r="X321" s="37">
        <f>X320</f>
        <v>0</v>
      </c>
      <c r="Y321" s="7">
        <f>$D$27</f>
        <v>45</v>
      </c>
      <c r="Z321" s="9">
        <f t="shared" si="69"/>
        <v>0</v>
      </c>
      <c r="AA321" s="43"/>
      <c r="AB321" s="1"/>
      <c r="AD321" s="6" t="s">
        <v>69</v>
      </c>
      <c r="AE321" s="37">
        <f>AE320</f>
        <v>0</v>
      </c>
      <c r="AF321" s="7">
        <f>$D$27</f>
        <v>45</v>
      </c>
      <c r="AG321" s="9">
        <f t="shared" si="70"/>
        <v>0</v>
      </c>
      <c r="AH321" s="43"/>
      <c r="AI321" s="1"/>
      <c r="AK321" s="6" t="s">
        <v>69</v>
      </c>
      <c r="AL321" s="37">
        <f>AL320</f>
        <v>0</v>
      </c>
      <c r="AM321" s="7">
        <f>$D$27</f>
        <v>45</v>
      </c>
      <c r="AN321" s="9">
        <f t="shared" si="71"/>
        <v>0</v>
      </c>
      <c r="AO321" s="43"/>
      <c r="AP321" s="1"/>
    </row>
    <row r="322" spans="2:42">
      <c r="B322" s="6" t="s">
        <v>253</v>
      </c>
      <c r="C322" s="37">
        <v>0</v>
      </c>
      <c r="D322" s="7">
        <f>$D$28</f>
        <v>14</v>
      </c>
      <c r="E322" s="9">
        <f t="shared" si="66"/>
        <v>0</v>
      </c>
      <c r="F322" s="43"/>
      <c r="G322" s="1"/>
      <c r="H322" s="1"/>
      <c r="I322" s="6" t="s">
        <v>253</v>
      </c>
      <c r="J322" s="37">
        <v>0</v>
      </c>
      <c r="K322" s="7">
        <f>$D$28</f>
        <v>14</v>
      </c>
      <c r="L322" s="9">
        <f t="shared" si="67"/>
        <v>0</v>
      </c>
      <c r="M322" s="43"/>
      <c r="N322" s="1"/>
      <c r="P322" s="6" t="s">
        <v>253</v>
      </c>
      <c r="Q322" s="37">
        <v>0</v>
      </c>
      <c r="R322" s="7">
        <f>$D$28</f>
        <v>14</v>
      </c>
      <c r="S322" s="9">
        <f t="shared" si="68"/>
        <v>0</v>
      </c>
      <c r="T322" s="43"/>
      <c r="U322" s="1"/>
      <c r="V322" s="1"/>
      <c r="W322" s="6" t="s">
        <v>253</v>
      </c>
      <c r="X322" s="37">
        <v>0</v>
      </c>
      <c r="Y322" s="7">
        <f>$D$28</f>
        <v>14</v>
      </c>
      <c r="Z322" s="9">
        <f t="shared" si="69"/>
        <v>0</v>
      </c>
      <c r="AA322" s="43"/>
      <c r="AB322" s="1"/>
      <c r="AD322" s="6" t="s">
        <v>253</v>
      </c>
      <c r="AE322" s="37">
        <v>0</v>
      </c>
      <c r="AF322" s="7">
        <f>$D$28</f>
        <v>14</v>
      </c>
      <c r="AG322" s="9">
        <f t="shared" si="70"/>
        <v>0</v>
      </c>
      <c r="AH322" s="43"/>
      <c r="AI322" s="1"/>
      <c r="AK322" s="6" t="s">
        <v>253</v>
      </c>
      <c r="AL322" s="37">
        <v>0</v>
      </c>
      <c r="AM322" s="7">
        <f>$D$28</f>
        <v>14</v>
      </c>
      <c r="AN322" s="9">
        <f t="shared" si="71"/>
        <v>0</v>
      </c>
      <c r="AO322" s="43"/>
      <c r="AP322" s="1"/>
    </row>
    <row r="323" spans="2:42">
      <c r="B323" s="6" t="s">
        <v>254</v>
      </c>
      <c r="C323" s="37"/>
      <c r="D323" s="7">
        <v>0.04</v>
      </c>
      <c r="E323" s="9">
        <f t="shared" si="66"/>
        <v>0</v>
      </c>
      <c r="F323" s="1"/>
      <c r="G323" s="1"/>
      <c r="H323" s="1"/>
      <c r="I323" s="6" t="s">
        <v>254</v>
      </c>
      <c r="J323" s="37"/>
      <c r="K323" s="7">
        <v>0.04</v>
      </c>
      <c r="L323" s="9">
        <f t="shared" si="67"/>
        <v>0</v>
      </c>
      <c r="M323" s="1"/>
      <c r="N323" s="1"/>
      <c r="P323" s="6" t="s">
        <v>254</v>
      </c>
      <c r="Q323" s="37"/>
      <c r="R323" s="7">
        <v>0.04</v>
      </c>
      <c r="S323" s="9">
        <f t="shared" si="68"/>
        <v>0</v>
      </c>
      <c r="T323" s="1"/>
      <c r="U323" s="1"/>
      <c r="V323" s="1"/>
      <c r="W323" s="6" t="s">
        <v>254</v>
      </c>
      <c r="X323" s="37"/>
      <c r="Y323" s="7">
        <v>0.04</v>
      </c>
      <c r="Z323" s="9">
        <f t="shared" si="69"/>
        <v>0</v>
      </c>
      <c r="AA323" s="1"/>
      <c r="AB323" s="1"/>
      <c r="AD323" s="6" t="s">
        <v>254</v>
      </c>
      <c r="AE323" s="37"/>
      <c r="AF323" s="7">
        <v>0.04</v>
      </c>
      <c r="AG323" s="9">
        <f t="shared" si="70"/>
        <v>0</v>
      </c>
      <c r="AH323" s="1"/>
      <c r="AI323" s="1"/>
      <c r="AK323" s="6" t="s">
        <v>254</v>
      </c>
      <c r="AL323" s="37"/>
      <c r="AM323" s="7">
        <v>0.04</v>
      </c>
      <c r="AN323" s="9">
        <f t="shared" si="71"/>
        <v>0</v>
      </c>
      <c r="AO323" s="1"/>
      <c r="AP323" s="1"/>
    </row>
    <row r="324" spans="2:42">
      <c r="B324" s="6" t="s">
        <v>28</v>
      </c>
      <c r="C324" s="37"/>
      <c r="D324" s="7"/>
      <c r="E324" s="9">
        <f t="shared" si="66"/>
        <v>0</v>
      </c>
      <c r="F324" s="1"/>
      <c r="G324" s="1"/>
      <c r="H324" s="1"/>
      <c r="I324" s="6" t="s">
        <v>28</v>
      </c>
      <c r="J324" s="37"/>
      <c r="K324" s="7"/>
      <c r="L324" s="9">
        <f t="shared" si="67"/>
        <v>0</v>
      </c>
      <c r="M324" s="1"/>
      <c r="N324" s="1"/>
      <c r="P324" s="6" t="s">
        <v>28</v>
      </c>
      <c r="Q324" s="37"/>
      <c r="R324" s="7"/>
      <c r="S324" s="9">
        <f t="shared" si="68"/>
        <v>0</v>
      </c>
      <c r="T324" s="1"/>
      <c r="U324" s="1"/>
      <c r="V324" s="1"/>
      <c r="W324" s="6" t="s">
        <v>28</v>
      </c>
      <c r="X324" s="37"/>
      <c r="Y324" s="7"/>
      <c r="Z324" s="9">
        <f t="shared" si="69"/>
        <v>0</v>
      </c>
      <c r="AA324" s="1"/>
      <c r="AB324" s="1"/>
      <c r="AD324" s="6" t="s">
        <v>28</v>
      </c>
      <c r="AE324" s="37"/>
      <c r="AF324" s="7"/>
      <c r="AG324" s="9">
        <f t="shared" si="70"/>
        <v>0</v>
      </c>
      <c r="AH324" s="1"/>
      <c r="AI324" s="1"/>
      <c r="AK324" s="6" t="s">
        <v>28</v>
      </c>
      <c r="AL324" s="37"/>
      <c r="AM324" s="7"/>
      <c r="AN324" s="9">
        <f t="shared" si="71"/>
        <v>0</v>
      </c>
      <c r="AO324" s="1"/>
      <c r="AP324" s="1"/>
    </row>
    <row r="325" spans="2:42">
      <c r="B325" s="10" t="s">
        <v>255</v>
      </c>
      <c r="C325" s="36"/>
      <c r="D325" s="13"/>
      <c r="E325" s="16">
        <f>SUM(E318:E324)</f>
        <v>0</v>
      </c>
      <c r="F325" s="1"/>
      <c r="G325" s="1"/>
      <c r="H325" s="1"/>
      <c r="I325" s="10" t="s">
        <v>255</v>
      </c>
      <c r="J325" s="36"/>
      <c r="K325" s="13"/>
      <c r="L325" s="16">
        <f>SUM(L318:L324)</f>
        <v>0</v>
      </c>
      <c r="M325" s="1"/>
      <c r="N325" s="1"/>
      <c r="P325" s="10" t="s">
        <v>255</v>
      </c>
      <c r="Q325" s="36"/>
      <c r="R325" s="13"/>
      <c r="S325" s="16">
        <f>SUM(S318:S324)</f>
        <v>0</v>
      </c>
      <c r="T325" s="1"/>
      <c r="U325" s="1"/>
      <c r="V325" s="1"/>
      <c r="W325" s="10" t="s">
        <v>255</v>
      </c>
      <c r="X325" s="36"/>
      <c r="Y325" s="13"/>
      <c r="Z325" s="16">
        <f>SUM(Z318:Z324)</f>
        <v>0</v>
      </c>
      <c r="AA325" s="1"/>
      <c r="AB325" s="1"/>
      <c r="AD325" s="10" t="s">
        <v>255</v>
      </c>
      <c r="AE325" s="36"/>
      <c r="AF325" s="13"/>
      <c r="AG325" s="16">
        <f>SUM(AG318:AG324)</f>
        <v>0</v>
      </c>
      <c r="AH325" s="1"/>
      <c r="AI325" s="1"/>
      <c r="AK325" s="10" t="s">
        <v>255</v>
      </c>
      <c r="AL325" s="36"/>
      <c r="AM325" s="13"/>
      <c r="AN325" s="16">
        <f>SUM(AN318:AN324)</f>
        <v>0</v>
      </c>
      <c r="AO325" s="1"/>
      <c r="AP325" s="1"/>
    </row>
    <row r="326" spans="2:42">
      <c r="B326" s="1"/>
      <c r="C326" s="32"/>
      <c r="D326" s="7"/>
      <c r="E326" s="7"/>
      <c r="F326" s="1"/>
      <c r="G326" s="1"/>
      <c r="H326" s="1"/>
      <c r="I326" s="1"/>
      <c r="J326" s="32"/>
      <c r="K326" s="7"/>
      <c r="L326" s="7"/>
      <c r="M326" s="1"/>
      <c r="N326" s="1"/>
      <c r="P326" s="1"/>
      <c r="Q326" s="32"/>
      <c r="R326" s="7"/>
      <c r="S326" s="7"/>
      <c r="T326" s="1"/>
      <c r="U326" s="1"/>
      <c r="V326" s="1"/>
      <c r="W326" s="1"/>
      <c r="X326" s="32"/>
      <c r="Y326" s="7"/>
      <c r="Z326" s="7"/>
      <c r="AA326" s="1"/>
      <c r="AB326" s="1"/>
      <c r="AD326" s="1"/>
      <c r="AE326" s="32"/>
      <c r="AF326" s="7"/>
      <c r="AG326" s="7"/>
      <c r="AH326" s="1"/>
      <c r="AI326" s="1"/>
      <c r="AK326" s="1"/>
      <c r="AL326" s="32"/>
      <c r="AM326" s="7"/>
      <c r="AN326" s="7"/>
      <c r="AO326" s="1"/>
      <c r="AP326" s="1"/>
    </row>
    <row r="327" spans="2:42">
      <c r="B327" s="1"/>
      <c r="C327" s="32"/>
      <c r="D327" s="7"/>
      <c r="E327" s="7"/>
      <c r="F327" s="1"/>
      <c r="G327" s="1"/>
      <c r="H327" s="1"/>
      <c r="I327" s="1"/>
      <c r="J327" s="32"/>
      <c r="K327" s="7"/>
      <c r="L327" s="7"/>
      <c r="M327" s="1"/>
      <c r="N327" s="1"/>
      <c r="P327" s="1"/>
      <c r="Q327" s="32"/>
      <c r="R327" s="7"/>
      <c r="S327" s="7"/>
      <c r="T327" s="1"/>
      <c r="U327" s="1"/>
      <c r="V327" s="1"/>
      <c r="W327" s="1"/>
      <c r="X327" s="32"/>
      <c r="Y327" s="7"/>
      <c r="Z327" s="7"/>
      <c r="AA327" s="1"/>
      <c r="AB327" s="1"/>
      <c r="AD327" s="1"/>
      <c r="AE327" s="32"/>
      <c r="AF327" s="7"/>
      <c r="AG327" s="7"/>
      <c r="AH327" s="1"/>
      <c r="AI327" s="1"/>
      <c r="AK327" s="1"/>
      <c r="AL327" s="32"/>
      <c r="AM327" s="7"/>
      <c r="AN327" s="7"/>
      <c r="AO327" s="1"/>
      <c r="AP327" s="1"/>
    </row>
    <row r="328" spans="2:42">
      <c r="B328" s="280" t="s">
        <v>9</v>
      </c>
      <c r="C328" s="281"/>
      <c r="D328" s="282"/>
      <c r="E328" s="283">
        <f>SUM(E307,E315,E325)</f>
        <v>6071</v>
      </c>
      <c r="F328" s="1"/>
      <c r="G328" s="1"/>
      <c r="H328" s="1"/>
      <c r="I328" s="280" t="s">
        <v>9</v>
      </c>
      <c r="J328" s="281"/>
      <c r="K328" s="282"/>
      <c r="L328" s="283">
        <f>SUM(L307,L315,L325)</f>
        <v>1215</v>
      </c>
      <c r="M328" s="1"/>
      <c r="N328" s="1"/>
      <c r="P328" s="280" t="s">
        <v>9</v>
      </c>
      <c r="Q328" s="281"/>
      <c r="R328" s="282"/>
      <c r="S328" s="283">
        <f>SUM(S307,S315,S325)</f>
        <v>4255</v>
      </c>
      <c r="T328" s="1"/>
      <c r="U328" s="1"/>
      <c r="V328" s="1"/>
      <c r="W328" s="280" t="s">
        <v>9</v>
      </c>
      <c r="X328" s="281"/>
      <c r="Y328" s="282"/>
      <c r="Z328" s="283">
        <f>SUM(Z307,Z315,Z325)</f>
        <v>912</v>
      </c>
      <c r="AA328" s="1"/>
      <c r="AB328" s="1"/>
      <c r="AD328" s="280" t="s">
        <v>9</v>
      </c>
      <c r="AE328" s="281"/>
      <c r="AF328" s="282"/>
      <c r="AG328" s="283">
        <f>SUM(AG307,AG315,AG325)</f>
        <v>12192</v>
      </c>
      <c r="AH328" s="1"/>
      <c r="AI328" s="1"/>
      <c r="AK328" s="280" t="s">
        <v>9</v>
      </c>
      <c r="AL328" s="281"/>
      <c r="AM328" s="282"/>
      <c r="AN328" s="283">
        <f>SUM(AN307,AN315,AN325)</f>
        <v>2559</v>
      </c>
      <c r="AO328" s="1"/>
      <c r="AP328" s="1"/>
    </row>
    <row r="329" spans="2:42">
      <c r="B329" s="1"/>
      <c r="C329" s="32"/>
      <c r="D329" s="7"/>
      <c r="E329" s="7"/>
      <c r="F329" s="1"/>
      <c r="G329" s="1"/>
      <c r="H329" s="1"/>
      <c r="I329" s="1"/>
      <c r="J329" s="32"/>
      <c r="K329" s="7"/>
      <c r="L329" s="7"/>
      <c r="M329" s="1"/>
      <c r="N329" s="1"/>
      <c r="P329" s="1"/>
      <c r="Q329" s="32"/>
      <c r="R329" s="7"/>
      <c r="S329" s="7"/>
      <c r="T329" s="1"/>
      <c r="U329" s="1"/>
      <c r="V329" s="1"/>
      <c r="W329" s="1"/>
      <c r="X329" s="32"/>
      <c r="Y329" s="7"/>
      <c r="Z329" s="7"/>
      <c r="AA329" s="1"/>
      <c r="AB329" s="1"/>
      <c r="AD329" s="1"/>
      <c r="AE329" s="32"/>
      <c r="AF329" s="7"/>
      <c r="AG329" s="7"/>
      <c r="AH329" s="1"/>
      <c r="AI329" s="1"/>
      <c r="AK329" s="1"/>
      <c r="AL329" s="32"/>
      <c r="AM329" s="7"/>
      <c r="AN329" s="7"/>
      <c r="AO329" s="1"/>
      <c r="AP329" s="1"/>
    </row>
    <row r="330" spans="2:42">
      <c r="B330" s="5" t="s">
        <v>8</v>
      </c>
      <c r="C330" s="30" t="s">
        <v>7</v>
      </c>
      <c r="D330" s="14"/>
      <c r="E330" s="12"/>
      <c r="F330" s="1"/>
      <c r="G330" s="1"/>
      <c r="H330" s="1"/>
      <c r="I330" s="5" t="s">
        <v>8</v>
      </c>
      <c r="J330" s="30" t="s">
        <v>7</v>
      </c>
      <c r="K330" s="14"/>
      <c r="L330" s="12"/>
      <c r="M330" s="1"/>
      <c r="N330" s="1"/>
      <c r="P330" s="5" t="s">
        <v>8</v>
      </c>
      <c r="Q330" s="30" t="s">
        <v>7</v>
      </c>
      <c r="R330" s="14"/>
      <c r="S330" s="12"/>
      <c r="T330" s="1"/>
      <c r="U330" s="1"/>
      <c r="V330" s="1"/>
      <c r="W330" s="5" t="s">
        <v>8</v>
      </c>
      <c r="X330" s="30" t="s">
        <v>7</v>
      </c>
      <c r="Y330" s="14"/>
      <c r="Z330" s="12"/>
      <c r="AA330" s="1"/>
      <c r="AB330" s="1"/>
      <c r="AD330" s="5" t="s">
        <v>8</v>
      </c>
      <c r="AE330" s="30" t="s">
        <v>7</v>
      </c>
      <c r="AF330" s="14"/>
      <c r="AG330" s="12"/>
      <c r="AH330" s="1"/>
      <c r="AI330" s="1"/>
      <c r="AK330" s="5" t="s">
        <v>8</v>
      </c>
      <c r="AL330" s="30" t="s">
        <v>7</v>
      </c>
      <c r="AM330" s="14"/>
      <c r="AN330" s="12"/>
      <c r="AO330" s="1"/>
      <c r="AP330" s="1"/>
    </row>
    <row r="331" spans="2:42">
      <c r="B331" s="6" t="s">
        <v>15</v>
      </c>
      <c r="C331" s="208">
        <f>$C$37</f>
        <v>9.4750000000000001E-2</v>
      </c>
      <c r="D331" s="209"/>
      <c r="E331" s="9">
        <f>ROUNDUP(SUM(E307:E307)*C331,0)</f>
        <v>576</v>
      </c>
      <c r="F331" s="1"/>
      <c r="G331" s="1"/>
      <c r="H331" s="1"/>
      <c r="I331" s="6" t="s">
        <v>15</v>
      </c>
      <c r="J331" s="208">
        <f>$C$37</f>
        <v>9.4750000000000001E-2</v>
      </c>
      <c r="K331" s="209"/>
      <c r="L331" s="9">
        <f>ROUNDUP(SUM(L307:L307)*J331,0)</f>
        <v>116</v>
      </c>
      <c r="M331" s="1"/>
      <c r="N331" s="1"/>
      <c r="P331" s="6" t="s">
        <v>15</v>
      </c>
      <c r="Q331" s="208">
        <f>$C$37</f>
        <v>9.4750000000000001E-2</v>
      </c>
      <c r="R331" s="209"/>
      <c r="S331" s="9">
        <f>ROUNDUP(SUM(S307:S307)*Q331,0)</f>
        <v>404</v>
      </c>
      <c r="T331" s="1"/>
      <c r="U331" s="1"/>
      <c r="V331" s="1"/>
      <c r="W331" s="6" t="s">
        <v>15</v>
      </c>
      <c r="X331" s="208">
        <f>$C$37</f>
        <v>9.4750000000000001E-2</v>
      </c>
      <c r="Y331" s="209"/>
      <c r="Z331" s="9">
        <f>ROUNDUP(SUM(Z307:Z307)*X331,0)</f>
        <v>87</v>
      </c>
      <c r="AA331" s="1"/>
      <c r="AB331" s="1"/>
      <c r="AD331" s="6" t="s">
        <v>15</v>
      </c>
      <c r="AE331" s="208">
        <f>$C$37</f>
        <v>9.4750000000000001E-2</v>
      </c>
      <c r="AF331" s="209"/>
      <c r="AG331" s="9">
        <f>ROUNDUP(SUM(AG307:AG307)*AE331,0)</f>
        <v>1156</v>
      </c>
      <c r="AH331" s="1"/>
      <c r="AI331" s="1"/>
      <c r="AK331" s="6" t="s">
        <v>15</v>
      </c>
      <c r="AL331" s="208">
        <f>$C$37</f>
        <v>9.4750000000000001E-2</v>
      </c>
      <c r="AM331" s="209"/>
      <c r="AN331" s="9">
        <f>ROUNDUP(SUM(AN307:AN307)*AL331,0)</f>
        <v>243</v>
      </c>
      <c r="AO331" s="1"/>
      <c r="AP331" s="1"/>
    </row>
    <row r="332" spans="2:42">
      <c r="B332" s="6" t="s">
        <v>74</v>
      </c>
      <c r="C332" s="241">
        <v>0.08</v>
      </c>
      <c r="D332" s="209"/>
      <c r="E332" s="9">
        <f>ROUNDUP(SUM(E315)*C332,0)</f>
        <v>0</v>
      </c>
      <c r="F332" s="1"/>
      <c r="G332" s="1"/>
      <c r="H332" s="1"/>
      <c r="I332" s="6" t="s">
        <v>74</v>
      </c>
      <c r="J332" s="241">
        <v>0.08</v>
      </c>
      <c r="K332" s="209"/>
      <c r="L332" s="9">
        <f>ROUNDUP(SUM(L315)*J332,0)</f>
        <v>0</v>
      </c>
      <c r="M332" s="1"/>
      <c r="N332" s="1"/>
      <c r="P332" s="6" t="s">
        <v>74</v>
      </c>
      <c r="Q332" s="241">
        <v>0.08</v>
      </c>
      <c r="R332" s="209"/>
      <c r="S332" s="9">
        <f>ROUNDUP(SUM(S315)*Q332,0)</f>
        <v>0</v>
      </c>
      <c r="T332" s="1"/>
      <c r="U332" s="1"/>
      <c r="V332" s="1"/>
      <c r="W332" s="6" t="s">
        <v>74</v>
      </c>
      <c r="X332" s="241">
        <v>0.08</v>
      </c>
      <c r="Y332" s="209"/>
      <c r="Z332" s="9">
        <f>ROUNDUP(SUM(Z315)*X332,0)</f>
        <v>0</v>
      </c>
      <c r="AA332" s="1"/>
      <c r="AB332" s="1"/>
      <c r="AD332" s="6" t="s">
        <v>74</v>
      </c>
      <c r="AE332" s="241">
        <v>0.08</v>
      </c>
      <c r="AF332" s="209"/>
      <c r="AG332" s="9">
        <f>ROUNDUP(SUM(AG315)*AE332,0)</f>
        <v>0</v>
      </c>
      <c r="AH332" s="1"/>
      <c r="AI332" s="1"/>
      <c r="AK332" s="6" t="s">
        <v>74</v>
      </c>
      <c r="AL332" s="241">
        <v>0.08</v>
      </c>
      <c r="AM332" s="209"/>
      <c r="AN332" s="9">
        <f>ROUNDUP(SUM(AN315)*AL332,0)</f>
        <v>0</v>
      </c>
      <c r="AO332" s="1"/>
      <c r="AP332" s="1"/>
    </row>
    <row r="333" spans="2:42">
      <c r="B333" s="6" t="s">
        <v>256</v>
      </c>
      <c r="C333" s="122">
        <v>0.15</v>
      </c>
      <c r="D333" s="7"/>
      <c r="E333" s="9">
        <f>ROUNDUP(E307*C333,0)</f>
        <v>911</v>
      </c>
      <c r="F333" s="1"/>
      <c r="G333" s="1"/>
      <c r="H333" s="1"/>
      <c r="I333" s="6" t="s">
        <v>256</v>
      </c>
      <c r="J333" s="122">
        <v>0.15</v>
      </c>
      <c r="K333" s="7"/>
      <c r="L333" s="9">
        <f>ROUNDUP(L307*J333,0)</f>
        <v>183</v>
      </c>
      <c r="M333" s="1"/>
      <c r="N333" s="1"/>
      <c r="P333" s="6" t="s">
        <v>256</v>
      </c>
      <c r="Q333" s="122">
        <v>0.15</v>
      </c>
      <c r="R333" s="7"/>
      <c r="S333" s="9">
        <f>ROUNDUP(S307*Q333,0)</f>
        <v>639</v>
      </c>
      <c r="T333" s="1"/>
      <c r="U333" s="1"/>
      <c r="V333" s="1"/>
      <c r="W333" s="6" t="s">
        <v>256</v>
      </c>
      <c r="X333" s="122">
        <v>0.15</v>
      </c>
      <c r="Y333" s="7"/>
      <c r="Z333" s="9">
        <f>ROUNDUP(Z307*X333,0)</f>
        <v>137</v>
      </c>
      <c r="AA333" s="1"/>
      <c r="AB333" s="1"/>
      <c r="AD333" s="6" t="s">
        <v>256</v>
      </c>
      <c r="AE333" s="122">
        <v>0.15</v>
      </c>
      <c r="AF333" s="7"/>
      <c r="AG333" s="9">
        <f>ROUNDUP(AG307*AE333,0)</f>
        <v>1829</v>
      </c>
      <c r="AH333" s="1"/>
      <c r="AI333" s="1"/>
      <c r="AK333" s="6" t="s">
        <v>256</v>
      </c>
      <c r="AL333" s="122">
        <v>0.15</v>
      </c>
      <c r="AM333" s="7"/>
      <c r="AN333" s="9">
        <f>ROUNDUP(AN307*AL333,0)</f>
        <v>384</v>
      </c>
      <c r="AO333" s="1"/>
      <c r="AP333" s="1"/>
    </row>
    <row r="334" spans="2:42">
      <c r="B334" s="6" t="s">
        <v>257</v>
      </c>
      <c r="C334" s="122">
        <v>0.2</v>
      </c>
      <c r="D334" s="7"/>
      <c r="E334" s="9">
        <f>ROUNDUP(E315*C334,0)</f>
        <v>0</v>
      </c>
      <c r="F334" s="1"/>
      <c r="G334" s="1"/>
      <c r="H334" s="1"/>
      <c r="I334" s="6" t="s">
        <v>257</v>
      </c>
      <c r="J334" s="122">
        <v>0.2</v>
      </c>
      <c r="K334" s="7"/>
      <c r="L334" s="9">
        <f>ROUNDUP(L315*J334,0)</f>
        <v>0</v>
      </c>
      <c r="M334" s="1"/>
      <c r="N334" s="1"/>
      <c r="P334" s="6" t="s">
        <v>257</v>
      </c>
      <c r="Q334" s="122">
        <v>0.2</v>
      </c>
      <c r="R334" s="7"/>
      <c r="S334" s="9">
        <f>ROUNDUP(S315*Q334,0)</f>
        <v>0</v>
      </c>
      <c r="T334" s="1"/>
      <c r="U334" s="1"/>
      <c r="V334" s="1"/>
      <c r="W334" s="6" t="s">
        <v>257</v>
      </c>
      <c r="X334" s="122">
        <v>0.2</v>
      </c>
      <c r="Y334" s="7"/>
      <c r="Z334" s="9">
        <f>ROUNDUP(Z315*X334,0)</f>
        <v>0</v>
      </c>
      <c r="AA334" s="1"/>
      <c r="AB334" s="1"/>
      <c r="AD334" s="6" t="s">
        <v>257</v>
      </c>
      <c r="AE334" s="122">
        <v>0.2</v>
      </c>
      <c r="AF334" s="7"/>
      <c r="AG334" s="9">
        <f>ROUNDUP(AG315*AE334,0)</f>
        <v>0</v>
      </c>
      <c r="AH334" s="1"/>
      <c r="AI334" s="1"/>
      <c r="AK334" s="6" t="s">
        <v>257</v>
      </c>
      <c r="AL334" s="122">
        <v>0.2</v>
      </c>
      <c r="AM334" s="7"/>
      <c r="AN334" s="9">
        <f>ROUNDUP(AN315*AL334,0)</f>
        <v>0</v>
      </c>
      <c r="AO334" s="1"/>
      <c r="AP334" s="1"/>
    </row>
    <row r="335" spans="2:42">
      <c r="B335" s="6" t="s">
        <v>258</v>
      </c>
      <c r="C335" s="462">
        <v>0.4</v>
      </c>
      <c r="D335" s="7"/>
      <c r="E335" s="9">
        <f>ROUNDUP(SUM(E328:E334)*C335,0)</f>
        <v>3024</v>
      </c>
      <c r="F335" s="1"/>
      <c r="G335" s="1"/>
      <c r="H335" s="1"/>
      <c r="I335" s="6" t="s">
        <v>258</v>
      </c>
      <c r="J335" s="462">
        <f>$C$335</f>
        <v>0.4</v>
      </c>
      <c r="K335" s="7"/>
      <c r="L335" s="9">
        <f>ROUNDUP(SUM(L328:L334)*J335,0)</f>
        <v>606</v>
      </c>
      <c r="M335" s="1"/>
      <c r="N335" s="1"/>
      <c r="P335" s="6" t="s">
        <v>258</v>
      </c>
      <c r="Q335" s="462">
        <f>$C$335</f>
        <v>0.4</v>
      </c>
      <c r="R335" s="7"/>
      <c r="S335" s="9">
        <f>ROUNDUP(SUM(S328:S334)*Q335,0)</f>
        <v>2120</v>
      </c>
      <c r="T335" s="1"/>
      <c r="U335" s="1"/>
      <c r="V335" s="1"/>
      <c r="W335" s="6" t="s">
        <v>258</v>
      </c>
      <c r="X335" s="462">
        <f>$C$335</f>
        <v>0.4</v>
      </c>
      <c r="Y335" s="7"/>
      <c r="Z335" s="9">
        <f>ROUNDUP(SUM(Z328:Z334)*X335,0)</f>
        <v>455</v>
      </c>
      <c r="AA335" s="1"/>
      <c r="AB335" s="1"/>
      <c r="AD335" s="6" t="s">
        <v>258</v>
      </c>
      <c r="AE335" s="462">
        <f>$C$335</f>
        <v>0.4</v>
      </c>
      <c r="AF335" s="7"/>
      <c r="AG335" s="9">
        <f>ROUNDUP(SUM(AG328:AG334)*AE335,0)</f>
        <v>6071</v>
      </c>
      <c r="AH335" s="1"/>
      <c r="AI335" s="1"/>
      <c r="AK335" s="6" t="s">
        <v>258</v>
      </c>
      <c r="AL335" s="462">
        <f>$C$335</f>
        <v>0.4</v>
      </c>
      <c r="AM335" s="7"/>
      <c r="AN335" s="9">
        <f>ROUNDUP(SUM(AN328:AN334)*AL335,0)</f>
        <v>1275</v>
      </c>
      <c r="AO335" s="1"/>
      <c r="AP335" s="1"/>
    </row>
    <row r="336" spans="2:42">
      <c r="B336" s="284" t="str">
        <f>$B$42</f>
        <v>Kansas Remodel Tax</v>
      </c>
      <c r="C336" s="241">
        <f>$C$42</f>
        <v>0</v>
      </c>
      <c r="D336" s="7"/>
      <c r="E336" s="9">
        <f>ROUNDUP(SUM(E315,E332:E335)*C336,0)</f>
        <v>0</v>
      </c>
      <c r="F336" s="1"/>
      <c r="G336" s="1"/>
      <c r="H336" s="1"/>
      <c r="I336" s="284" t="str">
        <f>$B$42</f>
        <v>Kansas Remodel Tax</v>
      </c>
      <c r="J336" s="241">
        <f>$C$42</f>
        <v>0</v>
      </c>
      <c r="K336" s="7"/>
      <c r="L336" s="9">
        <f>ROUNDUP(SUM(L315,L332:L335)*J336,0)</f>
        <v>0</v>
      </c>
      <c r="M336" s="1"/>
      <c r="N336" s="1"/>
      <c r="P336" s="284" t="str">
        <f>$B$42</f>
        <v>Kansas Remodel Tax</v>
      </c>
      <c r="Q336" s="241">
        <f>$C$42</f>
        <v>0</v>
      </c>
      <c r="R336" s="7"/>
      <c r="S336" s="9">
        <f>ROUNDUP(SUM(S315,S332:S335)*Q336,0)</f>
        <v>0</v>
      </c>
      <c r="T336" s="1"/>
      <c r="U336" s="1"/>
      <c r="V336" s="1"/>
      <c r="W336" s="284" t="str">
        <f>$B$42</f>
        <v>Kansas Remodel Tax</v>
      </c>
      <c r="X336" s="241">
        <f>$C$42</f>
        <v>0</v>
      </c>
      <c r="Y336" s="7"/>
      <c r="Z336" s="9">
        <f>ROUNDUP(SUM(Z315,Z332:Z335)*X336,0)</f>
        <v>0</v>
      </c>
      <c r="AA336" s="1"/>
      <c r="AB336" s="1"/>
      <c r="AD336" s="284" t="str">
        <f>$B$42</f>
        <v>Kansas Remodel Tax</v>
      </c>
      <c r="AE336" s="241">
        <f>$C$42</f>
        <v>0</v>
      </c>
      <c r="AF336" s="7"/>
      <c r="AG336" s="9">
        <f>ROUNDUP(SUM(AG315,AG332:AG335)*AE336,0)</f>
        <v>0</v>
      </c>
      <c r="AH336" s="1"/>
      <c r="AI336" s="1"/>
      <c r="AK336" s="284" t="str">
        <f>$B$42</f>
        <v>Kansas Remodel Tax</v>
      </c>
      <c r="AL336" s="241">
        <f>$C$42</f>
        <v>0</v>
      </c>
      <c r="AM336" s="7"/>
      <c r="AN336" s="9">
        <f>ROUNDUP(SUM(AN315,AN332:AN335)*AL336,0)</f>
        <v>0</v>
      </c>
      <c r="AO336" s="1"/>
      <c r="AP336" s="1"/>
    </row>
    <row r="337" spans="2:42">
      <c r="B337" s="403" t="s">
        <v>398</v>
      </c>
      <c r="C337" s="241">
        <f>$C$43</f>
        <v>0.05</v>
      </c>
      <c r="D337" s="7"/>
      <c r="E337" s="9">
        <f>ROUNDUP(C337*SUM(E328:E336),0)</f>
        <v>530</v>
      </c>
      <c r="F337" s="1"/>
      <c r="G337" s="1"/>
      <c r="H337" s="1"/>
      <c r="I337" s="403" t="s">
        <v>398</v>
      </c>
      <c r="J337" s="241">
        <f>$C$43</f>
        <v>0.05</v>
      </c>
      <c r="K337" s="7"/>
      <c r="L337" s="9">
        <f>ROUNDUP(J337*SUM(L328:L336),0)</f>
        <v>106</v>
      </c>
      <c r="M337" s="1"/>
      <c r="N337" s="1"/>
      <c r="P337" s="403" t="s">
        <v>398</v>
      </c>
      <c r="Q337" s="241">
        <f>$C$43</f>
        <v>0.05</v>
      </c>
      <c r="R337" s="7"/>
      <c r="S337" s="9">
        <f>ROUNDUP(Q337*SUM(S328:S336),0)</f>
        <v>371</v>
      </c>
      <c r="T337" s="1"/>
      <c r="U337" s="1"/>
      <c r="V337" s="1"/>
      <c r="W337" s="403" t="s">
        <v>398</v>
      </c>
      <c r="X337" s="241">
        <f>$C$43</f>
        <v>0.05</v>
      </c>
      <c r="Y337" s="7"/>
      <c r="Z337" s="9">
        <f>ROUNDUP(X337*SUM(Z328:Z336),0)</f>
        <v>80</v>
      </c>
      <c r="AA337" s="1"/>
      <c r="AB337" s="1"/>
      <c r="AD337" s="403" t="s">
        <v>398</v>
      </c>
      <c r="AE337" s="241">
        <f>$C$43</f>
        <v>0.05</v>
      </c>
      <c r="AF337" s="7"/>
      <c r="AG337" s="9">
        <f>ROUNDUP(AE337*SUM(AG328:AG336),0)</f>
        <v>1063</v>
      </c>
      <c r="AH337" s="1"/>
      <c r="AI337" s="1"/>
      <c r="AK337" s="403" t="s">
        <v>398</v>
      </c>
      <c r="AL337" s="241">
        <f>$C$43</f>
        <v>0.05</v>
      </c>
      <c r="AM337" s="7"/>
      <c r="AN337" s="9">
        <f>ROUNDUP(AL337*SUM(AN328:AN336),0)</f>
        <v>224</v>
      </c>
      <c r="AO337" s="1"/>
      <c r="AP337" s="1"/>
    </row>
    <row r="338" spans="2:42">
      <c r="B338" s="45" t="s">
        <v>20</v>
      </c>
      <c r="C338" s="46">
        <f>$C$44</f>
        <v>0</v>
      </c>
      <c r="D338" s="15"/>
      <c r="E338" s="210">
        <f>ROUNDUP(SUM(E328:E337)*C338,0)</f>
        <v>0</v>
      </c>
      <c r="F338" s="1"/>
      <c r="G338" s="1"/>
      <c r="H338" s="1"/>
      <c r="I338" s="45" t="s">
        <v>20</v>
      </c>
      <c r="J338" s="46">
        <f>$C$44</f>
        <v>0</v>
      </c>
      <c r="K338" s="15"/>
      <c r="L338" s="210">
        <f>ROUNDUP(SUM(L328:L337)*J338,0)</f>
        <v>0</v>
      </c>
      <c r="M338" s="1"/>
      <c r="N338" s="1"/>
      <c r="P338" s="45" t="s">
        <v>20</v>
      </c>
      <c r="Q338" s="46">
        <f>$C$44</f>
        <v>0</v>
      </c>
      <c r="R338" s="15"/>
      <c r="S338" s="210">
        <f>ROUNDUP(SUM(S328:S337)*Q338,0)</f>
        <v>0</v>
      </c>
      <c r="T338" s="1"/>
      <c r="U338" s="1"/>
      <c r="V338" s="1"/>
      <c r="W338" s="45" t="s">
        <v>20</v>
      </c>
      <c r="X338" s="46">
        <f>$C$44</f>
        <v>0</v>
      </c>
      <c r="Y338" s="15"/>
      <c r="Z338" s="210">
        <f>ROUNDUP(SUM(Z328:Z337)*X338,0)</f>
        <v>0</v>
      </c>
      <c r="AA338" s="1"/>
      <c r="AB338" s="1"/>
      <c r="AD338" s="45" t="s">
        <v>20</v>
      </c>
      <c r="AE338" s="46">
        <f>$C$44</f>
        <v>0</v>
      </c>
      <c r="AF338" s="15"/>
      <c r="AG338" s="210">
        <f>ROUNDUP(SUM(AG328:AG337)*AE338,0)</f>
        <v>0</v>
      </c>
      <c r="AH338" s="1"/>
      <c r="AI338" s="1"/>
      <c r="AK338" s="45" t="s">
        <v>20</v>
      </c>
      <c r="AL338" s="46">
        <f>$C$44</f>
        <v>0</v>
      </c>
      <c r="AM338" s="15"/>
      <c r="AN338" s="210">
        <f>ROUNDUP(SUM(AN328:AN337)*AL338,0)</f>
        <v>0</v>
      </c>
      <c r="AO338" s="1"/>
      <c r="AP338" s="1"/>
    </row>
    <row r="339" spans="2:42">
      <c r="B339" s="1"/>
      <c r="C339" s="8"/>
      <c r="D339" s="7"/>
      <c r="E339" s="7"/>
      <c r="F339" s="1"/>
      <c r="G339" s="286" t="s">
        <v>70</v>
      </c>
      <c r="H339" s="32"/>
      <c r="I339" s="1"/>
      <c r="J339" s="8"/>
      <c r="K339" s="7"/>
      <c r="L339" s="7"/>
      <c r="M339" s="1"/>
      <c r="N339" s="286" t="s">
        <v>70</v>
      </c>
      <c r="P339" s="1"/>
      <c r="Q339" s="8"/>
      <c r="R339" s="7"/>
      <c r="S339" s="7"/>
      <c r="T339" s="1"/>
      <c r="U339" s="286" t="s">
        <v>70</v>
      </c>
      <c r="V339" s="32"/>
      <c r="W339" s="1"/>
      <c r="X339" s="8"/>
      <c r="Y339" s="7"/>
      <c r="Z339" s="7"/>
      <c r="AA339" s="1"/>
      <c r="AB339" s="286" t="s">
        <v>70</v>
      </c>
      <c r="AD339" s="1"/>
      <c r="AE339" s="8"/>
      <c r="AF339" s="7"/>
      <c r="AG339" s="7"/>
      <c r="AH339" s="1"/>
      <c r="AI339" s="286" t="s">
        <v>70</v>
      </c>
      <c r="AK339" s="1"/>
      <c r="AL339" s="8"/>
      <c r="AM339" s="7"/>
      <c r="AN339" s="7"/>
      <c r="AO339" s="1"/>
      <c r="AP339" s="286" t="s">
        <v>70</v>
      </c>
    </row>
    <row r="340" spans="2:42" ht="16.2" thickBot="1">
      <c r="B340" s="1"/>
      <c r="C340" s="287" t="s">
        <v>262</v>
      </c>
      <c r="D340" s="288">
        <f>C309</f>
        <v>5000</v>
      </c>
      <c r="E340" s="7"/>
      <c r="F340" s="38" t="s">
        <v>18</v>
      </c>
      <c r="G340" s="131">
        <f>SUM(E333:E335)</f>
        <v>3935</v>
      </c>
      <c r="H340" s="7"/>
      <c r="I340" s="1"/>
      <c r="J340" s="287" t="s">
        <v>262</v>
      </c>
      <c r="K340" s="288">
        <f>J309</f>
        <v>1000</v>
      </c>
      <c r="L340" s="7"/>
      <c r="M340" s="38" t="s">
        <v>18</v>
      </c>
      <c r="N340" s="131">
        <f>SUM(L333:L335)</f>
        <v>789</v>
      </c>
      <c r="P340" s="1"/>
      <c r="Q340" s="287" t="s">
        <v>262</v>
      </c>
      <c r="R340" s="288">
        <f>Q309</f>
        <v>5000</v>
      </c>
      <c r="S340" s="7"/>
      <c r="T340" s="38" t="s">
        <v>18</v>
      </c>
      <c r="U340" s="131">
        <f>SUM(S333:S335)</f>
        <v>2759</v>
      </c>
      <c r="V340" s="7"/>
      <c r="W340" s="1"/>
      <c r="X340" s="287" t="s">
        <v>262</v>
      </c>
      <c r="Y340" s="288">
        <f>X309</f>
        <v>1000</v>
      </c>
      <c r="Z340" s="7"/>
      <c r="AA340" s="38" t="s">
        <v>18</v>
      </c>
      <c r="AB340" s="131">
        <f>SUM(Z333:Z335)</f>
        <v>592</v>
      </c>
      <c r="AD340" s="1"/>
      <c r="AE340" s="287" t="s">
        <v>262</v>
      </c>
      <c r="AF340" s="288">
        <f>AE309</f>
        <v>5000</v>
      </c>
      <c r="AG340" s="7"/>
      <c r="AH340" s="38" t="s">
        <v>18</v>
      </c>
      <c r="AI340" s="131">
        <f>SUM(AG333:AG335)</f>
        <v>7900</v>
      </c>
      <c r="AK340" s="1"/>
      <c r="AL340" s="287" t="s">
        <v>262</v>
      </c>
      <c r="AM340" s="288">
        <f>AL309</f>
        <v>1000</v>
      </c>
      <c r="AN340" s="7"/>
      <c r="AO340" s="38" t="s">
        <v>18</v>
      </c>
      <c r="AP340" s="131">
        <f>SUM(AN333:AN335)</f>
        <v>1659</v>
      </c>
    </row>
    <row r="341" spans="2:42" ht="16.2" thickBot="1">
      <c r="B341" s="289" t="s">
        <v>6</v>
      </c>
      <c r="C341" s="290"/>
      <c r="D341" s="291">
        <f>E341/C309</f>
        <v>2.2223999999999999</v>
      </c>
      <c r="E341" s="292">
        <f>SUM(E328:E338)</f>
        <v>11112</v>
      </c>
      <c r="F341" s="7">
        <f>E341-E331-E336</f>
        <v>10536</v>
      </c>
      <c r="G341" s="293">
        <f>G340/E341</f>
        <v>0.3541216702663787</v>
      </c>
      <c r="H341" s="294"/>
      <c r="I341" s="289" t="s">
        <v>6</v>
      </c>
      <c r="J341" s="290"/>
      <c r="K341" s="291">
        <f>L341/J309</f>
        <v>2.226</v>
      </c>
      <c r="L341" s="292">
        <f>SUM(L328:L338)</f>
        <v>2226</v>
      </c>
      <c r="M341" s="7">
        <f>L341-L331-L336</f>
        <v>2110</v>
      </c>
      <c r="N341" s="293">
        <f>N340/L341</f>
        <v>0.35444743935309975</v>
      </c>
      <c r="P341" s="289" t="s">
        <v>6</v>
      </c>
      <c r="Q341" s="290"/>
      <c r="R341" s="291">
        <f>S341/Q309</f>
        <v>1.5578000000000001</v>
      </c>
      <c r="S341" s="292">
        <f>SUM(S328:S338)</f>
        <v>7789</v>
      </c>
      <c r="T341" s="7">
        <f>S341-S331-S336</f>
        <v>7385</v>
      </c>
      <c r="U341" s="293">
        <f>U340/S341</f>
        <v>0.35421748619848503</v>
      </c>
      <c r="V341" s="294"/>
      <c r="W341" s="289" t="s">
        <v>6</v>
      </c>
      <c r="X341" s="290"/>
      <c r="Y341" s="291">
        <f>Z341/X309</f>
        <v>1.671</v>
      </c>
      <c r="Z341" s="292">
        <f>SUM(Z328:Z338)</f>
        <v>1671</v>
      </c>
      <c r="AA341" s="7">
        <f>Z341-Z331-Z336</f>
        <v>1584</v>
      </c>
      <c r="AB341" s="293">
        <f>AB340/Z341</f>
        <v>0.3542788749251945</v>
      </c>
      <c r="AD341" s="289" t="s">
        <v>6</v>
      </c>
      <c r="AE341" s="290"/>
      <c r="AF341" s="291">
        <f>AG341/AE309</f>
        <v>4.4622000000000002</v>
      </c>
      <c r="AG341" s="292">
        <f>SUM(AG328:AG338)</f>
        <v>22311</v>
      </c>
      <c r="AH341" s="7">
        <f>AG341-AG331-AG336</f>
        <v>21155</v>
      </c>
      <c r="AI341" s="293">
        <f>AI340/AG341</f>
        <v>0.35408542871229437</v>
      </c>
      <c r="AK341" s="289" t="s">
        <v>6</v>
      </c>
      <c r="AL341" s="290"/>
      <c r="AM341" s="291">
        <f>AN341/AL309</f>
        <v>4.6849999999999996</v>
      </c>
      <c r="AN341" s="292">
        <f>SUM(AN328:AN338)</f>
        <v>4685</v>
      </c>
      <c r="AO341" s="7">
        <f>AN341-AN331-AN336</f>
        <v>4442</v>
      </c>
      <c r="AP341" s="293">
        <f>AP340/AN341</f>
        <v>0.35410885805763076</v>
      </c>
    </row>
    <row r="342" spans="2:42">
      <c r="B342" s="1"/>
      <c r="C342" s="1" t="s">
        <v>5</v>
      </c>
      <c r="D342" s="7">
        <f>E342/C309</f>
        <v>2.2223999999999999</v>
      </c>
      <c r="E342" s="7">
        <f>E341-E336</f>
        <v>11112</v>
      </c>
      <c r="F342" t="s">
        <v>263</v>
      </c>
      <c r="G342" s="295" t="str">
        <f>IF(G341&lt;=0.25,"OWNER APPROVAL REQUIRED","GP % Okay")</f>
        <v>GP % Okay</v>
      </c>
      <c r="H342" s="296"/>
      <c r="I342" s="1"/>
      <c r="J342" s="1" t="s">
        <v>5</v>
      </c>
      <c r="K342" s="7">
        <f>L342/J309</f>
        <v>2.226</v>
      </c>
      <c r="L342" s="7">
        <f>L341-L336</f>
        <v>2226</v>
      </c>
      <c r="M342" t="s">
        <v>263</v>
      </c>
      <c r="N342" s="295" t="str">
        <f>IF(N341&lt;=0.25,"OWNER APPROVAL REQUIRED","GP % Okay")</f>
        <v>GP % Okay</v>
      </c>
      <c r="P342" s="1"/>
      <c r="Q342" s="1" t="s">
        <v>5</v>
      </c>
      <c r="R342" s="7">
        <f>S342/Q309</f>
        <v>1.5578000000000001</v>
      </c>
      <c r="S342" s="7">
        <f>S341-S336</f>
        <v>7789</v>
      </c>
      <c r="T342" t="s">
        <v>263</v>
      </c>
      <c r="U342" s="295" t="str">
        <f>IF(U341&lt;=0.25,"OWNER APPROVAL REQUIRED","GP % Okay")</f>
        <v>GP % Okay</v>
      </c>
      <c r="V342" s="296"/>
      <c r="W342" s="1"/>
      <c r="X342" s="1" t="s">
        <v>5</v>
      </c>
      <c r="Y342" s="7">
        <f>Z342/X309</f>
        <v>1.671</v>
      </c>
      <c r="Z342" s="7">
        <f>Z341-Z336</f>
        <v>1671</v>
      </c>
      <c r="AA342" t="s">
        <v>263</v>
      </c>
      <c r="AB342" s="295" t="str">
        <f>IF(AB341&lt;=0.25,"OWNER APPROVAL REQUIRED","GP % Okay")</f>
        <v>GP % Okay</v>
      </c>
      <c r="AD342" s="1"/>
      <c r="AE342" s="1" t="s">
        <v>5</v>
      </c>
      <c r="AF342" s="7">
        <f>AG342/AE309</f>
        <v>4.4622000000000002</v>
      </c>
      <c r="AG342" s="7">
        <f>AG341-AG336</f>
        <v>22311</v>
      </c>
      <c r="AH342" t="s">
        <v>263</v>
      </c>
      <c r="AI342" s="295" t="str">
        <f>IF(AI341&lt;=0.25,"OWNER APPROVAL REQUIRED","GP % Okay")</f>
        <v>GP % Okay</v>
      </c>
      <c r="AK342" s="1"/>
      <c r="AL342" s="1" t="s">
        <v>5</v>
      </c>
      <c r="AM342" s="7">
        <f>AN342/AL309</f>
        <v>4.6849999999999996</v>
      </c>
      <c r="AN342" s="7">
        <f>AN341-AN336</f>
        <v>4685</v>
      </c>
      <c r="AO342" t="s">
        <v>263</v>
      </c>
      <c r="AP342" s="295" t="str">
        <f>IF(AP341&lt;=0.25,"OWNER APPROVAL REQUIRED","GP % Okay")</f>
        <v>GP % Okay</v>
      </c>
    </row>
    <row r="345" spans="2:42">
      <c r="B345" s="1897" t="s">
        <v>286</v>
      </c>
      <c r="C345" s="1898"/>
      <c r="D345" s="1898"/>
      <c r="E345" s="1899"/>
      <c r="F345" s="262">
        <f>D390</f>
        <v>5.1980000000000004</v>
      </c>
      <c r="G345" s="263" t="s">
        <v>287</v>
      </c>
      <c r="I345" s="1900" t="s">
        <v>288</v>
      </c>
      <c r="J345" s="1901"/>
      <c r="K345" s="1901"/>
      <c r="L345" s="1906"/>
      <c r="M345" s="262">
        <f>K390</f>
        <v>6.18</v>
      </c>
      <c r="N345" s="263" t="s">
        <v>287</v>
      </c>
    </row>
    <row r="346" spans="2:42">
      <c r="B346" s="25" t="s">
        <v>14</v>
      </c>
      <c r="C346" s="90" t="s">
        <v>11</v>
      </c>
      <c r="D346" s="90" t="s">
        <v>1</v>
      </c>
      <c r="E346" s="91" t="s">
        <v>2</v>
      </c>
      <c r="F346" s="23"/>
      <c r="G346" s="89"/>
      <c r="H346" s="264"/>
      <c r="I346" s="25" t="s">
        <v>14</v>
      </c>
      <c r="J346" s="90" t="s">
        <v>11</v>
      </c>
      <c r="K346" s="90" t="s">
        <v>1</v>
      </c>
      <c r="L346" s="91" t="s">
        <v>2</v>
      </c>
      <c r="M346" s="23"/>
      <c r="N346" s="89"/>
    </row>
    <row r="347" spans="2:42">
      <c r="B347" s="44"/>
      <c r="C347" s="265"/>
      <c r="D347" s="33"/>
      <c r="E347" s="34">
        <f t="shared" ref="E347:E348" si="72">C347*D347</f>
        <v>0</v>
      </c>
      <c r="F347" s="1"/>
      <c r="G347" s="1"/>
      <c r="H347" s="1"/>
      <c r="I347" s="44"/>
      <c r="J347" s="265"/>
      <c r="K347" s="33"/>
      <c r="L347" s="34">
        <f t="shared" ref="L347:L348" si="73">J347*K347</f>
        <v>0</v>
      </c>
      <c r="M347" s="1"/>
      <c r="N347" s="1"/>
    </row>
    <row r="348" spans="2:42">
      <c r="B348" s="425" t="s">
        <v>408</v>
      </c>
      <c r="C348" s="424"/>
      <c r="D348" s="33"/>
      <c r="E348" s="34">
        <f t="shared" si="72"/>
        <v>0</v>
      </c>
      <c r="F348" s="1"/>
      <c r="G348" s="1"/>
      <c r="H348" s="1"/>
      <c r="I348" s="425" t="str">
        <f>B348</f>
        <v>Roppe 700 Series (from CCS, 06/07/22)</v>
      </c>
      <c r="J348" s="424"/>
      <c r="K348" s="426"/>
      <c r="L348" s="34">
        <f t="shared" si="73"/>
        <v>0</v>
      </c>
      <c r="M348" s="1"/>
      <c r="N348" s="1"/>
    </row>
    <row r="349" spans="2:42">
      <c r="B349" s="25" t="s">
        <v>12</v>
      </c>
      <c r="C349" s="267"/>
      <c r="D349" s="419" t="s">
        <v>404</v>
      </c>
      <c r="E349" s="29"/>
      <c r="F349" s="268">
        <v>500</v>
      </c>
      <c r="G349" s="82" t="s">
        <v>48</v>
      </c>
      <c r="H349" s="1"/>
      <c r="I349" s="25" t="s">
        <v>12</v>
      </c>
      <c r="J349" s="267"/>
      <c r="K349" s="419" t="s">
        <v>404</v>
      </c>
      <c r="L349" s="29"/>
      <c r="M349" s="268">
        <v>100</v>
      </c>
      <c r="N349" s="82" t="s">
        <v>48</v>
      </c>
    </row>
    <row r="350" spans="2:42">
      <c r="B350" s="47" t="s">
        <v>407</v>
      </c>
      <c r="C350" s="300">
        <v>5</v>
      </c>
      <c r="D350" s="418">
        <v>119</v>
      </c>
      <c r="E350" s="9">
        <f>C350*D350</f>
        <v>595</v>
      </c>
      <c r="F350" s="297">
        <f>F349/120</f>
        <v>4.166666666666667</v>
      </c>
      <c r="G350" s="420" t="s">
        <v>405</v>
      </c>
      <c r="H350" s="1"/>
      <c r="I350" s="47" t="s">
        <v>407</v>
      </c>
      <c r="J350" s="300">
        <v>1</v>
      </c>
      <c r="K350" s="418">
        <v>119</v>
      </c>
      <c r="L350" s="9">
        <f>J350*K350</f>
        <v>119</v>
      </c>
      <c r="M350" s="297">
        <f>M349/120</f>
        <v>0.83333333333333337</v>
      </c>
      <c r="N350" s="420" t="s">
        <v>405</v>
      </c>
    </row>
    <row r="351" spans="2:42">
      <c r="B351" s="421" t="s">
        <v>403</v>
      </c>
      <c r="C351" s="422">
        <f>F349</f>
        <v>500</v>
      </c>
      <c r="D351" s="21">
        <v>0.25</v>
      </c>
      <c r="E351" s="9">
        <f t="shared" ref="E351:E352" si="74">C351*D351</f>
        <v>125</v>
      </c>
      <c r="F351" s="1"/>
      <c r="G351" s="1"/>
      <c r="H351" s="1"/>
      <c r="I351" s="421" t="s">
        <v>403</v>
      </c>
      <c r="J351" s="422">
        <f>M349</f>
        <v>100</v>
      </c>
      <c r="K351" s="21">
        <f>D351</f>
        <v>0.25</v>
      </c>
      <c r="L351" s="9">
        <f t="shared" ref="L351:L352" si="75">J351*K351</f>
        <v>25</v>
      </c>
      <c r="M351" s="1"/>
      <c r="N351" s="1"/>
    </row>
    <row r="352" spans="2:42">
      <c r="B352" s="415"/>
      <c r="C352" s="416"/>
      <c r="D352" s="417"/>
      <c r="E352" s="27">
        <f t="shared" si="74"/>
        <v>0</v>
      </c>
      <c r="F352" s="1"/>
      <c r="G352" s="1"/>
      <c r="H352" s="1"/>
      <c r="I352" s="415"/>
      <c r="J352" s="416"/>
      <c r="K352" s="417"/>
      <c r="L352" s="27">
        <f t="shared" si="75"/>
        <v>0</v>
      </c>
      <c r="M352" s="1"/>
      <c r="N352" s="1"/>
    </row>
    <row r="353" spans="2:14">
      <c r="B353" s="17" t="s">
        <v>10</v>
      </c>
      <c r="C353" s="35"/>
      <c r="D353" s="18"/>
      <c r="E353" s="19">
        <f>ROUNDUP(SUM(E347:E352),0)</f>
        <v>720</v>
      </c>
      <c r="F353" s="1"/>
      <c r="G353" s="1"/>
      <c r="H353" s="1"/>
      <c r="I353" s="17" t="s">
        <v>10</v>
      </c>
      <c r="J353" s="35"/>
      <c r="K353" s="18"/>
      <c r="L353" s="19">
        <f>ROUNDUP(SUM(L347:L352),0)</f>
        <v>144</v>
      </c>
      <c r="M353" s="1"/>
      <c r="N353" s="1"/>
    </row>
    <row r="354" spans="2:14">
      <c r="B354" s="20" t="s">
        <v>251</v>
      </c>
      <c r="C354" s="270">
        <v>0</v>
      </c>
      <c r="D354" s="21"/>
      <c r="E354" s="22">
        <f>ROUNDUP(SUM(E350)*C354,0)</f>
        <v>0</v>
      </c>
      <c r="F354" s="1"/>
      <c r="G354" s="1"/>
      <c r="H354" s="1"/>
      <c r="I354" s="20" t="s">
        <v>251</v>
      </c>
      <c r="J354" s="270">
        <v>0</v>
      </c>
      <c r="K354" s="21"/>
      <c r="L354" s="22">
        <f>ROUNDUP(SUM(L350)*J354,0)</f>
        <v>0</v>
      </c>
      <c r="M354" s="1"/>
      <c r="N354" s="1"/>
    </row>
    <row r="355" spans="2:14">
      <c r="B355" s="446" t="s">
        <v>427</v>
      </c>
      <c r="C355" s="40">
        <f>IF(E353&lt;=5000,0.1,IF(E353&lt;=10000,0.06,0.04))+$C$12</f>
        <v>0.2</v>
      </c>
      <c r="D355" s="41"/>
      <c r="E355" s="42">
        <f>ROUNDUP(E353*C355,0)</f>
        <v>144</v>
      </c>
      <c r="F355" s="454" t="str">
        <f>$F$12</f>
        <v>+3% + 7% material esc.</v>
      </c>
      <c r="I355" s="446" t="s">
        <v>427</v>
      </c>
      <c r="J355" s="40">
        <f>IF(L353&lt;=5000,0.1,IF(L353&lt;=10000,0.06,0.04))+$C$12</f>
        <v>0.2</v>
      </c>
      <c r="K355" s="41"/>
      <c r="L355" s="42">
        <f>ROUNDUP(L353*J355,0)</f>
        <v>29</v>
      </c>
      <c r="M355" s="454" t="str">
        <f>$F$12</f>
        <v>+3% + 7% material esc.</v>
      </c>
    </row>
    <row r="356" spans="2:14">
      <c r="B356" s="10" t="s">
        <v>3</v>
      </c>
      <c r="C356" s="36"/>
      <c r="D356" s="13"/>
      <c r="E356" s="13">
        <f>SUM(E353:E355)</f>
        <v>864</v>
      </c>
      <c r="F356" s="123">
        <f>E356/F349</f>
        <v>1.728</v>
      </c>
      <c r="G356" s="124" t="s">
        <v>289</v>
      </c>
      <c r="H356" s="1"/>
      <c r="I356" s="10" t="s">
        <v>3</v>
      </c>
      <c r="J356" s="36"/>
      <c r="K356" s="13"/>
      <c r="L356" s="13">
        <f>SUM(L353:L355)</f>
        <v>173</v>
      </c>
      <c r="M356" s="123">
        <f>L356/M349</f>
        <v>1.73</v>
      </c>
      <c r="N356" s="124" t="s">
        <v>289</v>
      </c>
    </row>
    <row r="357" spans="2:14">
      <c r="B357" s="1"/>
      <c r="C357" s="32"/>
      <c r="D357" s="7"/>
      <c r="E357" s="7"/>
      <c r="F357" s="1"/>
      <c r="I357" s="1"/>
      <c r="J357" s="32"/>
      <c r="K357" s="7"/>
      <c r="L357" s="7"/>
      <c r="M357" s="1"/>
    </row>
    <row r="358" spans="2:14">
      <c r="B358" s="75" t="s">
        <v>45</v>
      </c>
      <c r="C358" s="271">
        <v>0</v>
      </c>
      <c r="D358" s="75" t="s">
        <v>46</v>
      </c>
      <c r="E358" s="272">
        <f>F349</f>
        <v>500</v>
      </c>
      <c r="F358" s="1"/>
      <c r="G358" s="273" t="e">
        <f>E358/C358</f>
        <v>#DIV/0!</v>
      </c>
      <c r="I358" s="75" t="s">
        <v>45</v>
      </c>
      <c r="J358" s="271">
        <v>0</v>
      </c>
      <c r="K358" s="75" t="s">
        <v>46</v>
      </c>
      <c r="L358" s="272">
        <f>M349</f>
        <v>100</v>
      </c>
      <c r="M358" s="1"/>
      <c r="N358" s="273" t="e">
        <f>L358/J358</f>
        <v>#DIV/0!</v>
      </c>
    </row>
    <row r="359" spans="2:14">
      <c r="B359" s="85" t="s">
        <v>52</v>
      </c>
      <c r="C359" s="68" t="s">
        <v>42</v>
      </c>
      <c r="D359" s="68" t="s">
        <v>47</v>
      </c>
      <c r="E359" s="87" t="s">
        <v>51</v>
      </c>
      <c r="F359" s="76" t="s">
        <v>59</v>
      </c>
      <c r="G359" s="156" t="s">
        <v>290</v>
      </c>
      <c r="H359" s="274"/>
      <c r="I359" s="85" t="s">
        <v>52</v>
      </c>
      <c r="J359" s="68" t="s">
        <v>42</v>
      </c>
      <c r="K359" s="68" t="s">
        <v>47</v>
      </c>
      <c r="L359" s="87" t="s">
        <v>51</v>
      </c>
      <c r="M359" s="76" t="s">
        <v>59</v>
      </c>
      <c r="N359" s="156" t="s">
        <v>290</v>
      </c>
    </row>
    <row r="360" spans="2:14">
      <c r="B360" s="69">
        <v>2</v>
      </c>
      <c r="C360" s="1">
        <v>1</v>
      </c>
      <c r="D360" s="523">
        <f>$D$17</f>
        <v>33.5</v>
      </c>
      <c r="E360" s="70">
        <f>B360*C360*D360*8</f>
        <v>536</v>
      </c>
      <c r="F360" s="76"/>
      <c r="G360" s="157">
        <f>F349/(E360/D360)</f>
        <v>31.25</v>
      </c>
      <c r="H360" s="154"/>
      <c r="I360" s="69">
        <v>1</v>
      </c>
      <c r="J360" s="1">
        <v>0.5</v>
      </c>
      <c r="K360" s="523">
        <f>$D$17</f>
        <v>33.5</v>
      </c>
      <c r="L360" s="70">
        <f>I360*J360*K360*8</f>
        <v>134</v>
      </c>
      <c r="M360" s="76"/>
      <c r="N360" s="157">
        <f>M349/(L360/K360)</f>
        <v>25</v>
      </c>
    </row>
    <row r="361" spans="2:14">
      <c r="B361" s="69"/>
      <c r="C361" s="1"/>
      <c r="D361" s="523">
        <f>$D$17</f>
        <v>33.5</v>
      </c>
      <c r="E361" s="70">
        <f>B361*C361*D361*8</f>
        <v>0</v>
      </c>
      <c r="F361" s="76"/>
      <c r="G361" s="275" t="e">
        <f>F351/(E361/D361)</f>
        <v>#DIV/0!</v>
      </c>
      <c r="H361" s="154"/>
      <c r="I361" s="69"/>
      <c r="J361" s="1"/>
      <c r="K361" s="523">
        <f>$D$17</f>
        <v>33.5</v>
      </c>
      <c r="L361" s="70">
        <f>I361*J361*K361*8</f>
        <v>0</v>
      </c>
      <c r="M361" s="76"/>
      <c r="N361" s="275" t="e">
        <f>M351/(L361/K361)</f>
        <v>#DIV/0!</v>
      </c>
    </row>
    <row r="362" spans="2:14">
      <c r="B362" s="86" t="s">
        <v>53</v>
      </c>
      <c r="C362" s="67" t="s">
        <v>44</v>
      </c>
      <c r="D362" s="67" t="s">
        <v>43</v>
      </c>
      <c r="E362" s="71"/>
      <c r="F362" s="1"/>
      <c r="I362" s="86" t="s">
        <v>53</v>
      </c>
      <c r="J362" s="67" t="s">
        <v>44</v>
      </c>
      <c r="K362" s="67" t="s">
        <v>43</v>
      </c>
      <c r="L362" s="71"/>
      <c r="M362" s="1"/>
    </row>
    <row r="363" spans="2:14">
      <c r="B363" s="69">
        <v>0</v>
      </c>
      <c r="C363" s="1">
        <v>0</v>
      </c>
      <c r="D363" s="523">
        <f>$D$20</f>
        <v>33.5</v>
      </c>
      <c r="E363" s="70">
        <f>B363*C363*D363</f>
        <v>0</v>
      </c>
      <c r="F363" s="76"/>
      <c r="I363" s="69">
        <v>0</v>
      </c>
      <c r="J363" s="1">
        <v>0</v>
      </c>
      <c r="K363" s="523">
        <f>$D$20</f>
        <v>33.5</v>
      </c>
      <c r="L363" s="70">
        <f>I363*J363*K363</f>
        <v>0</v>
      </c>
      <c r="M363" s="76"/>
    </row>
    <row r="364" spans="2:14">
      <c r="B364" s="277" t="s">
        <v>4</v>
      </c>
      <c r="C364" s="278"/>
      <c r="D364" s="278"/>
      <c r="E364" s="279">
        <f>ROUNDUP(SUM(E360:E363),0)</f>
        <v>536</v>
      </c>
      <c r="F364" s="123">
        <f>E364/E358</f>
        <v>1.0720000000000001</v>
      </c>
      <c r="G364" s="124" t="s">
        <v>291</v>
      </c>
      <c r="H364" s="1"/>
      <c r="I364" s="277" t="s">
        <v>4</v>
      </c>
      <c r="J364" s="278"/>
      <c r="K364" s="278"/>
      <c r="L364" s="279">
        <f>ROUNDUP(SUM(L360:L363),0)</f>
        <v>134</v>
      </c>
      <c r="M364" s="123">
        <f>L364/L358</f>
        <v>1.34</v>
      </c>
      <c r="N364" s="124" t="s">
        <v>291</v>
      </c>
    </row>
    <row r="365" spans="2:14">
      <c r="B365" s="1"/>
      <c r="C365" s="32"/>
      <c r="D365" s="7"/>
      <c r="E365" s="7"/>
      <c r="F365" s="7"/>
      <c r="G365" s="1"/>
      <c r="H365" s="1"/>
      <c r="I365" s="1"/>
      <c r="J365" s="32"/>
      <c r="K365" s="7"/>
      <c r="L365" s="7"/>
      <c r="M365" s="7"/>
      <c r="N365" s="1"/>
    </row>
    <row r="366" spans="2:14">
      <c r="B366" s="5" t="s">
        <v>252</v>
      </c>
      <c r="C366" s="30" t="s">
        <v>11</v>
      </c>
      <c r="D366" s="11" t="s">
        <v>1</v>
      </c>
      <c r="E366" s="12" t="s">
        <v>2</v>
      </c>
      <c r="F366" s="1"/>
      <c r="G366" s="1"/>
      <c r="H366" s="1"/>
      <c r="I366" s="5" t="s">
        <v>252</v>
      </c>
      <c r="J366" s="30" t="s">
        <v>11</v>
      </c>
      <c r="K366" s="11" t="s">
        <v>1</v>
      </c>
      <c r="L366" s="12" t="s">
        <v>2</v>
      </c>
      <c r="M366" s="1"/>
      <c r="N366" s="1"/>
    </row>
    <row r="367" spans="2:14">
      <c r="B367" s="6" t="s">
        <v>17</v>
      </c>
      <c r="C367" s="37"/>
      <c r="D367" s="7">
        <v>35</v>
      </c>
      <c r="E367" s="9">
        <f t="shared" ref="E367:E373" si="76">ROUNDUP(C367*D367,0)</f>
        <v>0</v>
      </c>
      <c r="F367" s="1"/>
      <c r="G367" s="1"/>
      <c r="H367" s="1"/>
      <c r="I367" s="6" t="s">
        <v>17</v>
      </c>
      <c r="J367" s="37"/>
      <c r="K367" s="7">
        <v>35</v>
      </c>
      <c r="L367" s="9">
        <f t="shared" ref="L367:L373" si="77">ROUNDUP(J367*K367,0)</f>
        <v>0</v>
      </c>
      <c r="M367" s="1"/>
      <c r="N367" s="1"/>
    </row>
    <row r="368" spans="2:14">
      <c r="B368" s="6" t="s">
        <v>75</v>
      </c>
      <c r="C368" s="37">
        <f>F349</f>
        <v>500</v>
      </c>
      <c r="D368" s="7">
        <v>0.17</v>
      </c>
      <c r="E368" s="9">
        <f t="shared" si="76"/>
        <v>85</v>
      </c>
      <c r="F368" s="1"/>
      <c r="G368" s="1"/>
      <c r="H368" s="1"/>
      <c r="I368" s="6" t="s">
        <v>75</v>
      </c>
      <c r="J368" s="37">
        <f>L358</f>
        <v>100</v>
      </c>
      <c r="K368" s="7">
        <v>0.17</v>
      </c>
      <c r="L368" s="9">
        <f t="shared" si="77"/>
        <v>17</v>
      </c>
      <c r="M368" s="1"/>
      <c r="N368" s="1"/>
    </row>
    <row r="369" spans="2:14">
      <c r="B369" s="6" t="s">
        <v>68</v>
      </c>
      <c r="C369" s="37">
        <v>0</v>
      </c>
      <c r="D369" s="7">
        <f>$D$26</f>
        <v>70</v>
      </c>
      <c r="E369" s="9">
        <f t="shared" si="76"/>
        <v>0</v>
      </c>
      <c r="F369" s="1"/>
      <c r="G369" s="1"/>
      <c r="H369" s="1"/>
      <c r="I369" s="6" t="s">
        <v>68</v>
      </c>
      <c r="J369" s="37">
        <v>0</v>
      </c>
      <c r="K369" s="7">
        <f>$D$26</f>
        <v>70</v>
      </c>
      <c r="L369" s="9">
        <f t="shared" si="77"/>
        <v>0</v>
      </c>
      <c r="M369" s="1"/>
      <c r="N369" s="1"/>
    </row>
    <row r="370" spans="2:14">
      <c r="B370" s="6" t="s">
        <v>69</v>
      </c>
      <c r="C370" s="37">
        <f>C369</f>
        <v>0</v>
      </c>
      <c r="D370" s="7">
        <f>$D$27</f>
        <v>45</v>
      </c>
      <c r="E370" s="9">
        <f t="shared" si="76"/>
        <v>0</v>
      </c>
      <c r="F370" s="43"/>
      <c r="G370" s="1"/>
      <c r="H370" s="1"/>
      <c r="I370" s="6" t="s">
        <v>69</v>
      </c>
      <c r="J370" s="37">
        <f>J369</f>
        <v>0</v>
      </c>
      <c r="K370" s="7">
        <f>$D$27</f>
        <v>45</v>
      </c>
      <c r="L370" s="9">
        <f t="shared" si="77"/>
        <v>0</v>
      </c>
      <c r="M370" s="43"/>
      <c r="N370" s="1"/>
    </row>
    <row r="371" spans="2:14">
      <c r="B371" s="6" t="s">
        <v>253</v>
      </c>
      <c r="C371" s="37">
        <f>(E364/8)/D360</f>
        <v>2</v>
      </c>
      <c r="D371" s="7">
        <f>$D$28</f>
        <v>14</v>
      </c>
      <c r="E371" s="9">
        <f t="shared" si="76"/>
        <v>28</v>
      </c>
      <c r="F371" s="43"/>
      <c r="G371" s="1"/>
      <c r="H371" s="1"/>
      <c r="I371" s="6" t="s">
        <v>253</v>
      </c>
      <c r="J371" s="37">
        <f>(L364/8)/K360</f>
        <v>0.5</v>
      </c>
      <c r="K371" s="7">
        <f>$D$28</f>
        <v>14</v>
      </c>
      <c r="L371" s="9">
        <f t="shared" si="77"/>
        <v>7</v>
      </c>
      <c r="M371" s="43"/>
      <c r="N371" s="1"/>
    </row>
    <row r="372" spans="2:14">
      <c r="B372" s="6" t="s">
        <v>254</v>
      </c>
      <c r="C372" s="37"/>
      <c r="D372" s="7">
        <v>0.04</v>
      </c>
      <c r="E372" s="9">
        <f t="shared" si="76"/>
        <v>0</v>
      </c>
      <c r="F372" s="1"/>
      <c r="G372" s="1"/>
      <c r="H372" s="1"/>
      <c r="I372" s="6" t="s">
        <v>254</v>
      </c>
      <c r="J372" s="37"/>
      <c r="K372" s="7">
        <v>0.04</v>
      </c>
      <c r="L372" s="9">
        <f t="shared" si="77"/>
        <v>0</v>
      </c>
      <c r="M372" s="1"/>
      <c r="N372" s="1"/>
    </row>
    <row r="373" spans="2:14">
      <c r="B373" s="6" t="s">
        <v>28</v>
      </c>
      <c r="C373" s="37"/>
      <c r="D373" s="7"/>
      <c r="E373" s="9">
        <f t="shared" si="76"/>
        <v>0</v>
      </c>
      <c r="F373" s="1"/>
      <c r="G373" s="1"/>
      <c r="H373" s="1"/>
      <c r="I373" s="6" t="s">
        <v>28</v>
      </c>
      <c r="J373" s="37"/>
      <c r="K373" s="7"/>
      <c r="L373" s="9">
        <f t="shared" si="77"/>
        <v>0</v>
      </c>
      <c r="M373" s="1"/>
      <c r="N373" s="1"/>
    </row>
    <row r="374" spans="2:14">
      <c r="B374" s="10" t="s">
        <v>255</v>
      </c>
      <c r="C374" s="36"/>
      <c r="D374" s="13"/>
      <c r="E374" s="16">
        <f>SUM(E367:E373)</f>
        <v>113</v>
      </c>
      <c r="F374" s="1"/>
      <c r="G374" s="1"/>
      <c r="H374" s="1"/>
      <c r="I374" s="10" t="s">
        <v>255</v>
      </c>
      <c r="J374" s="36"/>
      <c r="K374" s="13"/>
      <c r="L374" s="16">
        <f>SUM(L367:L373)</f>
        <v>24</v>
      </c>
      <c r="M374" s="1"/>
      <c r="N374" s="1"/>
    </row>
    <row r="375" spans="2:14">
      <c r="B375" s="1"/>
      <c r="C375" s="32"/>
      <c r="D375" s="7"/>
      <c r="E375" s="7"/>
      <c r="F375" s="1"/>
      <c r="G375" s="1"/>
      <c r="H375" s="1"/>
      <c r="I375" s="1"/>
      <c r="J375" s="32"/>
      <c r="K375" s="7"/>
      <c r="L375" s="7"/>
      <c r="M375" s="1"/>
      <c r="N375" s="1"/>
    </row>
    <row r="376" spans="2:14">
      <c r="B376" s="1"/>
      <c r="C376" s="32"/>
      <c r="D376" s="7"/>
      <c r="E376" s="7"/>
      <c r="F376" s="1"/>
      <c r="G376" s="1"/>
      <c r="H376" s="1"/>
      <c r="I376" s="1"/>
      <c r="J376" s="32"/>
      <c r="K376" s="7"/>
      <c r="L376" s="7"/>
      <c r="M376" s="1"/>
      <c r="N376" s="1"/>
    </row>
    <row r="377" spans="2:14">
      <c r="B377" s="280" t="s">
        <v>9</v>
      </c>
      <c r="C377" s="281"/>
      <c r="D377" s="282"/>
      <c r="E377" s="283">
        <f>SUM(E356,E364,E374)</f>
        <v>1513</v>
      </c>
      <c r="F377" s="1"/>
      <c r="G377" s="1"/>
      <c r="H377" s="1"/>
      <c r="I377" s="280" t="s">
        <v>9</v>
      </c>
      <c r="J377" s="281"/>
      <c r="K377" s="282"/>
      <c r="L377" s="283">
        <f>SUM(L356,L364,L374)</f>
        <v>331</v>
      </c>
      <c r="M377" s="1"/>
      <c r="N377" s="1"/>
    </row>
    <row r="378" spans="2:14">
      <c r="B378" s="1"/>
      <c r="C378" s="32"/>
      <c r="D378" s="7"/>
      <c r="E378" s="7"/>
      <c r="F378" s="1"/>
      <c r="G378" s="1"/>
      <c r="H378" s="1"/>
      <c r="I378" s="1"/>
      <c r="J378" s="32"/>
      <c r="K378" s="7"/>
      <c r="L378" s="7"/>
      <c r="M378" s="1"/>
      <c r="N378" s="1"/>
    </row>
    <row r="379" spans="2:14">
      <c r="B379" s="5" t="s">
        <v>8</v>
      </c>
      <c r="C379" s="30" t="s">
        <v>7</v>
      </c>
      <c r="D379" s="14"/>
      <c r="E379" s="12"/>
      <c r="F379" s="1"/>
      <c r="G379" s="1"/>
      <c r="H379" s="1"/>
      <c r="I379" s="5" t="s">
        <v>8</v>
      </c>
      <c r="J379" s="30" t="s">
        <v>7</v>
      </c>
      <c r="K379" s="14"/>
      <c r="L379" s="12"/>
      <c r="M379" s="1"/>
      <c r="N379" s="1"/>
    </row>
    <row r="380" spans="2:14">
      <c r="B380" s="6" t="s">
        <v>15</v>
      </c>
      <c r="C380" s="208">
        <f>$C$37</f>
        <v>9.4750000000000001E-2</v>
      </c>
      <c r="D380" s="209"/>
      <c r="E380" s="9">
        <f>ROUNDUP(SUM(E356:E356)*C380,0)</f>
        <v>82</v>
      </c>
      <c r="F380" s="1"/>
      <c r="G380" s="1"/>
      <c r="H380" s="1"/>
      <c r="I380" s="6" t="s">
        <v>15</v>
      </c>
      <c r="J380" s="208">
        <f>$C$37</f>
        <v>9.4750000000000001E-2</v>
      </c>
      <c r="K380" s="209"/>
      <c r="L380" s="9">
        <f>ROUNDUP(SUM(L356:L356)*J380,0)</f>
        <v>17</v>
      </c>
      <c r="M380" s="1"/>
      <c r="N380" s="1"/>
    </row>
    <row r="381" spans="2:14">
      <c r="B381" s="6" t="s">
        <v>74</v>
      </c>
      <c r="C381" s="241">
        <v>0.08</v>
      </c>
      <c r="D381" s="209"/>
      <c r="E381" s="9">
        <f>ROUNDUP(SUM(E364)*C381,0)</f>
        <v>43</v>
      </c>
      <c r="F381" s="1"/>
      <c r="G381" s="1"/>
      <c r="H381" s="1"/>
      <c r="I381" s="6" t="s">
        <v>74</v>
      </c>
      <c r="J381" s="241">
        <v>0.08</v>
      </c>
      <c r="K381" s="209"/>
      <c r="L381" s="9">
        <f>ROUNDUP(SUM(L364)*J381,0)</f>
        <v>11</v>
      </c>
      <c r="M381" s="1"/>
      <c r="N381" s="1"/>
    </row>
    <row r="382" spans="2:14">
      <c r="B382" s="6" t="s">
        <v>256</v>
      </c>
      <c r="C382" s="122">
        <f>IF(E356&lt;=5000,0.1,0.05)</f>
        <v>0.1</v>
      </c>
      <c r="D382" s="7"/>
      <c r="E382" s="9">
        <f>ROUNDUP(E356*C382,0)</f>
        <v>87</v>
      </c>
      <c r="F382" s="1"/>
      <c r="G382" s="1"/>
      <c r="H382" s="1"/>
      <c r="I382" s="6" t="s">
        <v>256</v>
      </c>
      <c r="J382" s="122">
        <v>0.2</v>
      </c>
      <c r="K382" s="7"/>
      <c r="L382" s="9">
        <f>ROUNDUP(L356*J382,0)</f>
        <v>35</v>
      </c>
      <c r="M382" s="1"/>
      <c r="N382" s="1"/>
    </row>
    <row r="383" spans="2:14">
      <c r="B383" s="6" t="s">
        <v>257</v>
      </c>
      <c r="C383" s="122">
        <v>0.2</v>
      </c>
      <c r="D383" s="7"/>
      <c r="E383" s="9">
        <f>ROUNDUP(E364*C383,0)</f>
        <v>108</v>
      </c>
      <c r="F383" s="1"/>
      <c r="G383" s="1"/>
      <c r="H383" s="1"/>
      <c r="I383" s="6" t="s">
        <v>257</v>
      </c>
      <c r="J383" s="122">
        <v>0.3</v>
      </c>
      <c r="K383" s="7"/>
      <c r="L383" s="9">
        <f>ROUNDUP(L364*J383,0)</f>
        <v>41</v>
      </c>
      <c r="M383" s="1"/>
      <c r="N383" s="1"/>
    </row>
    <row r="384" spans="2:14">
      <c r="B384" s="6" t="s">
        <v>258</v>
      </c>
      <c r="C384" s="122">
        <v>0.35</v>
      </c>
      <c r="D384" s="7"/>
      <c r="E384" s="9">
        <f>ROUNDUP(SUM(E377:E383)*C384,0)</f>
        <v>642</v>
      </c>
      <c r="F384" s="1"/>
      <c r="G384" s="1"/>
      <c r="H384" s="1"/>
      <c r="I384" s="6" t="s">
        <v>258</v>
      </c>
      <c r="J384" s="122">
        <v>0.35</v>
      </c>
      <c r="K384" s="7"/>
      <c r="L384" s="9">
        <f>ROUNDUP(SUM(L377:L383)*J384,0)</f>
        <v>153</v>
      </c>
      <c r="M384" s="1"/>
      <c r="N384" s="1"/>
    </row>
    <row r="385" spans="2:14">
      <c r="B385" s="284" t="str">
        <f>$B$42</f>
        <v>Kansas Remodel Tax</v>
      </c>
      <c r="C385" s="241">
        <f>$C$42</f>
        <v>0</v>
      </c>
      <c r="D385" s="7"/>
      <c r="E385" s="9">
        <f>ROUNDUP(SUM(E364,E381:E384)*C385,0)</f>
        <v>0</v>
      </c>
      <c r="F385" s="1"/>
      <c r="G385" s="1"/>
      <c r="H385" s="1"/>
      <c r="I385" s="284" t="str">
        <f>$B$42</f>
        <v>Kansas Remodel Tax</v>
      </c>
      <c r="J385" s="241">
        <f>$C$42</f>
        <v>0</v>
      </c>
      <c r="K385" s="7"/>
      <c r="L385" s="9">
        <f>ROUNDUP(SUM(L364,L381:L384)*J385,0)</f>
        <v>0</v>
      </c>
      <c r="M385" s="1"/>
      <c r="N385" s="1"/>
    </row>
    <row r="386" spans="2:14">
      <c r="B386" s="403" t="s">
        <v>398</v>
      </c>
      <c r="C386" s="241">
        <f>$C$43</f>
        <v>0.05</v>
      </c>
      <c r="D386" s="7"/>
      <c r="E386" s="9">
        <f>ROUNDUP(C386*SUM(E377:E385),0)</f>
        <v>124</v>
      </c>
      <c r="F386" s="1"/>
      <c r="G386" s="1"/>
      <c r="H386" s="1"/>
      <c r="I386" s="403" t="s">
        <v>398</v>
      </c>
      <c r="J386" s="241">
        <f>$C$43</f>
        <v>0.05</v>
      </c>
      <c r="K386" s="7"/>
      <c r="L386" s="9">
        <f>ROUNDUP(J386*SUM(L377:L385),0)</f>
        <v>30</v>
      </c>
      <c r="M386" s="1"/>
      <c r="N386" s="1"/>
    </row>
    <row r="387" spans="2:14">
      <c r="B387" s="45" t="s">
        <v>20</v>
      </c>
      <c r="C387" s="46">
        <f>$C$44</f>
        <v>0</v>
      </c>
      <c r="D387" s="15"/>
      <c r="E387" s="210">
        <f>ROUNDUP(SUM(E377:E386)*C387,0)</f>
        <v>0</v>
      </c>
      <c r="F387" s="1"/>
      <c r="G387" s="1"/>
      <c r="H387" s="1"/>
      <c r="I387" s="45" t="s">
        <v>20</v>
      </c>
      <c r="J387" s="46">
        <f>$C$44</f>
        <v>0</v>
      </c>
      <c r="K387" s="15"/>
      <c r="L387" s="210">
        <f>ROUNDUP(SUM(L377:L386)*J387,0)</f>
        <v>0</v>
      </c>
      <c r="M387" s="1"/>
      <c r="N387" s="1"/>
    </row>
    <row r="388" spans="2:14">
      <c r="B388" s="1"/>
      <c r="C388" s="8"/>
      <c r="D388" s="7"/>
      <c r="E388" s="7"/>
      <c r="F388" s="1"/>
      <c r="G388" s="286" t="s">
        <v>70</v>
      </c>
      <c r="H388" s="32"/>
      <c r="I388" s="1"/>
      <c r="J388" s="8"/>
      <c r="K388" s="7"/>
      <c r="L388" s="7"/>
      <c r="M388" s="1"/>
      <c r="N388" s="286" t="s">
        <v>70</v>
      </c>
    </row>
    <row r="389" spans="2:14" ht="16.2" thickBot="1">
      <c r="B389" s="1"/>
      <c r="C389" s="287" t="s">
        <v>269</v>
      </c>
      <c r="D389" s="288">
        <f>E358</f>
        <v>500</v>
      </c>
      <c r="E389" s="7"/>
      <c r="F389" s="38" t="s">
        <v>18</v>
      </c>
      <c r="G389" s="131">
        <f>SUM(E382:E384)</f>
        <v>837</v>
      </c>
      <c r="H389" s="7"/>
      <c r="I389" s="1"/>
      <c r="J389" s="287" t="s">
        <v>269</v>
      </c>
      <c r="K389" s="288">
        <f>L358</f>
        <v>100</v>
      </c>
      <c r="L389" s="7"/>
      <c r="M389" s="38" t="s">
        <v>18</v>
      </c>
      <c r="N389" s="131">
        <f>SUM(L382:L384)</f>
        <v>229</v>
      </c>
    </row>
    <row r="390" spans="2:14" ht="16.2" thickBot="1">
      <c r="B390" s="289" t="s">
        <v>6</v>
      </c>
      <c r="C390" s="290"/>
      <c r="D390" s="291">
        <f>E390/E358</f>
        <v>5.1980000000000004</v>
      </c>
      <c r="E390" s="292">
        <f>SUM(E377:E387)</f>
        <v>2599</v>
      </c>
      <c r="F390" s="7">
        <f>E390-E380-E385</f>
        <v>2517</v>
      </c>
      <c r="G390" s="293">
        <f>G389/E390</f>
        <v>0.3220469411312043</v>
      </c>
      <c r="H390" s="294"/>
      <c r="I390" s="289" t="s">
        <v>6</v>
      </c>
      <c r="J390" s="290"/>
      <c r="K390" s="291">
        <f>L390/L358</f>
        <v>6.18</v>
      </c>
      <c r="L390" s="292">
        <f>SUM(L377:L387)</f>
        <v>618</v>
      </c>
      <c r="M390" s="7">
        <f>L390-L380-L385</f>
        <v>601</v>
      </c>
      <c r="N390" s="293">
        <f>N389/L390</f>
        <v>0.37055016181229772</v>
      </c>
    </row>
    <row r="391" spans="2:14">
      <c r="B391" s="1"/>
      <c r="C391" s="1" t="s">
        <v>5</v>
      </c>
      <c r="D391" s="7">
        <f>E391/E358</f>
        <v>5.1980000000000004</v>
      </c>
      <c r="E391" s="7">
        <f>E390-E385</f>
        <v>2599</v>
      </c>
      <c r="F391" t="s">
        <v>263</v>
      </c>
      <c r="G391" s="295" t="str">
        <f>IF(G390&lt;=0.25,"OWNER APPROVAL REQUIRED","GP % Okay")</f>
        <v>GP % Okay</v>
      </c>
      <c r="H391" s="296"/>
      <c r="I391" s="1"/>
      <c r="J391" s="1" t="s">
        <v>5</v>
      </c>
      <c r="K391" s="7">
        <f>L391/L358</f>
        <v>6.18</v>
      </c>
      <c r="L391" s="7">
        <f>L390-L385</f>
        <v>618</v>
      </c>
      <c r="M391" t="s">
        <v>263</v>
      </c>
      <c r="N391" s="295" t="str">
        <f>IF(N390&lt;=0.25,"OWNER APPROVAL REQUIRED","GP % Okay")</f>
        <v>GP % Okay</v>
      </c>
    </row>
    <row r="394" spans="2:14">
      <c r="B394" s="1897" t="s">
        <v>292</v>
      </c>
      <c r="C394" s="1898"/>
      <c r="D394" s="1898"/>
      <c r="E394" s="1899"/>
      <c r="F394" s="262">
        <f>D439</f>
        <v>6.3579999999999997</v>
      </c>
      <c r="G394" s="263" t="s">
        <v>287</v>
      </c>
      <c r="I394" s="1897" t="s">
        <v>293</v>
      </c>
      <c r="J394" s="1898"/>
      <c r="K394" s="1898"/>
      <c r="L394" s="1899"/>
      <c r="M394" s="262">
        <f>K439</f>
        <v>7.44</v>
      </c>
      <c r="N394" s="263" t="s">
        <v>287</v>
      </c>
    </row>
    <row r="395" spans="2:14">
      <c r="B395" s="25" t="s">
        <v>14</v>
      </c>
      <c r="C395" s="90" t="s">
        <v>11</v>
      </c>
      <c r="D395" s="90" t="s">
        <v>1</v>
      </c>
      <c r="E395" s="91" t="s">
        <v>2</v>
      </c>
      <c r="F395" s="23"/>
      <c r="G395" s="89"/>
      <c r="H395" s="264"/>
      <c r="I395" s="25" t="s">
        <v>14</v>
      </c>
      <c r="J395" s="90" t="s">
        <v>11</v>
      </c>
      <c r="K395" s="90" t="s">
        <v>1</v>
      </c>
      <c r="L395" s="91" t="s">
        <v>2</v>
      </c>
      <c r="M395" s="23"/>
      <c r="N395" s="89"/>
    </row>
    <row r="396" spans="2:14">
      <c r="B396" s="44"/>
      <c r="C396" s="265"/>
      <c r="D396" s="33"/>
      <c r="E396" s="34">
        <f t="shared" ref="E396:E397" si="78">C396*D396</f>
        <v>0</v>
      </c>
      <c r="F396" s="1"/>
      <c r="G396" s="1"/>
      <c r="H396" s="1"/>
      <c r="I396" s="44"/>
      <c r="J396" s="265"/>
      <c r="K396" s="33"/>
      <c r="L396" s="34">
        <f t="shared" ref="L396:L397" si="79">J396*K396</f>
        <v>0</v>
      </c>
      <c r="M396" s="1"/>
      <c r="N396" s="1"/>
    </row>
    <row r="397" spans="2:14">
      <c r="B397" s="423" t="str">
        <f>B348</f>
        <v>Roppe 700 Series (from CCS, 06/07/22)</v>
      </c>
      <c r="C397" s="424"/>
      <c r="D397" s="426"/>
      <c r="E397" s="34">
        <f t="shared" si="78"/>
        <v>0</v>
      </c>
      <c r="F397" s="1"/>
      <c r="G397" s="1"/>
      <c r="H397" s="1"/>
      <c r="I397" s="423" t="str">
        <f>B348</f>
        <v>Roppe 700 Series (from CCS, 06/07/22)</v>
      </c>
      <c r="J397" s="424"/>
      <c r="K397" s="426"/>
      <c r="L397" s="34">
        <f t="shared" si="79"/>
        <v>0</v>
      </c>
      <c r="M397" s="1"/>
      <c r="N397" s="1"/>
    </row>
    <row r="398" spans="2:14">
      <c r="B398" s="25" t="s">
        <v>12</v>
      </c>
      <c r="C398" s="267"/>
      <c r="D398" s="23"/>
      <c r="E398" s="29"/>
      <c r="F398" s="268">
        <v>500</v>
      </c>
      <c r="G398" s="82" t="s">
        <v>48</v>
      </c>
      <c r="H398" s="1"/>
      <c r="I398" s="25" t="s">
        <v>12</v>
      </c>
      <c r="J398" s="267"/>
      <c r="K398" s="23"/>
      <c r="L398" s="29"/>
      <c r="M398" s="268">
        <v>100</v>
      </c>
      <c r="N398" s="82" t="s">
        <v>48</v>
      </c>
    </row>
    <row r="399" spans="2:14">
      <c r="B399" s="47" t="s">
        <v>406</v>
      </c>
      <c r="C399" s="300">
        <v>5</v>
      </c>
      <c r="D399" s="418">
        <v>176</v>
      </c>
      <c r="E399" s="9">
        <f>C399*D399</f>
        <v>880</v>
      </c>
      <c r="F399" s="297">
        <f>F398/120</f>
        <v>4.166666666666667</v>
      </c>
      <c r="G399" s="1"/>
      <c r="H399" s="1"/>
      <c r="I399" s="47" t="s">
        <v>406</v>
      </c>
      <c r="J399" s="300">
        <v>1</v>
      </c>
      <c r="K399" s="418">
        <v>176</v>
      </c>
      <c r="L399" s="9">
        <f>J399*K399</f>
        <v>176</v>
      </c>
      <c r="M399" s="297">
        <f>M398/120</f>
        <v>0.83333333333333337</v>
      </c>
      <c r="N399" s="1"/>
    </row>
    <row r="400" spans="2:14">
      <c r="B400" s="421" t="s">
        <v>403</v>
      </c>
      <c r="C400" s="422">
        <f>F398</f>
        <v>500</v>
      </c>
      <c r="D400" s="21">
        <f>D351</f>
        <v>0.25</v>
      </c>
      <c r="E400" s="9">
        <f t="shared" ref="E400:E401" si="80">C400*D400</f>
        <v>125</v>
      </c>
      <c r="F400" s="97"/>
      <c r="G400" s="1"/>
      <c r="H400" s="1"/>
      <c r="I400" s="421" t="s">
        <v>403</v>
      </c>
      <c r="J400" s="422">
        <f>M398</f>
        <v>100</v>
      </c>
      <c r="K400" s="21">
        <f>D351</f>
        <v>0.25</v>
      </c>
      <c r="L400" s="9">
        <f t="shared" ref="L400:L401" si="81">J400*K400</f>
        <v>25</v>
      </c>
      <c r="M400" s="97"/>
      <c r="N400" s="1"/>
    </row>
    <row r="401" spans="2:14">
      <c r="B401" s="415"/>
      <c r="C401" s="416"/>
      <c r="D401" s="417"/>
      <c r="E401" s="27">
        <f t="shared" si="80"/>
        <v>0</v>
      </c>
      <c r="F401" s="1"/>
      <c r="G401" s="1"/>
      <c r="H401" s="1"/>
      <c r="I401" s="415"/>
      <c r="J401" s="416"/>
      <c r="K401" s="417"/>
      <c r="L401" s="27">
        <f t="shared" si="81"/>
        <v>0</v>
      </c>
      <c r="M401" s="1"/>
      <c r="N401" s="1"/>
    </row>
    <row r="402" spans="2:14">
      <c r="B402" s="17" t="s">
        <v>10</v>
      </c>
      <c r="C402" s="35"/>
      <c r="D402" s="18"/>
      <c r="E402" s="19">
        <f>ROUNDUP(SUM(E396:E401),0)</f>
        <v>1005</v>
      </c>
      <c r="F402" s="1"/>
      <c r="G402" s="1"/>
      <c r="H402" s="1"/>
      <c r="I402" s="17" t="s">
        <v>10</v>
      </c>
      <c r="J402" s="35"/>
      <c r="K402" s="18"/>
      <c r="L402" s="19">
        <f>ROUNDUP(SUM(L396:L401),0)</f>
        <v>201</v>
      </c>
      <c r="M402" s="1"/>
      <c r="N402" s="1"/>
    </row>
    <row r="403" spans="2:14">
      <c r="B403" s="20" t="s">
        <v>251</v>
      </c>
      <c r="C403" s="270">
        <v>0</v>
      </c>
      <c r="D403" s="21"/>
      <c r="E403" s="22">
        <f>ROUNDUP(SUM(E399)*C403,0)</f>
        <v>0</v>
      </c>
      <c r="F403" s="1"/>
      <c r="G403" s="1"/>
      <c r="H403" s="1"/>
      <c r="I403" s="20" t="s">
        <v>251</v>
      </c>
      <c r="J403" s="270">
        <v>0</v>
      </c>
      <c r="K403" s="21"/>
      <c r="L403" s="22">
        <f>ROUNDUP(SUM(L399)*J403,0)</f>
        <v>0</v>
      </c>
      <c r="M403" s="1"/>
      <c r="N403" s="1"/>
    </row>
    <row r="404" spans="2:14">
      <c r="B404" s="446" t="s">
        <v>427</v>
      </c>
      <c r="C404" s="40">
        <f>IF(E402&lt;=5000,0.1,IF(E402&lt;=10000,0.06,0.04))+$C$12</f>
        <v>0.2</v>
      </c>
      <c r="D404" s="41"/>
      <c r="E404" s="42">
        <f>ROUNDUP(E402*C404,0)</f>
        <v>201</v>
      </c>
      <c r="F404" s="454" t="str">
        <f>$F$12</f>
        <v>+3% + 7% material esc.</v>
      </c>
      <c r="I404" s="446" t="s">
        <v>427</v>
      </c>
      <c r="J404" s="40">
        <f>IF(L402&lt;=5000,0.1,IF(L402&lt;=10000,0.06,0.04))+$C$12</f>
        <v>0.2</v>
      </c>
      <c r="K404" s="41"/>
      <c r="L404" s="42">
        <f>ROUNDUP(L402*J404,0)</f>
        <v>41</v>
      </c>
      <c r="M404" s="454" t="str">
        <f>$F$12</f>
        <v>+3% + 7% material esc.</v>
      </c>
    </row>
    <row r="405" spans="2:14">
      <c r="B405" s="10" t="s">
        <v>3</v>
      </c>
      <c r="C405" s="36"/>
      <c r="D405" s="13"/>
      <c r="E405" s="13">
        <f>SUM(E402:E404)</f>
        <v>1206</v>
      </c>
      <c r="F405" s="123">
        <f>E405/F398</f>
        <v>2.4119999999999999</v>
      </c>
      <c r="G405" s="124" t="s">
        <v>289</v>
      </c>
      <c r="H405" s="1"/>
      <c r="I405" s="10" t="s">
        <v>3</v>
      </c>
      <c r="J405" s="36"/>
      <c r="K405" s="13"/>
      <c r="L405" s="13">
        <f>SUM(L402:L404)</f>
        <v>242</v>
      </c>
      <c r="M405" s="123">
        <f>L405/M398</f>
        <v>2.42</v>
      </c>
      <c r="N405" s="124" t="s">
        <v>289</v>
      </c>
    </row>
    <row r="406" spans="2:14">
      <c r="B406" s="1"/>
      <c r="C406" s="32"/>
      <c r="D406" s="7"/>
      <c r="E406" s="7"/>
      <c r="F406" s="1"/>
      <c r="I406" s="1"/>
      <c r="J406" s="32"/>
      <c r="K406" s="7"/>
      <c r="L406" s="7"/>
      <c r="M406" s="1"/>
    </row>
    <row r="407" spans="2:14">
      <c r="B407" s="75" t="s">
        <v>45</v>
      </c>
      <c r="C407" s="271">
        <v>0</v>
      </c>
      <c r="D407" s="75" t="s">
        <v>46</v>
      </c>
      <c r="E407" s="272">
        <f>F398</f>
        <v>500</v>
      </c>
      <c r="F407" s="1"/>
      <c r="G407" s="273" t="e">
        <f>E407/C407</f>
        <v>#DIV/0!</v>
      </c>
      <c r="I407" s="75" t="s">
        <v>45</v>
      </c>
      <c r="J407" s="271">
        <v>0</v>
      </c>
      <c r="K407" s="75" t="s">
        <v>46</v>
      </c>
      <c r="L407" s="272">
        <f>M398</f>
        <v>100</v>
      </c>
      <c r="M407" s="1"/>
      <c r="N407" s="273" t="e">
        <f>L407/J407</f>
        <v>#DIV/0!</v>
      </c>
    </row>
    <row r="408" spans="2:14">
      <c r="B408" s="85" t="s">
        <v>52</v>
      </c>
      <c r="C408" s="68" t="s">
        <v>42</v>
      </c>
      <c r="D408" s="68" t="s">
        <v>47</v>
      </c>
      <c r="E408" s="87" t="s">
        <v>51</v>
      </c>
      <c r="F408" s="76" t="s">
        <v>59</v>
      </c>
      <c r="G408" s="156" t="s">
        <v>290</v>
      </c>
      <c r="H408" s="274"/>
      <c r="I408" s="85" t="s">
        <v>52</v>
      </c>
      <c r="J408" s="68" t="s">
        <v>42</v>
      </c>
      <c r="K408" s="68" t="s">
        <v>47</v>
      </c>
      <c r="L408" s="87" t="s">
        <v>51</v>
      </c>
      <c r="M408" s="76" t="s">
        <v>59</v>
      </c>
      <c r="N408" s="156" t="s">
        <v>290</v>
      </c>
    </row>
    <row r="409" spans="2:14">
      <c r="B409" s="69">
        <v>2</v>
      </c>
      <c r="C409" s="1">
        <v>1</v>
      </c>
      <c r="D409" s="523">
        <f>$D$17</f>
        <v>33.5</v>
      </c>
      <c r="E409" s="70">
        <f>B409*C409*D409*8</f>
        <v>536</v>
      </c>
      <c r="F409" s="76"/>
      <c r="G409" s="157">
        <f>F398/(E409/D409)</f>
        <v>31.25</v>
      </c>
      <c r="H409" s="154"/>
      <c r="I409" s="69">
        <v>1</v>
      </c>
      <c r="J409" s="1">
        <v>0.5</v>
      </c>
      <c r="K409" s="523">
        <f>$D$17</f>
        <v>33.5</v>
      </c>
      <c r="L409" s="70">
        <f>I409*J409*K409*8</f>
        <v>134</v>
      </c>
      <c r="M409" s="76"/>
      <c r="N409" s="157">
        <f>M398/(L409/K409)</f>
        <v>25</v>
      </c>
    </row>
    <row r="410" spans="2:14">
      <c r="B410" s="69"/>
      <c r="C410" s="1"/>
      <c r="D410" s="523">
        <f>$D$17</f>
        <v>33.5</v>
      </c>
      <c r="E410" s="70">
        <f>B410*C410*D410*8</f>
        <v>0</v>
      </c>
      <c r="F410" s="76"/>
      <c r="G410" s="275" t="e">
        <f>F400/(E410/D410)</f>
        <v>#DIV/0!</v>
      </c>
      <c r="H410" s="154"/>
      <c r="I410" s="69"/>
      <c r="J410" s="1"/>
      <c r="K410" s="523">
        <f>$D$17</f>
        <v>33.5</v>
      </c>
      <c r="L410" s="70">
        <f>I410*J410*K410*8</f>
        <v>0</v>
      </c>
      <c r="M410" s="76"/>
      <c r="N410" s="275" t="e">
        <f>M400/(L410/K410)</f>
        <v>#DIV/0!</v>
      </c>
    </row>
    <row r="411" spans="2:14">
      <c r="B411" s="86" t="s">
        <v>53</v>
      </c>
      <c r="C411" s="67" t="s">
        <v>44</v>
      </c>
      <c r="D411" s="67" t="s">
        <v>43</v>
      </c>
      <c r="E411" s="71"/>
      <c r="F411" s="1"/>
      <c r="I411" s="86" t="s">
        <v>53</v>
      </c>
      <c r="J411" s="67" t="s">
        <v>44</v>
      </c>
      <c r="K411" s="67" t="s">
        <v>43</v>
      </c>
      <c r="L411" s="71"/>
      <c r="M411" s="1"/>
    </row>
    <row r="412" spans="2:14">
      <c r="B412" s="69">
        <v>0</v>
      </c>
      <c r="C412" s="1">
        <v>0</v>
      </c>
      <c r="D412" s="523">
        <f>$D$20</f>
        <v>33.5</v>
      </c>
      <c r="E412" s="70">
        <f>B412*C412*D412</f>
        <v>0</v>
      </c>
      <c r="F412" s="76"/>
      <c r="I412" s="69">
        <v>0</v>
      </c>
      <c r="J412" s="1">
        <v>0</v>
      </c>
      <c r="K412" s="523">
        <f>$D$20</f>
        <v>33.5</v>
      </c>
      <c r="L412" s="70">
        <f>I412*J412*K412</f>
        <v>0</v>
      </c>
      <c r="M412" s="76"/>
    </row>
    <row r="413" spans="2:14">
      <c r="B413" s="277" t="s">
        <v>4</v>
      </c>
      <c r="C413" s="278"/>
      <c r="D413" s="278"/>
      <c r="E413" s="279">
        <f>ROUNDUP(SUM(E409:E412),0)</f>
        <v>536</v>
      </c>
      <c r="F413" s="123">
        <f>E413/E407</f>
        <v>1.0720000000000001</v>
      </c>
      <c r="G413" s="124" t="s">
        <v>291</v>
      </c>
      <c r="H413" s="1"/>
      <c r="I413" s="277" t="s">
        <v>4</v>
      </c>
      <c r="J413" s="278"/>
      <c r="K413" s="278"/>
      <c r="L413" s="279">
        <f>ROUNDUP(SUM(L409:L412),0)</f>
        <v>134</v>
      </c>
      <c r="M413" s="123">
        <f>L413/L407</f>
        <v>1.34</v>
      </c>
      <c r="N413" s="124" t="s">
        <v>291</v>
      </c>
    </row>
    <row r="414" spans="2:14">
      <c r="B414" s="1"/>
      <c r="C414" s="32"/>
      <c r="D414" s="7"/>
      <c r="E414" s="7"/>
      <c r="F414" s="7"/>
      <c r="G414" s="1"/>
      <c r="H414" s="1"/>
      <c r="I414" s="1"/>
      <c r="J414" s="32"/>
      <c r="K414" s="7"/>
      <c r="L414" s="7"/>
      <c r="M414" s="7"/>
      <c r="N414" s="1"/>
    </row>
    <row r="415" spans="2:14">
      <c r="B415" s="5" t="s">
        <v>252</v>
      </c>
      <c r="C415" s="30" t="s">
        <v>11</v>
      </c>
      <c r="D415" s="11" t="s">
        <v>1</v>
      </c>
      <c r="E415" s="12" t="s">
        <v>2</v>
      </c>
      <c r="F415" s="1"/>
      <c r="G415" s="1"/>
      <c r="H415" s="1"/>
      <c r="I415" s="5" t="s">
        <v>252</v>
      </c>
      <c r="J415" s="30" t="s">
        <v>11</v>
      </c>
      <c r="K415" s="11" t="s">
        <v>1</v>
      </c>
      <c r="L415" s="12" t="s">
        <v>2</v>
      </c>
      <c r="M415" s="1"/>
      <c r="N415" s="1"/>
    </row>
    <row r="416" spans="2:14">
      <c r="B416" s="6" t="s">
        <v>17</v>
      </c>
      <c r="C416" s="37"/>
      <c r="D416" s="7">
        <v>35</v>
      </c>
      <c r="E416" s="9">
        <f t="shared" ref="E416:E422" si="82">ROUNDUP(C416*D416,0)</f>
        <v>0</v>
      </c>
      <c r="F416" s="1"/>
      <c r="G416" s="1"/>
      <c r="H416" s="1"/>
      <c r="I416" s="6" t="s">
        <v>17</v>
      </c>
      <c r="J416" s="37"/>
      <c r="K416" s="7">
        <v>35</v>
      </c>
      <c r="L416" s="9">
        <f t="shared" ref="L416:L422" si="83">ROUNDUP(J416*K416,0)</f>
        <v>0</v>
      </c>
      <c r="M416" s="1"/>
      <c r="N416" s="1"/>
    </row>
    <row r="417" spans="2:14">
      <c r="B417" s="6" t="s">
        <v>75</v>
      </c>
      <c r="C417" s="37">
        <f>F398</f>
        <v>500</v>
      </c>
      <c r="D417" s="7">
        <v>0.17</v>
      </c>
      <c r="E417" s="9">
        <f t="shared" si="82"/>
        <v>85</v>
      </c>
      <c r="F417" s="1"/>
      <c r="G417" s="1"/>
      <c r="H417" s="1"/>
      <c r="I417" s="6" t="s">
        <v>75</v>
      </c>
      <c r="J417" s="37">
        <f>L407</f>
        <v>100</v>
      </c>
      <c r="K417" s="7">
        <v>0.17</v>
      </c>
      <c r="L417" s="9">
        <f t="shared" si="83"/>
        <v>17</v>
      </c>
      <c r="M417" s="1"/>
      <c r="N417" s="1"/>
    </row>
    <row r="418" spans="2:14">
      <c r="B418" s="6" t="s">
        <v>68</v>
      </c>
      <c r="C418" s="37">
        <v>0</v>
      </c>
      <c r="D418" s="7">
        <f>$D$26</f>
        <v>70</v>
      </c>
      <c r="E418" s="9">
        <f t="shared" si="82"/>
        <v>0</v>
      </c>
      <c r="F418" s="1"/>
      <c r="G418" s="1"/>
      <c r="H418" s="1"/>
      <c r="I418" s="6" t="s">
        <v>68</v>
      </c>
      <c r="J418" s="37">
        <v>0</v>
      </c>
      <c r="K418" s="7">
        <f>$D$26</f>
        <v>70</v>
      </c>
      <c r="L418" s="9">
        <f t="shared" si="83"/>
        <v>0</v>
      </c>
      <c r="M418" s="1"/>
      <c r="N418" s="1"/>
    </row>
    <row r="419" spans="2:14">
      <c r="B419" s="6" t="s">
        <v>69</v>
      </c>
      <c r="C419" s="37">
        <f>C418</f>
        <v>0</v>
      </c>
      <c r="D419" s="7">
        <f>$D$27</f>
        <v>45</v>
      </c>
      <c r="E419" s="9">
        <f t="shared" si="82"/>
        <v>0</v>
      </c>
      <c r="F419" s="43"/>
      <c r="G419" s="1"/>
      <c r="H419" s="1"/>
      <c r="I419" s="6" t="s">
        <v>69</v>
      </c>
      <c r="J419" s="37">
        <f>J418</f>
        <v>0</v>
      </c>
      <c r="K419" s="7">
        <f>$D$27</f>
        <v>45</v>
      </c>
      <c r="L419" s="9">
        <f t="shared" si="83"/>
        <v>0</v>
      </c>
      <c r="M419" s="43"/>
      <c r="N419" s="1"/>
    </row>
    <row r="420" spans="2:14">
      <c r="B420" s="6" t="s">
        <v>253</v>
      </c>
      <c r="C420" s="37">
        <f>(E413/8)/D409</f>
        <v>2</v>
      </c>
      <c r="D420" s="7">
        <f>$D$28</f>
        <v>14</v>
      </c>
      <c r="E420" s="9">
        <f t="shared" si="82"/>
        <v>28</v>
      </c>
      <c r="F420" s="43"/>
      <c r="G420" s="1"/>
      <c r="H420" s="1"/>
      <c r="I420" s="6" t="s">
        <v>253</v>
      </c>
      <c r="J420" s="37">
        <f>(L413/8)/K409</f>
        <v>0.5</v>
      </c>
      <c r="K420" s="7">
        <f>$D$28</f>
        <v>14</v>
      </c>
      <c r="L420" s="9">
        <f t="shared" si="83"/>
        <v>7</v>
      </c>
      <c r="M420" s="43"/>
      <c r="N420" s="1"/>
    </row>
    <row r="421" spans="2:14">
      <c r="B421" s="6" t="s">
        <v>254</v>
      </c>
      <c r="C421" s="37"/>
      <c r="D421" s="7">
        <v>0.04</v>
      </c>
      <c r="E421" s="9">
        <f t="shared" si="82"/>
        <v>0</v>
      </c>
      <c r="F421" s="1"/>
      <c r="G421" s="1"/>
      <c r="H421" s="1"/>
      <c r="I421" s="6" t="s">
        <v>254</v>
      </c>
      <c r="J421" s="37"/>
      <c r="K421" s="7">
        <v>0.04</v>
      </c>
      <c r="L421" s="9">
        <f t="shared" si="83"/>
        <v>0</v>
      </c>
      <c r="M421" s="1"/>
      <c r="N421" s="1"/>
    </row>
    <row r="422" spans="2:14">
      <c r="B422" s="6" t="s">
        <v>28</v>
      </c>
      <c r="C422" s="37"/>
      <c r="D422" s="7"/>
      <c r="E422" s="9">
        <f t="shared" si="82"/>
        <v>0</v>
      </c>
      <c r="F422" s="1"/>
      <c r="G422" s="1"/>
      <c r="H422" s="1"/>
      <c r="I422" s="6" t="s">
        <v>28</v>
      </c>
      <c r="J422" s="37"/>
      <c r="K422" s="7"/>
      <c r="L422" s="9">
        <f t="shared" si="83"/>
        <v>0</v>
      </c>
      <c r="M422" s="1"/>
      <c r="N422" s="1"/>
    </row>
    <row r="423" spans="2:14">
      <c r="B423" s="10" t="s">
        <v>255</v>
      </c>
      <c r="C423" s="36"/>
      <c r="D423" s="13"/>
      <c r="E423" s="16">
        <f>SUM(E416:E422)</f>
        <v>113</v>
      </c>
      <c r="F423" s="1"/>
      <c r="G423" s="1"/>
      <c r="H423" s="1"/>
      <c r="I423" s="10" t="s">
        <v>255</v>
      </c>
      <c r="J423" s="36"/>
      <c r="K423" s="13"/>
      <c r="L423" s="16">
        <f>SUM(L416:L422)</f>
        <v>24</v>
      </c>
      <c r="M423" s="1"/>
      <c r="N423" s="1"/>
    </row>
    <row r="424" spans="2:14">
      <c r="B424" s="1"/>
      <c r="C424" s="32"/>
      <c r="D424" s="7"/>
      <c r="E424" s="7"/>
      <c r="F424" s="1"/>
      <c r="G424" s="1"/>
      <c r="H424" s="1"/>
      <c r="I424" s="1"/>
      <c r="J424" s="32"/>
      <c r="K424" s="7"/>
      <c r="L424" s="7"/>
      <c r="M424" s="1"/>
      <c r="N424" s="1"/>
    </row>
    <row r="425" spans="2:14">
      <c r="B425" s="1"/>
      <c r="C425" s="32"/>
      <c r="D425" s="7"/>
      <c r="E425" s="7"/>
      <c r="F425" s="1"/>
      <c r="G425" s="1"/>
      <c r="H425" s="1"/>
      <c r="I425" s="1"/>
      <c r="J425" s="32"/>
      <c r="K425" s="7"/>
      <c r="L425" s="7"/>
      <c r="M425" s="1"/>
      <c r="N425" s="1"/>
    </row>
    <row r="426" spans="2:14">
      <c r="B426" s="280" t="s">
        <v>9</v>
      </c>
      <c r="C426" s="281"/>
      <c r="D426" s="282"/>
      <c r="E426" s="283">
        <f>SUM(E405,E413,E423)</f>
        <v>1855</v>
      </c>
      <c r="F426" s="1"/>
      <c r="G426" s="1"/>
      <c r="H426" s="1"/>
      <c r="I426" s="280" t="s">
        <v>9</v>
      </c>
      <c r="J426" s="281"/>
      <c r="K426" s="282"/>
      <c r="L426" s="283">
        <f>SUM(L405,L413,L423)</f>
        <v>400</v>
      </c>
      <c r="M426" s="1"/>
      <c r="N426" s="1"/>
    </row>
    <row r="427" spans="2:14">
      <c r="B427" s="1"/>
      <c r="C427" s="32"/>
      <c r="D427" s="7"/>
      <c r="E427" s="7"/>
      <c r="F427" s="1"/>
      <c r="G427" s="1"/>
      <c r="H427" s="1"/>
      <c r="I427" s="1"/>
      <c r="J427" s="32"/>
      <c r="K427" s="7"/>
      <c r="L427" s="7"/>
      <c r="M427" s="1"/>
      <c r="N427" s="1"/>
    </row>
    <row r="428" spans="2:14">
      <c r="B428" s="5" t="s">
        <v>8</v>
      </c>
      <c r="C428" s="30" t="s">
        <v>7</v>
      </c>
      <c r="D428" s="14"/>
      <c r="E428" s="12"/>
      <c r="F428" s="1"/>
      <c r="G428" s="1"/>
      <c r="H428" s="1"/>
      <c r="I428" s="5" t="s">
        <v>8</v>
      </c>
      <c r="J428" s="30" t="s">
        <v>7</v>
      </c>
      <c r="K428" s="14"/>
      <c r="L428" s="12"/>
      <c r="M428" s="1"/>
      <c r="N428" s="1"/>
    </row>
    <row r="429" spans="2:14">
      <c r="B429" s="6" t="s">
        <v>15</v>
      </c>
      <c r="C429" s="208">
        <f>$C$37</f>
        <v>9.4750000000000001E-2</v>
      </c>
      <c r="D429" s="209"/>
      <c r="E429" s="9">
        <f>ROUNDUP(SUM(E405:E405)*C429,0)</f>
        <v>115</v>
      </c>
      <c r="F429" s="1"/>
      <c r="G429" s="1"/>
      <c r="H429" s="1"/>
      <c r="I429" s="6" t="s">
        <v>15</v>
      </c>
      <c r="J429" s="208">
        <f>$C$37</f>
        <v>9.4750000000000001E-2</v>
      </c>
      <c r="K429" s="209"/>
      <c r="L429" s="9">
        <f>ROUNDUP(SUM(L405:L405)*J429,0)</f>
        <v>23</v>
      </c>
      <c r="M429" s="1"/>
      <c r="N429" s="1"/>
    </row>
    <row r="430" spans="2:14">
      <c r="B430" s="6" t="s">
        <v>74</v>
      </c>
      <c r="C430" s="241">
        <v>0.08</v>
      </c>
      <c r="D430" s="209"/>
      <c r="E430" s="9">
        <f>ROUNDUP(SUM(E413)*C430,0)</f>
        <v>43</v>
      </c>
      <c r="F430" s="1"/>
      <c r="G430" s="1"/>
      <c r="H430" s="1"/>
      <c r="I430" s="6" t="s">
        <v>74</v>
      </c>
      <c r="J430" s="241">
        <v>0.08</v>
      </c>
      <c r="K430" s="209"/>
      <c r="L430" s="9">
        <f>ROUNDUP(SUM(L413)*J430,0)</f>
        <v>11</v>
      </c>
      <c r="M430" s="1"/>
      <c r="N430" s="1"/>
    </row>
    <row r="431" spans="2:14">
      <c r="B431" s="6" t="s">
        <v>256</v>
      </c>
      <c r="C431" s="122">
        <f>IF(E405&lt;=5000,0.1,0.05)</f>
        <v>0.1</v>
      </c>
      <c r="D431" s="7"/>
      <c r="E431" s="9">
        <f>ROUNDUP(E405*C431,0)</f>
        <v>121</v>
      </c>
      <c r="F431" s="1"/>
      <c r="G431" s="1"/>
      <c r="H431" s="1"/>
      <c r="I431" s="6" t="s">
        <v>256</v>
      </c>
      <c r="J431" s="122">
        <v>0.2</v>
      </c>
      <c r="K431" s="7"/>
      <c r="L431" s="9">
        <f>ROUNDUP(L405*J431,0)</f>
        <v>49</v>
      </c>
      <c r="M431" s="1"/>
      <c r="N431" s="1"/>
    </row>
    <row r="432" spans="2:14">
      <c r="B432" s="6" t="s">
        <v>257</v>
      </c>
      <c r="C432" s="122">
        <v>0.2</v>
      </c>
      <c r="D432" s="7"/>
      <c r="E432" s="9">
        <f>ROUNDUP(E413*C432,0)</f>
        <v>108</v>
      </c>
      <c r="F432" s="1"/>
      <c r="G432" s="1"/>
      <c r="H432" s="1"/>
      <c r="I432" s="6" t="s">
        <v>257</v>
      </c>
      <c r="J432" s="122">
        <v>0.3</v>
      </c>
      <c r="K432" s="7"/>
      <c r="L432" s="9">
        <f>ROUNDUP(L413*J432,0)</f>
        <v>41</v>
      </c>
      <c r="M432" s="1"/>
      <c r="N432" s="1"/>
    </row>
    <row r="433" spans="2:23">
      <c r="B433" s="6" t="s">
        <v>258</v>
      </c>
      <c r="C433" s="122">
        <v>0.35</v>
      </c>
      <c r="D433" s="7"/>
      <c r="E433" s="9">
        <f>ROUNDUP(SUM(E426:E432)*C433,0)</f>
        <v>785</v>
      </c>
      <c r="F433" s="1"/>
      <c r="G433" s="1"/>
      <c r="H433" s="1"/>
      <c r="I433" s="6" t="s">
        <v>258</v>
      </c>
      <c r="J433" s="122">
        <v>0.35</v>
      </c>
      <c r="K433" s="7"/>
      <c r="L433" s="9">
        <f>ROUNDUP(SUM(L426:L432)*J433,0)</f>
        <v>184</v>
      </c>
      <c r="M433" s="1"/>
      <c r="N433" s="1"/>
    </row>
    <row r="434" spans="2:23">
      <c r="B434" s="284" t="str">
        <f>$B$42</f>
        <v>Kansas Remodel Tax</v>
      </c>
      <c r="C434" s="241">
        <f>$C$42</f>
        <v>0</v>
      </c>
      <c r="D434" s="7"/>
      <c r="E434" s="9">
        <f>ROUNDUP(SUM(E413,E430:E433)*C434,0)</f>
        <v>0</v>
      </c>
      <c r="F434" s="1"/>
      <c r="G434" s="1"/>
      <c r="H434" s="1"/>
      <c r="I434" s="284" t="str">
        <f>$B$42</f>
        <v>Kansas Remodel Tax</v>
      </c>
      <c r="J434" s="241">
        <f>$C$42</f>
        <v>0</v>
      </c>
      <c r="K434" s="7"/>
      <c r="L434" s="9">
        <f>ROUNDUP(SUM(L413,L430:L433)*J434,0)</f>
        <v>0</v>
      </c>
      <c r="M434" s="1"/>
      <c r="N434" s="1"/>
    </row>
    <row r="435" spans="2:23">
      <c r="B435" s="403" t="s">
        <v>398</v>
      </c>
      <c r="C435" s="241">
        <f>$C$43</f>
        <v>0.05</v>
      </c>
      <c r="D435" s="7"/>
      <c r="E435" s="9">
        <f>ROUNDUP(C435*SUM(E426:E434),0)</f>
        <v>152</v>
      </c>
      <c r="F435" s="1"/>
      <c r="G435" s="1"/>
      <c r="H435" s="1"/>
      <c r="I435" s="403" t="s">
        <v>398</v>
      </c>
      <c r="J435" s="241">
        <f>$C$43</f>
        <v>0.05</v>
      </c>
      <c r="K435" s="7"/>
      <c r="L435" s="9">
        <f>ROUNDUP(J435*SUM(L426:L434),0)</f>
        <v>36</v>
      </c>
      <c r="M435" s="1"/>
      <c r="N435" s="1"/>
    </row>
    <row r="436" spans="2:23">
      <c r="B436" s="45" t="s">
        <v>20</v>
      </c>
      <c r="C436" s="46">
        <f>$C$44</f>
        <v>0</v>
      </c>
      <c r="D436" s="15"/>
      <c r="E436" s="210">
        <f>ROUNDUP(SUM(E426:E435)*C436,0)</f>
        <v>0</v>
      </c>
      <c r="F436" s="1"/>
      <c r="G436" s="1"/>
      <c r="H436" s="1"/>
      <c r="I436" s="45" t="s">
        <v>20</v>
      </c>
      <c r="J436" s="46">
        <f>$C$44</f>
        <v>0</v>
      </c>
      <c r="K436" s="15"/>
      <c r="L436" s="210">
        <f>ROUNDUP(SUM(L426:L435)*J436,0)</f>
        <v>0</v>
      </c>
      <c r="M436" s="1"/>
      <c r="N436" s="1"/>
    </row>
    <row r="437" spans="2:23">
      <c r="B437" s="1"/>
      <c r="C437" s="8"/>
      <c r="D437" s="7"/>
      <c r="E437" s="7"/>
      <c r="F437" s="1"/>
      <c r="G437" s="286" t="s">
        <v>70</v>
      </c>
      <c r="H437" s="32"/>
      <c r="I437" s="1"/>
      <c r="J437" s="8"/>
      <c r="K437" s="7"/>
      <c r="L437" s="7"/>
      <c r="M437" s="1"/>
      <c r="N437" s="286" t="s">
        <v>70</v>
      </c>
    </row>
    <row r="438" spans="2:23" ht="16.2" thickBot="1">
      <c r="B438" s="1"/>
      <c r="C438" s="287" t="s">
        <v>269</v>
      </c>
      <c r="D438" s="288">
        <f>E407</f>
        <v>500</v>
      </c>
      <c r="E438" s="7"/>
      <c r="F438" s="38" t="s">
        <v>18</v>
      </c>
      <c r="G438" s="131">
        <f>SUM(E431:E433)</f>
        <v>1014</v>
      </c>
      <c r="H438" s="7"/>
      <c r="I438" s="1"/>
      <c r="J438" s="287" t="s">
        <v>269</v>
      </c>
      <c r="K438" s="288">
        <f>L407</f>
        <v>100</v>
      </c>
      <c r="L438" s="7"/>
      <c r="M438" s="38" t="s">
        <v>18</v>
      </c>
      <c r="N438" s="131">
        <f>SUM(L431:L433)</f>
        <v>274</v>
      </c>
    </row>
    <row r="439" spans="2:23" ht="16.2" thickBot="1">
      <c r="B439" s="289" t="s">
        <v>6</v>
      </c>
      <c r="C439" s="290"/>
      <c r="D439" s="291">
        <f>E439/E407</f>
        <v>6.3579999999999997</v>
      </c>
      <c r="E439" s="292">
        <f>SUM(E426:E436)</f>
        <v>3179</v>
      </c>
      <c r="F439" s="7">
        <f>E439-E429-E434</f>
        <v>3064</v>
      </c>
      <c r="G439" s="293">
        <f>G438/E439</f>
        <v>0.31896822900283106</v>
      </c>
      <c r="H439" s="294"/>
      <c r="I439" s="289" t="s">
        <v>6</v>
      </c>
      <c r="J439" s="290"/>
      <c r="K439" s="291">
        <f>L439/L407</f>
        <v>7.44</v>
      </c>
      <c r="L439" s="292">
        <f>SUM(L426:L436)</f>
        <v>744</v>
      </c>
      <c r="M439" s="7">
        <f>L439-L429-L434</f>
        <v>721</v>
      </c>
      <c r="N439" s="293">
        <f>N438/L439</f>
        <v>0.36827956989247312</v>
      </c>
    </row>
    <row r="440" spans="2:23">
      <c r="B440" s="1"/>
      <c r="C440" s="1" t="s">
        <v>5</v>
      </c>
      <c r="D440" s="7">
        <f>E440/E407</f>
        <v>6.3579999999999997</v>
      </c>
      <c r="E440" s="7">
        <f>E439-E434</f>
        <v>3179</v>
      </c>
      <c r="F440" t="s">
        <v>263</v>
      </c>
      <c r="G440" s="295" t="str">
        <f>IF(G439&lt;=0.25,"OWNER APPROVAL REQUIRED","GP % Okay")</f>
        <v>GP % Okay</v>
      </c>
      <c r="H440" s="296"/>
      <c r="I440" s="1"/>
      <c r="J440" s="1" t="s">
        <v>5</v>
      </c>
      <c r="K440" s="7">
        <f>L440/L407</f>
        <v>7.44</v>
      </c>
      <c r="L440" s="7">
        <f>L439-L434</f>
        <v>744</v>
      </c>
      <c r="M440" t="s">
        <v>263</v>
      </c>
      <c r="N440" s="295" t="str">
        <f>IF(N439&lt;=0.25,"OWNER APPROVAL REQUIRED","GP % Okay")</f>
        <v>GP % Okay</v>
      </c>
    </row>
    <row r="443" spans="2:23">
      <c r="B443" s="1903" t="s">
        <v>294</v>
      </c>
      <c r="C443" s="1904"/>
      <c r="D443" s="1904"/>
      <c r="E443" s="1905"/>
      <c r="F443" s="262">
        <f>D488</f>
        <v>9.1300000000000008</v>
      </c>
      <c r="G443" s="263" t="s">
        <v>287</v>
      </c>
      <c r="I443" s="1903" t="s">
        <v>295</v>
      </c>
      <c r="J443" s="1904"/>
      <c r="K443" s="1904"/>
      <c r="L443" s="1905"/>
      <c r="M443" s="262">
        <f>K488</f>
        <v>17.71</v>
      </c>
      <c r="N443" s="263" t="s">
        <v>287</v>
      </c>
      <c r="Q443" s="1903" t="s">
        <v>296</v>
      </c>
      <c r="R443" s="1904"/>
      <c r="S443" s="1904"/>
      <c r="T443" s="1905"/>
      <c r="U443">
        <f>100/3</f>
        <v>33.333333333333336</v>
      </c>
      <c r="V443" s="43" t="s">
        <v>297</v>
      </c>
    </row>
    <row r="444" spans="2:23">
      <c r="B444" s="25" t="s">
        <v>14</v>
      </c>
      <c r="C444" s="90" t="s">
        <v>11</v>
      </c>
      <c r="D444" s="90" t="s">
        <v>1</v>
      </c>
      <c r="E444" s="91" t="s">
        <v>2</v>
      </c>
      <c r="F444" s="23"/>
      <c r="G444" s="89"/>
      <c r="H444" s="264"/>
      <c r="I444" s="25" t="s">
        <v>14</v>
      </c>
      <c r="J444" s="90" t="s">
        <v>11</v>
      </c>
      <c r="K444" s="90" t="s">
        <v>1</v>
      </c>
      <c r="L444" s="91" t="s">
        <v>2</v>
      </c>
      <c r="M444" s="23"/>
      <c r="N444" s="89"/>
      <c r="Q444" s="25" t="s">
        <v>14</v>
      </c>
      <c r="R444" s="90" t="s">
        <v>11</v>
      </c>
      <c r="S444" s="90" t="s">
        <v>1</v>
      </c>
      <c r="T444" s="91" t="s">
        <v>2</v>
      </c>
      <c r="U444" s="268">
        <v>34</v>
      </c>
      <c r="V444" s="82" t="s">
        <v>27</v>
      </c>
      <c r="W444" s="1549">
        <v>0.06</v>
      </c>
    </row>
    <row r="445" spans="2:23">
      <c r="B445" s="44"/>
      <c r="C445" s="265">
        <f>F447</f>
        <v>500</v>
      </c>
      <c r="D445" s="33">
        <v>0.1</v>
      </c>
      <c r="E445" s="34">
        <f t="shared" ref="E445:E446" si="84">C445*D445</f>
        <v>50</v>
      </c>
      <c r="F445" s="1"/>
      <c r="G445" s="1"/>
      <c r="H445" s="1"/>
      <c r="I445" s="44"/>
      <c r="J445" s="265">
        <f>M447</f>
        <v>100</v>
      </c>
      <c r="K445" s="33">
        <v>0.1</v>
      </c>
      <c r="L445" s="34">
        <f t="shared" ref="L445:L446" si="85">J445*K445</f>
        <v>10</v>
      </c>
      <c r="M445" s="1"/>
      <c r="N445" s="1"/>
      <c r="Q445" s="47" t="s">
        <v>298</v>
      </c>
      <c r="R445" s="265">
        <v>1</v>
      </c>
      <c r="S445" s="1546">
        <f>51.36+V445</f>
        <v>54.441600000000001</v>
      </c>
      <c r="T445" s="34">
        <f t="shared" ref="T445:T447" si="86">R445*S445</f>
        <v>54.441600000000001</v>
      </c>
      <c r="U445" s="301">
        <f>(8/1600)*U444</f>
        <v>0.17</v>
      </c>
      <c r="V445" s="1545">
        <f>51.36*W444</f>
        <v>3.0815999999999999</v>
      </c>
    </row>
    <row r="446" spans="2:23">
      <c r="B446" s="44"/>
      <c r="C446" s="266"/>
      <c r="D446" s="33"/>
      <c r="E446" s="34">
        <f t="shared" si="84"/>
        <v>0</v>
      </c>
      <c r="F446" s="1"/>
      <c r="G446" s="1"/>
      <c r="H446" s="1"/>
      <c r="I446" s="44"/>
      <c r="J446" s="266"/>
      <c r="K446" s="33"/>
      <c r="L446" s="34">
        <f t="shared" si="85"/>
        <v>0</v>
      </c>
      <c r="M446" s="1"/>
      <c r="N446" s="1"/>
      <c r="Q446" s="69" t="s">
        <v>299</v>
      </c>
      <c r="R446" s="266">
        <v>1</v>
      </c>
      <c r="S446" s="1546">
        <f>164+V446</f>
        <v>173.84</v>
      </c>
      <c r="T446" s="34">
        <f t="shared" si="86"/>
        <v>173.84</v>
      </c>
      <c r="U446" s="301">
        <f>U444/120</f>
        <v>0.28333333333333333</v>
      </c>
      <c r="V446" s="1545">
        <f>164*W444</f>
        <v>9.84</v>
      </c>
    </row>
    <row r="447" spans="2:23">
      <c r="B447" s="25" t="s">
        <v>12</v>
      </c>
      <c r="C447" s="267"/>
      <c r="D447" s="23"/>
      <c r="E447" s="29"/>
      <c r="F447" s="268">
        <v>500</v>
      </c>
      <c r="G447" s="82" t="s">
        <v>48</v>
      </c>
      <c r="H447" s="1"/>
      <c r="I447" s="25" t="s">
        <v>12</v>
      </c>
      <c r="J447" s="267"/>
      <c r="K447" s="23"/>
      <c r="L447" s="29"/>
      <c r="M447" s="268">
        <v>100</v>
      </c>
      <c r="N447" s="82" t="s">
        <v>48</v>
      </c>
      <c r="Q447" s="25"/>
      <c r="R447" s="302"/>
      <c r="S447" s="303"/>
      <c r="T447" s="34">
        <f t="shared" si="86"/>
        <v>0</v>
      </c>
      <c r="V447" s="1547" t="s">
        <v>1040</v>
      </c>
    </row>
    <row r="448" spans="2:23">
      <c r="B448" s="47" t="s">
        <v>300</v>
      </c>
      <c r="C448" s="300">
        <v>1</v>
      </c>
      <c r="D448" s="7">
        <f>T457</f>
        <v>402.1216</v>
      </c>
      <c r="E448" s="9">
        <f>C448*D448</f>
        <v>402.1216</v>
      </c>
      <c r="F448" s="304">
        <v>167</v>
      </c>
      <c r="G448" s="305" t="s">
        <v>301</v>
      </c>
      <c r="H448" s="1"/>
      <c r="I448" s="47" t="s">
        <v>300</v>
      </c>
      <c r="J448" s="300">
        <v>1</v>
      </c>
      <c r="K448" s="7">
        <f>T449</f>
        <v>228.2816</v>
      </c>
      <c r="L448" s="9">
        <f>J448*K448</f>
        <v>228.2816</v>
      </c>
      <c r="M448" s="304">
        <v>34</v>
      </c>
      <c r="N448" s="305" t="s">
        <v>302</v>
      </c>
      <c r="Q448" s="47"/>
      <c r="R448" s="302"/>
      <c r="S448" s="306"/>
      <c r="T448" s="9">
        <f>R448*S448</f>
        <v>0</v>
      </c>
    </row>
    <row r="449" spans="2:22">
      <c r="B449" s="47" t="s">
        <v>303</v>
      </c>
      <c r="C449" s="300">
        <v>0</v>
      </c>
      <c r="D449" s="7">
        <f>T473</f>
        <v>630.40319999999997</v>
      </c>
      <c r="E449" s="9">
        <f t="shared" ref="E449:E450" si="87">C449*D449</f>
        <v>0</v>
      </c>
      <c r="F449" s="304">
        <v>250</v>
      </c>
      <c r="G449" s="305" t="s">
        <v>304</v>
      </c>
      <c r="H449" s="1"/>
      <c r="I449" s="47" t="s">
        <v>303</v>
      </c>
      <c r="J449" s="300">
        <v>0</v>
      </c>
      <c r="K449" s="7">
        <f>T465</f>
        <v>228.2816</v>
      </c>
      <c r="L449" s="9">
        <f t="shared" ref="L449:L450" si="88">J449*K449</f>
        <v>0</v>
      </c>
      <c r="M449" s="304">
        <v>50</v>
      </c>
      <c r="N449" s="305" t="s">
        <v>305</v>
      </c>
      <c r="Q449" s="10" t="s">
        <v>3</v>
      </c>
      <c r="R449" s="36"/>
      <c r="S449" s="13"/>
      <c r="T449" s="16">
        <f>SUM(T445:T448)</f>
        <v>228.2816</v>
      </c>
    </row>
    <row r="450" spans="2:22">
      <c r="B450" s="48"/>
      <c r="C450" s="269"/>
      <c r="D450" s="26"/>
      <c r="E450" s="27">
        <f t="shared" si="87"/>
        <v>0</v>
      </c>
      <c r="F450" s="1"/>
      <c r="G450" s="1"/>
      <c r="H450" s="1"/>
      <c r="I450" s="48"/>
      <c r="J450" s="269"/>
      <c r="K450" s="26"/>
      <c r="L450" s="27">
        <f t="shared" si="88"/>
        <v>0</v>
      </c>
      <c r="M450" s="1"/>
      <c r="N450" s="1"/>
    </row>
    <row r="451" spans="2:22">
      <c r="B451" s="17" t="s">
        <v>10</v>
      </c>
      <c r="C451" s="35"/>
      <c r="D451" s="18"/>
      <c r="E451" s="19">
        <f>ROUNDUP(SUM(E445:E450),0)</f>
        <v>453</v>
      </c>
      <c r="F451" s="1"/>
      <c r="G451" s="307" t="s">
        <v>306</v>
      </c>
      <c r="H451" s="1"/>
      <c r="I451" s="17" t="s">
        <v>10</v>
      </c>
      <c r="J451" s="35"/>
      <c r="K451" s="18"/>
      <c r="L451" s="19">
        <f>ROUNDUP(SUM(L445:L450),0)</f>
        <v>239</v>
      </c>
      <c r="M451" s="1"/>
      <c r="N451" s="307" t="s">
        <v>306</v>
      </c>
      <c r="Q451" s="1903" t="s">
        <v>307</v>
      </c>
      <c r="R451" s="1904"/>
      <c r="S451" s="1904"/>
      <c r="T451" s="1905"/>
      <c r="U451">
        <f>500/3</f>
        <v>166.66666666666666</v>
      </c>
      <c r="V451" s="43" t="s">
        <v>308</v>
      </c>
    </row>
    <row r="452" spans="2:22">
      <c r="B452" s="20" t="s">
        <v>219</v>
      </c>
      <c r="C452" s="270">
        <v>0.1</v>
      </c>
      <c r="D452" s="21"/>
      <c r="E452" s="22">
        <f>ROUNDUP(SUM(E448:E449)*C452,0)</f>
        <v>41</v>
      </c>
      <c r="F452" s="1"/>
      <c r="G452" s="1"/>
      <c r="H452" s="1"/>
      <c r="I452" s="20" t="s">
        <v>219</v>
      </c>
      <c r="J452" s="270">
        <v>0.1</v>
      </c>
      <c r="K452" s="21"/>
      <c r="L452" s="22">
        <f>ROUNDUP(SUM(L448:L449)*J452,0)</f>
        <v>23</v>
      </c>
      <c r="M452" s="1"/>
      <c r="N452" s="1"/>
      <c r="Q452" s="25" t="s">
        <v>14</v>
      </c>
      <c r="R452" s="90" t="s">
        <v>11</v>
      </c>
      <c r="S452" s="90" t="s">
        <v>1</v>
      </c>
      <c r="T452" s="91" t="s">
        <v>2</v>
      </c>
      <c r="U452" s="268">
        <v>167</v>
      </c>
      <c r="V452" s="82" t="s">
        <v>27</v>
      </c>
    </row>
    <row r="453" spans="2:22">
      <c r="B453" s="446" t="s">
        <v>427</v>
      </c>
      <c r="C453" s="40">
        <f>IF(E451&lt;=5000,0.1,IF(E451&lt;=10000,0.06,0.04))+0.05+$C$12</f>
        <v>0.25</v>
      </c>
      <c r="D453" s="41"/>
      <c r="E453" s="42">
        <f>ROUNDUP(E451*C453,0)</f>
        <v>114</v>
      </c>
      <c r="F453" s="454" t="str">
        <f>$F$12</f>
        <v>+3% + 7% material esc.</v>
      </c>
      <c r="I453" s="446" t="s">
        <v>427</v>
      </c>
      <c r="J453" s="40">
        <f>IF(L451&lt;=5000,0.1,IF(L451&lt;=10000,0.06,0.04))+0.05+$C$12</f>
        <v>0.25</v>
      </c>
      <c r="K453" s="41"/>
      <c r="L453" s="42">
        <f>ROUNDUP(L451*J453,0)</f>
        <v>60</v>
      </c>
      <c r="M453" s="454" t="str">
        <f>$F$12</f>
        <v>+3% + 7% material esc.</v>
      </c>
      <c r="Q453" s="47" t="s">
        <v>298</v>
      </c>
      <c r="R453" s="265">
        <v>1</v>
      </c>
      <c r="S453" s="1546">
        <f>51.36+V453</f>
        <v>54.441600000000001</v>
      </c>
      <c r="T453" s="34">
        <f t="shared" ref="T453:T455" si="89">R453*S453</f>
        <v>54.441600000000001</v>
      </c>
      <c r="U453" s="301">
        <f>(8/1600)*U452</f>
        <v>0.83499999999999996</v>
      </c>
      <c r="V453" s="1545">
        <f>51.36*W444</f>
        <v>3.0815999999999999</v>
      </c>
    </row>
    <row r="454" spans="2:22">
      <c r="B454" s="10" t="s">
        <v>3</v>
      </c>
      <c r="C454" s="36"/>
      <c r="D454" s="13"/>
      <c r="E454" s="13">
        <f>SUM(E451:E453)</f>
        <v>608</v>
      </c>
      <c r="F454" s="123">
        <f>E454/F447</f>
        <v>1.216</v>
      </c>
      <c r="G454" s="124" t="s">
        <v>289</v>
      </c>
      <c r="H454" s="1"/>
      <c r="I454" s="10" t="s">
        <v>3</v>
      </c>
      <c r="J454" s="36"/>
      <c r="K454" s="13"/>
      <c r="L454" s="13">
        <f>SUM(L451:L453)</f>
        <v>322</v>
      </c>
      <c r="M454" s="123">
        <f>L454/M447</f>
        <v>3.22</v>
      </c>
      <c r="N454" s="124" t="s">
        <v>289</v>
      </c>
      <c r="Q454" s="69" t="s">
        <v>299</v>
      </c>
      <c r="R454" s="266">
        <v>2</v>
      </c>
      <c r="S454" s="1546">
        <f>164+V454</f>
        <v>173.84</v>
      </c>
      <c r="T454" s="34">
        <f t="shared" si="89"/>
        <v>347.68</v>
      </c>
      <c r="U454" s="301">
        <f>U452/120</f>
        <v>1.3916666666666666</v>
      </c>
      <c r="V454" s="1545">
        <f>164*W444</f>
        <v>9.84</v>
      </c>
    </row>
    <row r="455" spans="2:22">
      <c r="B455" s="1"/>
      <c r="C455" s="32"/>
      <c r="D455" s="7"/>
      <c r="E455" s="7"/>
      <c r="F455" s="1"/>
      <c r="I455" s="1"/>
      <c r="J455" s="32"/>
      <c r="K455" s="7"/>
      <c r="L455" s="7"/>
      <c r="M455" s="1"/>
      <c r="Q455" s="25"/>
      <c r="R455" s="302"/>
      <c r="S455" s="303"/>
      <c r="T455" s="34">
        <f t="shared" si="89"/>
        <v>0</v>
      </c>
      <c r="V455" s="1547" t="s">
        <v>1040</v>
      </c>
    </row>
    <row r="456" spans="2:22">
      <c r="B456" s="75" t="s">
        <v>45</v>
      </c>
      <c r="C456" s="271">
        <v>0</v>
      </c>
      <c r="D456" s="75" t="s">
        <v>46</v>
      </c>
      <c r="E456" s="272">
        <f>F447</f>
        <v>500</v>
      </c>
      <c r="F456" s="1"/>
      <c r="G456" s="273" t="e">
        <f>E456/C456</f>
        <v>#DIV/0!</v>
      </c>
      <c r="I456" s="75" t="s">
        <v>45</v>
      </c>
      <c r="J456" s="271">
        <v>0</v>
      </c>
      <c r="K456" s="75" t="s">
        <v>46</v>
      </c>
      <c r="L456" s="272">
        <f>M447</f>
        <v>100</v>
      </c>
      <c r="M456" s="1"/>
      <c r="N456" s="273" t="e">
        <f>L456/J456</f>
        <v>#DIV/0!</v>
      </c>
      <c r="Q456" s="47"/>
      <c r="R456" s="302"/>
      <c r="S456" s="306"/>
      <c r="T456" s="9">
        <f>R456*S456</f>
        <v>0</v>
      </c>
    </row>
    <row r="457" spans="2:22">
      <c r="B457" s="85" t="s">
        <v>52</v>
      </c>
      <c r="C457" s="68" t="s">
        <v>42</v>
      </c>
      <c r="D457" s="68" t="s">
        <v>47</v>
      </c>
      <c r="E457" s="87" t="s">
        <v>51</v>
      </c>
      <c r="F457" s="76" t="s">
        <v>59</v>
      </c>
      <c r="G457" s="156" t="s">
        <v>290</v>
      </c>
      <c r="H457" s="274"/>
      <c r="I457" s="85" t="s">
        <v>52</v>
      </c>
      <c r="J457" s="68" t="s">
        <v>42</v>
      </c>
      <c r="K457" s="68" t="s">
        <v>47</v>
      </c>
      <c r="L457" s="87" t="s">
        <v>51</v>
      </c>
      <c r="M457" s="76" t="s">
        <v>59</v>
      </c>
      <c r="N457" s="156" t="s">
        <v>290</v>
      </c>
      <c r="Q457" s="10" t="s">
        <v>3</v>
      </c>
      <c r="R457" s="36"/>
      <c r="S457" s="13"/>
      <c r="T457" s="16">
        <f>SUM(T453:T456)</f>
        <v>402.1216</v>
      </c>
    </row>
    <row r="458" spans="2:22">
      <c r="B458" s="69">
        <v>3</v>
      </c>
      <c r="C458" s="1">
        <v>2</v>
      </c>
      <c r="D458" s="523">
        <f>$D$17</f>
        <v>33.5</v>
      </c>
      <c r="E458" s="70">
        <f>B458*C458*D458*8</f>
        <v>1608</v>
      </c>
      <c r="F458" s="76"/>
      <c r="G458" s="157">
        <f>F447/(E458/D458)</f>
        <v>10.416666666666666</v>
      </c>
      <c r="H458" s="154"/>
      <c r="I458" s="69">
        <v>2</v>
      </c>
      <c r="J458" s="1">
        <v>1</v>
      </c>
      <c r="K458" s="523">
        <f>$D$17</f>
        <v>33.5</v>
      </c>
      <c r="L458" s="70">
        <f>I458*J458*K458*8</f>
        <v>536</v>
      </c>
      <c r="M458" s="76"/>
      <c r="N458" s="157">
        <f>M447/(L458/K458)</f>
        <v>6.25</v>
      </c>
    </row>
    <row r="459" spans="2:22">
      <c r="B459" s="69"/>
      <c r="C459" s="1"/>
      <c r="D459" s="523">
        <f>$D$17</f>
        <v>33.5</v>
      </c>
      <c r="E459" s="70">
        <f>B459*C459*D459*8</f>
        <v>0</v>
      </c>
      <c r="F459" s="76"/>
      <c r="G459" s="275" t="e">
        <f>F449/(E459/D459)</f>
        <v>#DIV/0!</v>
      </c>
      <c r="H459" s="154"/>
      <c r="I459" s="69"/>
      <c r="J459" s="1"/>
      <c r="K459" s="523">
        <f>$D$17</f>
        <v>33.5</v>
      </c>
      <c r="L459" s="70">
        <f>I459*J459*K459*8</f>
        <v>0</v>
      </c>
      <c r="M459" s="76"/>
      <c r="N459" s="275" t="e">
        <f>M449/(L459/K459)</f>
        <v>#DIV/0!</v>
      </c>
      <c r="Q459" s="1903" t="s">
        <v>309</v>
      </c>
      <c r="R459" s="1904"/>
      <c r="S459" s="1904"/>
      <c r="T459" s="1905"/>
      <c r="U459">
        <f>100/2</f>
        <v>50</v>
      </c>
      <c r="V459" t="s">
        <v>310</v>
      </c>
    </row>
    <row r="460" spans="2:22">
      <c r="B460" s="86" t="s">
        <v>53</v>
      </c>
      <c r="C460" s="67" t="s">
        <v>44</v>
      </c>
      <c r="D460" s="67" t="s">
        <v>43</v>
      </c>
      <c r="E460" s="71"/>
      <c r="F460" s="1"/>
      <c r="I460" s="86" t="s">
        <v>53</v>
      </c>
      <c r="J460" s="67" t="s">
        <v>44</v>
      </c>
      <c r="K460" s="67" t="s">
        <v>43</v>
      </c>
      <c r="L460" s="71"/>
      <c r="M460" s="1"/>
      <c r="Q460" s="25" t="s">
        <v>14</v>
      </c>
      <c r="R460" s="90" t="s">
        <v>11</v>
      </c>
      <c r="S460" s="90" t="s">
        <v>1</v>
      </c>
      <c r="T460" s="91" t="s">
        <v>2</v>
      </c>
      <c r="U460" s="268">
        <v>50</v>
      </c>
      <c r="V460" s="82" t="s">
        <v>27</v>
      </c>
    </row>
    <row r="461" spans="2:22">
      <c r="B461" s="69">
        <v>0</v>
      </c>
      <c r="C461" s="1">
        <v>0</v>
      </c>
      <c r="D461" s="523">
        <f>$D$20</f>
        <v>33.5</v>
      </c>
      <c r="E461" s="70">
        <f>B461*C461*D461</f>
        <v>0</v>
      </c>
      <c r="F461" s="76"/>
      <c r="I461" s="69">
        <v>0</v>
      </c>
      <c r="J461" s="1">
        <v>0</v>
      </c>
      <c r="K461" s="523">
        <f>$D$20</f>
        <v>33.5</v>
      </c>
      <c r="L461" s="70">
        <f>I461*J461*K461</f>
        <v>0</v>
      </c>
      <c r="M461" s="76"/>
      <c r="Q461" s="47" t="s">
        <v>298</v>
      </c>
      <c r="R461" s="265">
        <v>1</v>
      </c>
      <c r="S461" s="1546">
        <f>51.36+V461</f>
        <v>54.441600000000001</v>
      </c>
      <c r="T461" s="34">
        <f t="shared" ref="T461:T463" si="90">R461*S461</f>
        <v>54.441600000000001</v>
      </c>
      <c r="U461" s="301">
        <f>(8/1600)*U460</f>
        <v>0.25</v>
      </c>
      <c r="V461" s="1545">
        <f>51.36*W444</f>
        <v>3.0815999999999999</v>
      </c>
    </row>
    <row r="462" spans="2:22">
      <c r="B462" s="277" t="s">
        <v>4</v>
      </c>
      <c r="C462" s="278"/>
      <c r="D462" s="278"/>
      <c r="E462" s="279">
        <f>ROUNDUP(SUM(E458:E461),0)</f>
        <v>1608</v>
      </c>
      <c r="F462" s="123">
        <f>E462/E456</f>
        <v>3.2160000000000002</v>
      </c>
      <c r="G462" s="124" t="s">
        <v>291</v>
      </c>
      <c r="H462" s="1"/>
      <c r="I462" s="277" t="s">
        <v>4</v>
      </c>
      <c r="J462" s="278"/>
      <c r="K462" s="278"/>
      <c r="L462" s="279">
        <f>ROUNDUP(SUM(L458:L461),0)</f>
        <v>536</v>
      </c>
      <c r="M462" s="123">
        <f>L462/L456</f>
        <v>5.36</v>
      </c>
      <c r="N462" s="124" t="s">
        <v>291</v>
      </c>
      <c r="Q462" s="69" t="s">
        <v>299</v>
      </c>
      <c r="R462" s="266">
        <v>1</v>
      </c>
      <c r="S462" s="1546">
        <f>164+V462</f>
        <v>173.84</v>
      </c>
      <c r="T462" s="34">
        <f t="shared" si="90"/>
        <v>173.84</v>
      </c>
      <c r="U462" s="301">
        <f>U460/120</f>
        <v>0.41666666666666669</v>
      </c>
      <c r="V462" s="1545">
        <f>164*W444</f>
        <v>9.84</v>
      </c>
    </row>
    <row r="463" spans="2:22">
      <c r="B463" s="1"/>
      <c r="C463" s="32"/>
      <c r="D463" s="7"/>
      <c r="E463" s="7"/>
      <c r="F463" s="7"/>
      <c r="G463" s="1"/>
      <c r="H463" s="1"/>
      <c r="I463" s="1"/>
      <c r="J463" s="32"/>
      <c r="K463" s="7"/>
      <c r="L463" s="7"/>
      <c r="M463" s="7"/>
      <c r="N463" s="1"/>
      <c r="Q463" s="25"/>
      <c r="R463" s="266"/>
      <c r="S463" s="33"/>
      <c r="T463" s="34">
        <f t="shared" si="90"/>
        <v>0</v>
      </c>
      <c r="V463" s="1547" t="s">
        <v>1040</v>
      </c>
    </row>
    <row r="464" spans="2:22">
      <c r="B464" s="5" t="s">
        <v>252</v>
      </c>
      <c r="C464" s="30" t="s">
        <v>11</v>
      </c>
      <c r="D464" s="11" t="s">
        <v>1</v>
      </c>
      <c r="E464" s="12" t="s">
        <v>2</v>
      </c>
      <c r="F464" s="1"/>
      <c r="G464" s="1"/>
      <c r="H464" s="1"/>
      <c r="I464" s="5" t="s">
        <v>252</v>
      </c>
      <c r="J464" s="30" t="s">
        <v>11</v>
      </c>
      <c r="K464" s="11" t="s">
        <v>1</v>
      </c>
      <c r="L464" s="12" t="s">
        <v>2</v>
      </c>
      <c r="M464" s="1"/>
      <c r="N464" s="1"/>
      <c r="Q464" s="47"/>
      <c r="R464" s="265"/>
      <c r="S464" s="7"/>
      <c r="T464" s="9">
        <f>R464*S464</f>
        <v>0</v>
      </c>
    </row>
    <row r="465" spans="2:22">
      <c r="B465" s="6" t="s">
        <v>17</v>
      </c>
      <c r="C465" s="37">
        <v>2</v>
      </c>
      <c r="D465" s="7">
        <v>35</v>
      </c>
      <c r="E465" s="9">
        <f t="shared" ref="E465:E471" si="91">ROUNDUP(C465*D465,0)</f>
        <v>70</v>
      </c>
      <c r="F465" s="1"/>
      <c r="G465" s="1"/>
      <c r="H465" s="1"/>
      <c r="I465" s="6" t="s">
        <v>17</v>
      </c>
      <c r="J465" s="37">
        <v>2</v>
      </c>
      <c r="K465" s="7">
        <v>35</v>
      </c>
      <c r="L465" s="9">
        <f t="shared" ref="L465:L471" si="92">ROUNDUP(J465*K465,0)</f>
        <v>70</v>
      </c>
      <c r="M465" s="1"/>
      <c r="N465" s="1"/>
      <c r="Q465" s="10" t="s">
        <v>3</v>
      </c>
      <c r="R465" s="36"/>
      <c r="S465" s="13"/>
      <c r="T465" s="16">
        <f>SUM(T461:T464)</f>
        <v>228.2816</v>
      </c>
    </row>
    <row r="466" spans="2:22">
      <c r="B466" s="6" t="s">
        <v>75</v>
      </c>
      <c r="C466" s="37">
        <f>E456</f>
        <v>500</v>
      </c>
      <c r="D466" s="7">
        <v>0.33</v>
      </c>
      <c r="E466" s="9">
        <f t="shared" si="91"/>
        <v>165</v>
      </c>
      <c r="F466" s="1"/>
      <c r="G466" s="1"/>
      <c r="H466" s="1"/>
      <c r="I466" s="6" t="s">
        <v>75</v>
      </c>
      <c r="J466" s="37">
        <f>L456</f>
        <v>100</v>
      </c>
      <c r="K466" s="7">
        <v>0.33</v>
      </c>
      <c r="L466" s="9">
        <f t="shared" si="92"/>
        <v>33</v>
      </c>
      <c r="M466" s="1"/>
      <c r="N466" s="1"/>
    </row>
    <row r="467" spans="2:22">
      <c r="B467" s="6" t="s">
        <v>68</v>
      </c>
      <c r="C467" s="37">
        <v>0</v>
      </c>
      <c r="D467" s="7">
        <f>$D$26</f>
        <v>70</v>
      </c>
      <c r="E467" s="9">
        <f t="shared" si="91"/>
        <v>0</v>
      </c>
      <c r="F467" s="1"/>
      <c r="G467" s="1"/>
      <c r="H467" s="1"/>
      <c r="I467" s="6" t="s">
        <v>68</v>
      </c>
      <c r="J467" s="37">
        <v>0</v>
      </c>
      <c r="K467" s="7">
        <f>$D$26</f>
        <v>70</v>
      </c>
      <c r="L467" s="9">
        <f t="shared" si="92"/>
        <v>0</v>
      </c>
      <c r="M467" s="1"/>
      <c r="N467" s="1"/>
      <c r="Q467" s="1903" t="s">
        <v>311</v>
      </c>
      <c r="R467" s="1904"/>
      <c r="S467" s="1904"/>
      <c r="T467" s="1905"/>
      <c r="U467">
        <f>500/2</f>
        <v>250</v>
      </c>
      <c r="V467" t="s">
        <v>312</v>
      </c>
    </row>
    <row r="468" spans="2:22">
      <c r="B468" s="6" t="s">
        <v>69</v>
      </c>
      <c r="C468" s="37">
        <f>C467</f>
        <v>0</v>
      </c>
      <c r="D468" s="7">
        <f>$D$27</f>
        <v>45</v>
      </c>
      <c r="E468" s="9">
        <f t="shared" si="91"/>
        <v>0</v>
      </c>
      <c r="F468" s="43"/>
      <c r="G468" s="1"/>
      <c r="H468" s="1"/>
      <c r="I468" s="6" t="s">
        <v>69</v>
      </c>
      <c r="J468" s="37">
        <f>J467</f>
        <v>0</v>
      </c>
      <c r="K468" s="7">
        <f>$D$27</f>
        <v>45</v>
      </c>
      <c r="L468" s="9">
        <f t="shared" si="92"/>
        <v>0</v>
      </c>
      <c r="M468" s="43"/>
      <c r="N468" s="1"/>
      <c r="Q468" s="25" t="s">
        <v>14</v>
      </c>
      <c r="R468" s="90" t="s">
        <v>11</v>
      </c>
      <c r="S468" s="90" t="s">
        <v>1</v>
      </c>
      <c r="T468" s="91" t="s">
        <v>2</v>
      </c>
      <c r="U468" s="268">
        <v>250</v>
      </c>
      <c r="V468" s="82" t="s">
        <v>27</v>
      </c>
    </row>
    <row r="469" spans="2:22">
      <c r="B469" s="6" t="s">
        <v>253</v>
      </c>
      <c r="C469" s="37">
        <f>(E462/8)/D458</f>
        <v>6</v>
      </c>
      <c r="D469" s="7">
        <f>$D$28</f>
        <v>14</v>
      </c>
      <c r="E469" s="9">
        <f t="shared" si="91"/>
        <v>84</v>
      </c>
      <c r="F469" s="43"/>
      <c r="G469" s="1"/>
      <c r="H469" s="1"/>
      <c r="I469" s="6" t="s">
        <v>253</v>
      </c>
      <c r="J469" s="37">
        <f>(L462/8)/K458</f>
        <v>2</v>
      </c>
      <c r="K469" s="7">
        <f>$D$28</f>
        <v>14</v>
      </c>
      <c r="L469" s="9">
        <f t="shared" si="92"/>
        <v>28</v>
      </c>
      <c r="M469" s="43"/>
      <c r="N469" s="1"/>
      <c r="Q469" s="47" t="s">
        <v>298</v>
      </c>
      <c r="R469" s="265">
        <v>2</v>
      </c>
      <c r="S469" s="1546">
        <f>51.36+V469</f>
        <v>54.441600000000001</v>
      </c>
      <c r="T469" s="34">
        <f t="shared" ref="T469:T471" si="93">R469*S469</f>
        <v>108.8832</v>
      </c>
      <c r="U469" s="301">
        <f>(8/1600)*U468</f>
        <v>1.25</v>
      </c>
      <c r="V469" s="1545">
        <f>51.36*W444</f>
        <v>3.0815999999999999</v>
      </c>
    </row>
    <row r="470" spans="2:22">
      <c r="B470" s="6" t="s">
        <v>254</v>
      </c>
      <c r="C470" s="37"/>
      <c r="D470" s="7">
        <v>0.04</v>
      </c>
      <c r="E470" s="9">
        <f t="shared" si="91"/>
        <v>0</v>
      </c>
      <c r="F470" s="1"/>
      <c r="G470" s="1"/>
      <c r="H470" s="1"/>
      <c r="I470" s="6" t="s">
        <v>254</v>
      </c>
      <c r="J470" s="37"/>
      <c r="K470" s="7">
        <v>0.04</v>
      </c>
      <c r="L470" s="9">
        <f t="shared" si="92"/>
        <v>0</v>
      </c>
      <c r="M470" s="1"/>
      <c r="N470" s="1"/>
      <c r="Q470" s="69" t="s">
        <v>299</v>
      </c>
      <c r="R470" s="266">
        <v>3</v>
      </c>
      <c r="S470" s="1546">
        <f>164+V470</f>
        <v>173.84</v>
      </c>
      <c r="T470" s="34">
        <f t="shared" si="93"/>
        <v>521.52</v>
      </c>
      <c r="U470" s="301">
        <f>U468/120</f>
        <v>2.0833333333333335</v>
      </c>
      <c r="V470" s="1545">
        <f>164*W444</f>
        <v>9.84</v>
      </c>
    </row>
    <row r="471" spans="2:22">
      <c r="B471" s="6" t="s">
        <v>28</v>
      </c>
      <c r="C471" s="37"/>
      <c r="D471" s="7"/>
      <c r="E471" s="9">
        <f t="shared" si="91"/>
        <v>0</v>
      </c>
      <c r="F471" s="1"/>
      <c r="G471" s="1"/>
      <c r="H471" s="1"/>
      <c r="I471" s="6" t="s">
        <v>28</v>
      </c>
      <c r="J471" s="37"/>
      <c r="K471" s="7"/>
      <c r="L471" s="9">
        <f t="shared" si="92"/>
        <v>0</v>
      </c>
      <c r="M471" s="1"/>
      <c r="N471" s="1"/>
      <c r="Q471" s="25"/>
      <c r="R471" s="266"/>
      <c r="S471" s="33"/>
      <c r="T471" s="34">
        <f t="shared" si="93"/>
        <v>0</v>
      </c>
      <c r="U471" s="301"/>
      <c r="V471" s="1547" t="s">
        <v>1040</v>
      </c>
    </row>
    <row r="472" spans="2:22">
      <c r="B472" s="10" t="s">
        <v>255</v>
      </c>
      <c r="C472" s="36"/>
      <c r="D472" s="13"/>
      <c r="E472" s="16">
        <f>SUM(E465:E471)</f>
        <v>319</v>
      </c>
      <c r="F472" s="1"/>
      <c r="G472" s="1"/>
      <c r="H472" s="1"/>
      <c r="I472" s="10" t="s">
        <v>255</v>
      </c>
      <c r="J472" s="36"/>
      <c r="K472" s="13"/>
      <c r="L472" s="16">
        <f>SUM(L465:L471)</f>
        <v>131</v>
      </c>
      <c r="M472" s="1"/>
      <c r="N472" s="1"/>
      <c r="Q472" s="47"/>
      <c r="R472" s="265"/>
      <c r="S472" s="7"/>
      <c r="T472" s="9">
        <f>R472*S472</f>
        <v>0</v>
      </c>
    </row>
    <row r="473" spans="2:22">
      <c r="B473" s="1"/>
      <c r="C473" s="32"/>
      <c r="D473" s="7"/>
      <c r="E473" s="7"/>
      <c r="F473" s="1"/>
      <c r="G473" s="1"/>
      <c r="H473" s="1"/>
      <c r="I473" s="1"/>
      <c r="J473" s="32"/>
      <c r="K473" s="7"/>
      <c r="L473" s="7"/>
      <c r="M473" s="1"/>
      <c r="N473" s="1"/>
      <c r="Q473" s="10" t="s">
        <v>3</v>
      </c>
      <c r="R473" s="36"/>
      <c r="S473" s="13"/>
      <c r="T473" s="16">
        <f>SUM(T469:T472)</f>
        <v>630.40319999999997</v>
      </c>
    </row>
    <row r="474" spans="2:22">
      <c r="B474" s="1"/>
      <c r="C474" s="32"/>
      <c r="D474" s="7"/>
      <c r="E474" s="7"/>
      <c r="F474" s="1"/>
      <c r="G474" s="1"/>
      <c r="H474" s="1"/>
      <c r="I474" s="1"/>
      <c r="J474" s="32"/>
      <c r="K474" s="7"/>
      <c r="L474" s="7"/>
      <c r="M474" s="1"/>
      <c r="N474" s="1"/>
    </row>
    <row r="475" spans="2:22">
      <c r="B475" s="280" t="s">
        <v>9</v>
      </c>
      <c r="C475" s="281"/>
      <c r="D475" s="282"/>
      <c r="E475" s="283">
        <f>SUM(E454,E462,E472)</f>
        <v>2535</v>
      </c>
      <c r="F475" s="1"/>
      <c r="G475" s="1"/>
      <c r="H475" s="1"/>
      <c r="I475" s="280" t="s">
        <v>9</v>
      </c>
      <c r="J475" s="281"/>
      <c r="K475" s="282"/>
      <c r="L475" s="283">
        <f>SUM(L454,L462,L472)</f>
        <v>989</v>
      </c>
      <c r="M475" s="1"/>
      <c r="N475" s="1"/>
    </row>
    <row r="476" spans="2:22">
      <c r="B476" s="1"/>
      <c r="C476" s="32"/>
      <c r="D476" s="7"/>
      <c r="E476" s="7"/>
      <c r="F476" s="1"/>
      <c r="G476" s="1"/>
      <c r="H476" s="1"/>
      <c r="I476" s="1"/>
      <c r="J476" s="32"/>
      <c r="K476" s="7"/>
      <c r="L476" s="7"/>
      <c r="M476" s="1"/>
      <c r="N476" s="1"/>
    </row>
    <row r="477" spans="2:22">
      <c r="B477" s="5" t="s">
        <v>8</v>
      </c>
      <c r="C477" s="30" t="s">
        <v>7</v>
      </c>
      <c r="D477" s="14"/>
      <c r="E477" s="12"/>
      <c r="F477" s="1"/>
      <c r="G477" s="1"/>
      <c r="H477" s="1"/>
      <c r="I477" s="5" t="s">
        <v>8</v>
      </c>
      <c r="J477" s="30" t="s">
        <v>7</v>
      </c>
      <c r="K477" s="14"/>
      <c r="L477" s="12"/>
      <c r="M477" s="1"/>
      <c r="N477" s="1"/>
    </row>
    <row r="478" spans="2:22">
      <c r="B478" s="6" t="s">
        <v>15</v>
      </c>
      <c r="C478" s="208">
        <f>$C$37</f>
        <v>9.4750000000000001E-2</v>
      </c>
      <c r="D478" s="209"/>
      <c r="E478" s="9">
        <f>ROUNDUP(SUM(E454:E454)*C478,0)</f>
        <v>58</v>
      </c>
      <c r="F478" s="1"/>
      <c r="G478" s="1"/>
      <c r="H478" s="1"/>
      <c r="I478" s="6" t="s">
        <v>15</v>
      </c>
      <c r="J478" s="208">
        <f>$C$37</f>
        <v>9.4750000000000001E-2</v>
      </c>
      <c r="K478" s="209"/>
      <c r="L478" s="9">
        <f>ROUNDUP(SUM(L454:L454)*J478,0)</f>
        <v>31</v>
      </c>
      <c r="M478" s="1"/>
      <c r="N478" s="1"/>
    </row>
    <row r="479" spans="2:22">
      <c r="B479" s="6" t="s">
        <v>74</v>
      </c>
      <c r="C479" s="241">
        <v>0.08</v>
      </c>
      <c r="D479" s="209"/>
      <c r="E479" s="9">
        <f>ROUNDUP(SUM(E462)*C479,0)</f>
        <v>129</v>
      </c>
      <c r="F479" s="1"/>
      <c r="G479" s="1"/>
      <c r="H479" s="1"/>
      <c r="I479" s="6" t="s">
        <v>74</v>
      </c>
      <c r="J479" s="241">
        <v>0.08</v>
      </c>
      <c r="K479" s="209"/>
      <c r="L479" s="9">
        <f>ROUNDUP(SUM(L462)*J479,0)</f>
        <v>43</v>
      </c>
      <c r="M479" s="1"/>
      <c r="N479" s="1"/>
    </row>
    <row r="480" spans="2:22">
      <c r="B480" s="6" t="s">
        <v>256</v>
      </c>
      <c r="C480" s="122">
        <f>IF(E454&lt;=5000,0.1,0.05)</f>
        <v>0.1</v>
      </c>
      <c r="D480" s="7"/>
      <c r="E480" s="9">
        <f>ROUNDUP(E454*C480,0)</f>
        <v>61</v>
      </c>
      <c r="F480" s="1"/>
      <c r="G480" s="1"/>
      <c r="H480" s="1"/>
      <c r="I480" s="6" t="s">
        <v>256</v>
      </c>
      <c r="J480" s="122">
        <f>IF(L454&lt;=5000,0.1,0.05)</f>
        <v>0.1</v>
      </c>
      <c r="K480" s="7"/>
      <c r="L480" s="9">
        <f>ROUNDUP(L454*J480,0)</f>
        <v>33</v>
      </c>
      <c r="M480" s="1"/>
      <c r="N480" s="1"/>
    </row>
    <row r="481" spans="2:23">
      <c r="B481" s="6" t="s">
        <v>257</v>
      </c>
      <c r="C481" s="122">
        <v>0.2</v>
      </c>
      <c r="D481" s="7"/>
      <c r="E481" s="9">
        <f>ROUNDUP(E462*C481,0)</f>
        <v>322</v>
      </c>
      <c r="F481" s="1"/>
      <c r="G481" s="1"/>
      <c r="H481" s="1"/>
      <c r="I481" s="6" t="s">
        <v>257</v>
      </c>
      <c r="J481" s="122">
        <v>0.2</v>
      </c>
      <c r="K481" s="7"/>
      <c r="L481" s="9">
        <f>ROUNDUP(L462*J481,0)</f>
        <v>108</v>
      </c>
      <c r="M481" s="1"/>
      <c r="N481" s="1"/>
    </row>
    <row r="482" spans="2:23">
      <c r="B482" s="6" t="s">
        <v>258</v>
      </c>
      <c r="C482" s="122">
        <v>0.4</v>
      </c>
      <c r="D482" s="7"/>
      <c r="E482" s="9">
        <f>ROUNDUP(SUM(E475:E481)*C482,0)</f>
        <v>1242</v>
      </c>
      <c r="F482" s="1"/>
      <c r="G482" s="1"/>
      <c r="H482" s="1"/>
      <c r="I482" s="6" t="s">
        <v>258</v>
      </c>
      <c r="J482" s="122">
        <v>0.4</v>
      </c>
      <c r="K482" s="7"/>
      <c r="L482" s="9">
        <f>ROUNDUP(SUM(L475:L481)*J482,0)</f>
        <v>482</v>
      </c>
      <c r="M482" s="1"/>
      <c r="N482" s="1"/>
    </row>
    <row r="483" spans="2:23">
      <c r="B483" s="284" t="str">
        <f>$B$42</f>
        <v>Kansas Remodel Tax</v>
      </c>
      <c r="C483" s="241">
        <f>$C$42</f>
        <v>0</v>
      </c>
      <c r="D483" s="7"/>
      <c r="E483" s="9">
        <f>ROUNDUP(SUM(E462,E479:E482)*C483,0)</f>
        <v>0</v>
      </c>
      <c r="F483" s="1"/>
      <c r="G483" s="1"/>
      <c r="H483" s="1"/>
      <c r="I483" s="284" t="str">
        <f>$B$42</f>
        <v>Kansas Remodel Tax</v>
      </c>
      <c r="J483" s="241">
        <f>$C$42</f>
        <v>0</v>
      </c>
      <c r="K483" s="7"/>
      <c r="L483" s="9">
        <f>ROUNDUP(SUM(L462,L479:L482)*J483,0)</f>
        <v>0</v>
      </c>
      <c r="M483" s="1"/>
      <c r="N483" s="1"/>
    </row>
    <row r="484" spans="2:23">
      <c r="B484" s="403" t="s">
        <v>398</v>
      </c>
      <c r="C484" s="241">
        <f>$C$43</f>
        <v>0.05</v>
      </c>
      <c r="D484" s="7"/>
      <c r="E484" s="9">
        <f>ROUNDUP(C484*SUM(E475:E483),0)</f>
        <v>218</v>
      </c>
      <c r="F484" s="1"/>
      <c r="G484" s="1"/>
      <c r="H484" s="1"/>
      <c r="I484" s="403" t="s">
        <v>398</v>
      </c>
      <c r="J484" s="241">
        <f>$C$43</f>
        <v>0.05</v>
      </c>
      <c r="K484" s="7"/>
      <c r="L484" s="9">
        <f>ROUNDUP(J484*SUM(L475:L483),0)</f>
        <v>85</v>
      </c>
      <c r="M484" s="1"/>
      <c r="N484" s="1"/>
    </row>
    <row r="485" spans="2:23">
      <c r="B485" s="45" t="s">
        <v>20</v>
      </c>
      <c r="C485" s="46">
        <f>$C$44</f>
        <v>0</v>
      </c>
      <c r="D485" s="15"/>
      <c r="E485" s="210">
        <f>ROUNDUP(SUM(E475:E484)*C485,0)</f>
        <v>0</v>
      </c>
      <c r="F485" s="1"/>
      <c r="G485" s="1"/>
      <c r="H485" s="1"/>
      <c r="I485" s="45" t="s">
        <v>20</v>
      </c>
      <c r="J485" s="46">
        <f>$C$44</f>
        <v>0</v>
      </c>
      <c r="K485" s="15"/>
      <c r="L485" s="210">
        <f>ROUNDUP(SUM(L475:L484)*J485,0)</f>
        <v>0</v>
      </c>
      <c r="M485" s="1"/>
      <c r="N485" s="1"/>
    </row>
    <row r="486" spans="2:23">
      <c r="B486" s="1"/>
      <c r="C486" s="8"/>
      <c r="D486" s="7"/>
      <c r="E486" s="7"/>
      <c r="F486" s="1"/>
      <c r="G486" s="286" t="s">
        <v>70</v>
      </c>
      <c r="H486" s="32"/>
      <c r="I486" s="1"/>
      <c r="J486" s="8"/>
      <c r="K486" s="7"/>
      <c r="L486" s="7"/>
      <c r="M486" s="1"/>
      <c r="N486" s="286" t="s">
        <v>70</v>
      </c>
    </row>
    <row r="487" spans="2:23" ht="16.2" thickBot="1">
      <c r="B487" s="1"/>
      <c r="C487" s="287" t="s">
        <v>269</v>
      </c>
      <c r="D487" s="288">
        <f>E456</f>
        <v>500</v>
      </c>
      <c r="E487" s="7"/>
      <c r="F487" s="38" t="s">
        <v>18</v>
      </c>
      <c r="G487" s="131">
        <f>SUM(E480:E482)</f>
        <v>1625</v>
      </c>
      <c r="H487" s="7"/>
      <c r="I487" s="1"/>
      <c r="J487" s="287" t="s">
        <v>269</v>
      </c>
      <c r="K487" s="288">
        <f>L456</f>
        <v>100</v>
      </c>
      <c r="L487" s="7"/>
      <c r="M487" s="38" t="s">
        <v>18</v>
      </c>
      <c r="N487" s="131">
        <f>SUM(L480:L482)</f>
        <v>623</v>
      </c>
    </row>
    <row r="488" spans="2:23" ht="16.2" thickBot="1">
      <c r="B488" s="289" t="s">
        <v>6</v>
      </c>
      <c r="C488" s="290"/>
      <c r="D488" s="291">
        <f>E488/E456</f>
        <v>9.1300000000000008</v>
      </c>
      <c r="E488" s="292">
        <f>SUM(E475:E485)</f>
        <v>4565</v>
      </c>
      <c r="F488" s="7">
        <f>E488-E478-E483</f>
        <v>4507</v>
      </c>
      <c r="G488" s="293">
        <f>G487/E488</f>
        <v>0.35596933187294633</v>
      </c>
      <c r="H488" s="294"/>
      <c r="I488" s="289" t="s">
        <v>6</v>
      </c>
      <c r="J488" s="290"/>
      <c r="K488" s="291">
        <f>L488/L456</f>
        <v>17.71</v>
      </c>
      <c r="L488" s="292">
        <f>SUM(L475:L485)</f>
        <v>1771</v>
      </c>
      <c r="M488" s="7">
        <f>L488-L478-L483</f>
        <v>1740</v>
      </c>
      <c r="N488" s="293">
        <f>N487/L488</f>
        <v>0.35177865612648224</v>
      </c>
    </row>
    <row r="489" spans="2:23">
      <c r="B489" s="1"/>
      <c r="C489" s="1" t="s">
        <v>5</v>
      </c>
      <c r="D489" s="7">
        <f>E489/E456</f>
        <v>9.1300000000000008</v>
      </c>
      <c r="E489" s="7">
        <f>E488-E483</f>
        <v>4565</v>
      </c>
      <c r="F489" t="s">
        <v>263</v>
      </c>
      <c r="G489" s="295" t="str">
        <f>IF(G488&lt;=0.25,"OWNER APPROVAL REQUIRED","GP % Okay")</f>
        <v>GP % Okay</v>
      </c>
      <c r="H489" s="296"/>
      <c r="I489" s="1"/>
      <c r="J489" s="1" t="s">
        <v>5</v>
      </c>
      <c r="K489" s="7">
        <f>L489/L456</f>
        <v>17.71</v>
      </c>
      <c r="L489" s="7">
        <f>L488-L483</f>
        <v>1771</v>
      </c>
      <c r="M489" t="s">
        <v>263</v>
      </c>
      <c r="N489" s="295" t="str">
        <f>IF(N488&lt;=0.25,"OWNER APPROVAL REQUIRED","GP % Okay")</f>
        <v>GP % Okay</v>
      </c>
    </row>
    <row r="492" spans="2:23">
      <c r="B492" s="1903" t="s">
        <v>313</v>
      </c>
      <c r="C492" s="1904"/>
      <c r="D492" s="1904"/>
      <c r="E492" s="1905"/>
      <c r="F492" s="262">
        <f>D537</f>
        <v>10.214</v>
      </c>
      <c r="G492" s="263" t="s">
        <v>287</v>
      </c>
      <c r="I492" s="1903" t="s">
        <v>314</v>
      </c>
      <c r="J492" s="1904"/>
      <c r="K492" s="1904"/>
      <c r="L492" s="1905"/>
      <c r="M492" s="262">
        <f>K537</f>
        <v>18.48</v>
      </c>
      <c r="N492" s="263" t="s">
        <v>287</v>
      </c>
      <c r="Q492" s="1903" t="s">
        <v>296</v>
      </c>
      <c r="R492" s="1904"/>
      <c r="S492" s="1904"/>
      <c r="T492" s="1905"/>
      <c r="U492">
        <f>100/3</f>
        <v>33.333333333333336</v>
      </c>
      <c r="V492" s="43" t="s">
        <v>297</v>
      </c>
    </row>
    <row r="493" spans="2:23">
      <c r="B493" s="25" t="s">
        <v>14</v>
      </c>
      <c r="C493" s="90" t="s">
        <v>11</v>
      </c>
      <c r="D493" s="90" t="s">
        <v>1</v>
      </c>
      <c r="E493" s="91" t="s">
        <v>2</v>
      </c>
      <c r="F493" s="23"/>
      <c r="G493" s="89"/>
      <c r="H493" s="264"/>
      <c r="I493" s="25" t="s">
        <v>14</v>
      </c>
      <c r="J493" s="90" t="s">
        <v>11</v>
      </c>
      <c r="K493" s="90" t="s">
        <v>1</v>
      </c>
      <c r="L493" s="91" t="s">
        <v>2</v>
      </c>
      <c r="M493" s="23"/>
      <c r="N493" s="89"/>
      <c r="Q493" s="25" t="s">
        <v>14</v>
      </c>
      <c r="R493" s="90" t="s">
        <v>11</v>
      </c>
      <c r="S493" s="90" t="s">
        <v>1</v>
      </c>
      <c r="T493" s="91" t="s">
        <v>2</v>
      </c>
      <c r="U493" s="268">
        <v>34</v>
      </c>
      <c r="V493" s="82" t="s">
        <v>27</v>
      </c>
      <c r="W493" s="1549">
        <f>W444</f>
        <v>0.06</v>
      </c>
    </row>
    <row r="494" spans="2:23">
      <c r="B494" s="44"/>
      <c r="C494" s="265">
        <f>F496</f>
        <v>500</v>
      </c>
      <c r="D494" s="33">
        <v>0.1</v>
      </c>
      <c r="E494" s="34">
        <f t="shared" ref="E494:E495" si="94">C494*D494</f>
        <v>50</v>
      </c>
      <c r="F494" s="1"/>
      <c r="G494" s="1"/>
      <c r="H494" s="1"/>
      <c r="I494" s="44"/>
      <c r="J494" s="265">
        <f>M496</f>
        <v>100</v>
      </c>
      <c r="K494" s="33">
        <v>0.1</v>
      </c>
      <c r="L494" s="34">
        <f t="shared" ref="L494:L495" si="95">J494*K494</f>
        <v>10</v>
      </c>
      <c r="M494" s="1"/>
      <c r="N494" s="1"/>
      <c r="Q494" s="47" t="s">
        <v>298</v>
      </c>
      <c r="R494" s="265">
        <v>1</v>
      </c>
      <c r="S494" s="1546">
        <f>51.36+V494</f>
        <v>54.441600000000001</v>
      </c>
      <c r="T494" s="34">
        <f t="shared" ref="T494:T496" si="96">R494*S494</f>
        <v>54.441600000000001</v>
      </c>
      <c r="U494" s="301">
        <f>(8/1600)*U493</f>
        <v>0.17</v>
      </c>
      <c r="V494" s="1545">
        <f>51.36*W493</f>
        <v>3.0815999999999999</v>
      </c>
    </row>
    <row r="495" spans="2:23">
      <c r="B495" s="44"/>
      <c r="C495" s="266"/>
      <c r="D495" s="33"/>
      <c r="E495" s="34">
        <f t="shared" si="94"/>
        <v>0</v>
      </c>
      <c r="F495" s="1"/>
      <c r="G495" s="1"/>
      <c r="H495" s="1"/>
      <c r="I495" s="44"/>
      <c r="J495" s="266"/>
      <c r="K495" s="33"/>
      <c r="L495" s="34">
        <f t="shared" si="95"/>
        <v>0</v>
      </c>
      <c r="M495" s="1"/>
      <c r="N495" s="1"/>
      <c r="Q495" s="69" t="s">
        <v>299</v>
      </c>
      <c r="R495" s="266">
        <v>1</v>
      </c>
      <c r="S495" s="1546">
        <f>164+V495</f>
        <v>173.84</v>
      </c>
      <c r="T495" s="34">
        <f t="shared" si="96"/>
        <v>173.84</v>
      </c>
      <c r="U495" s="301">
        <f>U493/120</f>
        <v>0.28333333333333333</v>
      </c>
      <c r="V495" s="1545">
        <f>164*W493</f>
        <v>9.84</v>
      </c>
    </row>
    <row r="496" spans="2:23">
      <c r="B496" s="25" t="s">
        <v>12</v>
      </c>
      <c r="C496" s="267"/>
      <c r="D496" s="23"/>
      <c r="E496" s="29"/>
      <c r="F496" s="268">
        <v>500</v>
      </c>
      <c r="G496" s="82" t="s">
        <v>48</v>
      </c>
      <c r="H496" s="1"/>
      <c r="I496" s="25" t="s">
        <v>12</v>
      </c>
      <c r="J496" s="267"/>
      <c r="K496" s="23"/>
      <c r="L496" s="29"/>
      <c r="M496" s="268">
        <v>100</v>
      </c>
      <c r="N496" s="82" t="s">
        <v>48</v>
      </c>
      <c r="Q496" s="25"/>
      <c r="R496" s="302"/>
      <c r="S496" s="303"/>
      <c r="T496" s="34">
        <f t="shared" si="96"/>
        <v>0</v>
      </c>
      <c r="V496" s="1547" t="s">
        <v>1040</v>
      </c>
    </row>
    <row r="497" spans="2:22">
      <c r="B497" s="47" t="s">
        <v>300</v>
      </c>
      <c r="C497" s="300"/>
      <c r="D497" s="7">
        <f>T506</f>
        <v>402.1216</v>
      </c>
      <c r="E497" s="9">
        <f>C497*D497</f>
        <v>0</v>
      </c>
      <c r="F497" s="304">
        <v>167</v>
      </c>
      <c r="G497" s="305" t="s">
        <v>301</v>
      </c>
      <c r="H497" s="1"/>
      <c r="I497" s="47" t="s">
        <v>300</v>
      </c>
      <c r="J497" s="300"/>
      <c r="K497" s="7">
        <f>T498</f>
        <v>228.2816</v>
      </c>
      <c r="L497" s="9">
        <f>J497*K497</f>
        <v>0</v>
      </c>
      <c r="M497" s="304">
        <v>34</v>
      </c>
      <c r="N497" s="305" t="s">
        <v>302</v>
      </c>
      <c r="Q497" s="47"/>
      <c r="R497" s="302"/>
      <c r="S497" s="306"/>
      <c r="T497" s="9">
        <f>R497*S497</f>
        <v>0</v>
      </c>
    </row>
    <row r="498" spans="2:22">
      <c r="B498" s="47" t="s">
        <v>303</v>
      </c>
      <c r="C498" s="300">
        <v>1</v>
      </c>
      <c r="D498" s="7">
        <f>T522</f>
        <v>630.40319999999997</v>
      </c>
      <c r="E498" s="9">
        <f t="shared" ref="E498:E499" si="97">C498*D498</f>
        <v>630.40319999999997</v>
      </c>
      <c r="F498" s="304">
        <v>250</v>
      </c>
      <c r="G498" s="305" t="s">
        <v>304</v>
      </c>
      <c r="H498" s="1"/>
      <c r="I498" s="47" t="s">
        <v>303</v>
      </c>
      <c r="J498" s="300">
        <v>1</v>
      </c>
      <c r="K498" s="7">
        <f>T514</f>
        <v>228.2816</v>
      </c>
      <c r="L498" s="9">
        <f t="shared" ref="L498:L499" si="98">J498*K498</f>
        <v>228.2816</v>
      </c>
      <c r="M498" s="304">
        <v>50</v>
      </c>
      <c r="N498" s="305" t="s">
        <v>305</v>
      </c>
      <c r="Q498" s="10" t="s">
        <v>3</v>
      </c>
      <c r="R498" s="36"/>
      <c r="S498" s="13"/>
      <c r="T498" s="16">
        <f>SUM(T494:T497)</f>
        <v>228.2816</v>
      </c>
    </row>
    <row r="499" spans="2:22">
      <c r="B499" s="48"/>
      <c r="C499" s="269"/>
      <c r="D499" s="26"/>
      <c r="E499" s="27">
        <f t="shared" si="97"/>
        <v>0</v>
      </c>
      <c r="F499" s="1"/>
      <c r="G499" s="1"/>
      <c r="H499" s="1"/>
      <c r="I499" s="48"/>
      <c r="J499" s="269"/>
      <c r="K499" s="26"/>
      <c r="L499" s="27">
        <f t="shared" si="98"/>
        <v>0</v>
      </c>
      <c r="M499" s="1"/>
      <c r="N499" s="1"/>
    </row>
    <row r="500" spans="2:22">
      <c r="B500" s="17" t="s">
        <v>10</v>
      </c>
      <c r="C500" s="35"/>
      <c r="D500" s="18"/>
      <c r="E500" s="19">
        <f>ROUNDUP(SUM(E494:E499),0)</f>
        <v>681</v>
      </c>
      <c r="F500" s="1"/>
      <c r="G500" s="307" t="s">
        <v>306</v>
      </c>
      <c r="H500" s="1"/>
      <c r="I500" s="17" t="s">
        <v>10</v>
      </c>
      <c r="J500" s="35"/>
      <c r="K500" s="18"/>
      <c r="L500" s="19">
        <f>ROUNDUP(SUM(L494:L499),0)</f>
        <v>239</v>
      </c>
      <c r="M500" s="1"/>
      <c r="N500" s="307" t="s">
        <v>306</v>
      </c>
      <c r="Q500" s="1903" t="s">
        <v>307</v>
      </c>
      <c r="R500" s="1904"/>
      <c r="S500" s="1904"/>
      <c r="T500" s="1905"/>
      <c r="U500">
        <f>500/3</f>
        <v>166.66666666666666</v>
      </c>
      <c r="V500" s="43" t="s">
        <v>308</v>
      </c>
    </row>
    <row r="501" spans="2:22">
      <c r="B501" s="20" t="s">
        <v>219</v>
      </c>
      <c r="C501" s="270">
        <v>0.1</v>
      </c>
      <c r="D501" s="21"/>
      <c r="E501" s="22">
        <f>ROUNDUP(SUM(E497:E498)*C501,0)</f>
        <v>64</v>
      </c>
      <c r="F501" s="1"/>
      <c r="G501" s="1"/>
      <c r="H501" s="1"/>
      <c r="I501" s="20" t="s">
        <v>219</v>
      </c>
      <c r="J501" s="270">
        <v>0.1</v>
      </c>
      <c r="K501" s="21"/>
      <c r="L501" s="22">
        <f>ROUNDUP(SUM(L497:L498)*J501,0)</f>
        <v>23</v>
      </c>
      <c r="M501" s="1"/>
      <c r="N501" s="1"/>
      <c r="Q501" s="25" t="s">
        <v>14</v>
      </c>
      <c r="R501" s="90" t="s">
        <v>11</v>
      </c>
      <c r="S501" s="90" t="s">
        <v>1</v>
      </c>
      <c r="T501" s="91" t="s">
        <v>2</v>
      </c>
      <c r="U501" s="268">
        <v>167</v>
      </c>
      <c r="V501" s="82" t="s">
        <v>27</v>
      </c>
    </row>
    <row r="502" spans="2:22">
      <c r="B502" s="446" t="s">
        <v>427</v>
      </c>
      <c r="C502" s="40">
        <f>IF(E500&lt;=5000,0.1,IF(E500&lt;=10000,0.06,0.04))+0.05+$C$12</f>
        <v>0.25</v>
      </c>
      <c r="D502" s="41"/>
      <c r="E502" s="42">
        <f>ROUNDUP(E500*C502,0)</f>
        <v>171</v>
      </c>
      <c r="F502" s="454" t="str">
        <f>$F$12</f>
        <v>+3% + 7% material esc.</v>
      </c>
      <c r="I502" s="446" t="s">
        <v>427</v>
      </c>
      <c r="J502" s="40">
        <f>IF(L500&lt;=5000,0.1,IF(L500&lt;=10000,0.06,0.04))+0.05+$C$12</f>
        <v>0.25</v>
      </c>
      <c r="K502" s="41"/>
      <c r="L502" s="42">
        <f>ROUNDUP(L500*J502,0)</f>
        <v>60</v>
      </c>
      <c r="M502" s="454" t="str">
        <f>$F$12</f>
        <v>+3% + 7% material esc.</v>
      </c>
      <c r="Q502" s="47" t="s">
        <v>298</v>
      </c>
      <c r="R502" s="265">
        <v>1</v>
      </c>
      <c r="S502" s="1546">
        <f>51.36+V502</f>
        <v>54.441600000000001</v>
      </c>
      <c r="T502" s="34">
        <f t="shared" ref="T502:T504" si="99">R502*S502</f>
        <v>54.441600000000001</v>
      </c>
      <c r="U502" s="301">
        <f>(8/1600)*U501</f>
        <v>0.83499999999999996</v>
      </c>
      <c r="V502" s="1545">
        <f>51.36*W493</f>
        <v>3.0815999999999999</v>
      </c>
    </row>
    <row r="503" spans="2:22">
      <c r="B503" s="10" t="s">
        <v>3</v>
      </c>
      <c r="C503" s="36"/>
      <c r="D503" s="13"/>
      <c r="E503" s="13">
        <f>SUM(E500:E502)</f>
        <v>916</v>
      </c>
      <c r="F503" s="123">
        <f>E503/F496</f>
        <v>1.8320000000000001</v>
      </c>
      <c r="G503" s="124" t="s">
        <v>289</v>
      </c>
      <c r="H503" s="1"/>
      <c r="I503" s="10" t="s">
        <v>3</v>
      </c>
      <c r="J503" s="36"/>
      <c r="K503" s="13"/>
      <c r="L503" s="13">
        <f>SUM(L500:L502)</f>
        <v>322</v>
      </c>
      <c r="M503" s="123">
        <f>L503/M496</f>
        <v>3.22</v>
      </c>
      <c r="N503" s="124" t="s">
        <v>289</v>
      </c>
      <c r="Q503" s="69" t="s">
        <v>299</v>
      </c>
      <c r="R503" s="266">
        <v>2</v>
      </c>
      <c r="S503" s="1546">
        <f>164+V503</f>
        <v>173.84</v>
      </c>
      <c r="T503" s="34">
        <f t="shared" si="99"/>
        <v>347.68</v>
      </c>
      <c r="U503" s="301">
        <f>U501/120</f>
        <v>1.3916666666666666</v>
      </c>
      <c r="V503" s="1545">
        <f>164*W493</f>
        <v>9.84</v>
      </c>
    </row>
    <row r="504" spans="2:22">
      <c r="B504" s="1"/>
      <c r="C504" s="32"/>
      <c r="D504" s="7"/>
      <c r="E504" s="7"/>
      <c r="F504" s="1"/>
      <c r="I504" s="1"/>
      <c r="J504" s="32"/>
      <c r="K504" s="7"/>
      <c r="L504" s="7"/>
      <c r="M504" s="1"/>
      <c r="Q504" s="25"/>
      <c r="R504" s="302"/>
      <c r="S504" s="303"/>
      <c r="T504" s="34">
        <f t="shared" si="99"/>
        <v>0</v>
      </c>
      <c r="V504" s="1547" t="s">
        <v>1040</v>
      </c>
    </row>
    <row r="505" spans="2:22">
      <c r="B505" s="75" t="s">
        <v>45</v>
      </c>
      <c r="C505" s="271">
        <v>0</v>
      </c>
      <c r="D505" s="75" t="s">
        <v>46</v>
      </c>
      <c r="E505" s="272">
        <f>F496</f>
        <v>500</v>
      </c>
      <c r="F505" s="1"/>
      <c r="G505" s="273" t="e">
        <f>E505/C505</f>
        <v>#DIV/0!</v>
      </c>
      <c r="I505" s="75" t="s">
        <v>45</v>
      </c>
      <c r="J505" s="271">
        <v>0</v>
      </c>
      <c r="K505" s="75" t="s">
        <v>46</v>
      </c>
      <c r="L505" s="272">
        <f>M496</f>
        <v>100</v>
      </c>
      <c r="M505" s="1"/>
      <c r="N505" s="273" t="e">
        <f>L505/J505</f>
        <v>#DIV/0!</v>
      </c>
      <c r="Q505" s="47"/>
      <c r="R505" s="302"/>
      <c r="S505" s="306"/>
      <c r="T505" s="9">
        <f>R505*S505</f>
        <v>0</v>
      </c>
    </row>
    <row r="506" spans="2:22">
      <c r="B506" s="85" t="s">
        <v>52</v>
      </c>
      <c r="C506" s="68" t="s">
        <v>42</v>
      </c>
      <c r="D506" s="68" t="s">
        <v>47</v>
      </c>
      <c r="E506" s="87" t="s">
        <v>51</v>
      </c>
      <c r="F506" s="76" t="s">
        <v>59</v>
      </c>
      <c r="G506" s="156" t="s">
        <v>290</v>
      </c>
      <c r="H506" s="274"/>
      <c r="I506" s="85" t="s">
        <v>52</v>
      </c>
      <c r="J506" s="68" t="s">
        <v>42</v>
      </c>
      <c r="K506" s="68" t="s">
        <v>47</v>
      </c>
      <c r="L506" s="87" t="s">
        <v>51</v>
      </c>
      <c r="M506" s="76" t="s">
        <v>59</v>
      </c>
      <c r="N506" s="156" t="s">
        <v>290</v>
      </c>
      <c r="Q506" s="10" t="s">
        <v>3</v>
      </c>
      <c r="R506" s="36"/>
      <c r="S506" s="13"/>
      <c r="T506" s="16">
        <f>SUM(T502:T505)</f>
        <v>402.1216</v>
      </c>
    </row>
    <row r="507" spans="2:22">
      <c r="B507" s="69">
        <v>3</v>
      </c>
      <c r="C507" s="1">
        <v>2</v>
      </c>
      <c r="D507" s="523">
        <f>$D$17</f>
        <v>33.5</v>
      </c>
      <c r="E507" s="70">
        <f>B507*C507*D507*8</f>
        <v>1608</v>
      </c>
      <c r="F507" s="76"/>
      <c r="G507" s="157">
        <f>F496/(E507/D507)</f>
        <v>10.416666666666666</v>
      </c>
      <c r="H507" s="154"/>
      <c r="I507" s="69">
        <v>2</v>
      </c>
      <c r="J507" s="1">
        <v>1</v>
      </c>
      <c r="K507" s="523">
        <f>$D$17</f>
        <v>33.5</v>
      </c>
      <c r="L507" s="70">
        <f>I507*J507*K507*8</f>
        <v>536</v>
      </c>
      <c r="M507" s="76"/>
      <c r="N507" s="157">
        <f>M496/(L507/K507)</f>
        <v>6.25</v>
      </c>
    </row>
    <row r="508" spans="2:22">
      <c r="B508" s="69"/>
      <c r="C508" s="1"/>
      <c r="D508" s="523">
        <f>$D$17</f>
        <v>33.5</v>
      </c>
      <c r="E508" s="70">
        <f>B508*C508*D508*8</f>
        <v>0</v>
      </c>
      <c r="F508" s="76"/>
      <c r="G508" s="275" t="e">
        <f>F498/(E508/D508)</f>
        <v>#DIV/0!</v>
      </c>
      <c r="H508" s="154"/>
      <c r="I508" s="69"/>
      <c r="J508" s="1"/>
      <c r="K508" s="523">
        <f>$D$17</f>
        <v>33.5</v>
      </c>
      <c r="L508" s="70">
        <f>I508*J508*K508*8</f>
        <v>0</v>
      </c>
      <c r="M508" s="76"/>
      <c r="N508" s="275" t="e">
        <f>M498/(L508/K508)</f>
        <v>#DIV/0!</v>
      </c>
      <c r="Q508" s="1903" t="s">
        <v>309</v>
      </c>
      <c r="R508" s="1904"/>
      <c r="S508" s="1904"/>
      <c r="T508" s="1905"/>
      <c r="U508">
        <f>100/2</f>
        <v>50</v>
      </c>
      <c r="V508" t="s">
        <v>310</v>
      </c>
    </row>
    <row r="509" spans="2:22">
      <c r="B509" s="86" t="s">
        <v>53</v>
      </c>
      <c r="C509" s="67" t="s">
        <v>44</v>
      </c>
      <c r="D509" s="67" t="s">
        <v>43</v>
      </c>
      <c r="E509" s="71"/>
      <c r="F509" s="1"/>
      <c r="I509" s="86" t="s">
        <v>53</v>
      </c>
      <c r="J509" s="67" t="s">
        <v>44</v>
      </c>
      <c r="K509" s="67" t="s">
        <v>43</v>
      </c>
      <c r="L509" s="71"/>
      <c r="M509" s="1"/>
      <c r="Q509" s="25" t="s">
        <v>14</v>
      </c>
      <c r="R509" s="90" t="s">
        <v>11</v>
      </c>
      <c r="S509" s="90" t="s">
        <v>1</v>
      </c>
      <c r="T509" s="91" t="s">
        <v>2</v>
      </c>
      <c r="U509" s="268">
        <v>50</v>
      </c>
      <c r="V509" s="82" t="s">
        <v>27</v>
      </c>
    </row>
    <row r="510" spans="2:22">
      <c r="B510" s="69">
        <v>0</v>
      </c>
      <c r="C510" s="1">
        <v>0</v>
      </c>
      <c r="D510" s="523">
        <f>$D$20</f>
        <v>33.5</v>
      </c>
      <c r="E510" s="70">
        <f>B510*C510*D510</f>
        <v>0</v>
      </c>
      <c r="F510" s="76"/>
      <c r="I510" s="69">
        <v>0</v>
      </c>
      <c r="J510" s="1">
        <v>0</v>
      </c>
      <c r="K510" s="523">
        <f>$D$20</f>
        <v>33.5</v>
      </c>
      <c r="L510" s="70">
        <f>I510*J510*K510</f>
        <v>0</v>
      </c>
      <c r="M510" s="76"/>
      <c r="Q510" s="47" t="s">
        <v>298</v>
      </c>
      <c r="R510" s="265">
        <v>1</v>
      </c>
      <c r="S510" s="1546">
        <f>51.36+V510</f>
        <v>54.441600000000001</v>
      </c>
      <c r="T510" s="34">
        <f t="shared" ref="T510:T512" si="100">R510*S510</f>
        <v>54.441600000000001</v>
      </c>
      <c r="U510" s="301">
        <f>(8/1600)*U509</f>
        <v>0.25</v>
      </c>
      <c r="V510" s="1545">
        <f>51.36*W493</f>
        <v>3.0815999999999999</v>
      </c>
    </row>
    <row r="511" spans="2:22">
      <c r="B511" s="277" t="s">
        <v>4</v>
      </c>
      <c r="C511" s="278"/>
      <c r="D511" s="278"/>
      <c r="E511" s="279">
        <f>ROUNDUP(SUM(E507:E510),0)</f>
        <v>1608</v>
      </c>
      <c r="F511" s="123">
        <f>E511/E505</f>
        <v>3.2160000000000002</v>
      </c>
      <c r="G511" s="124" t="s">
        <v>291</v>
      </c>
      <c r="H511" s="1"/>
      <c r="I511" s="277" t="s">
        <v>4</v>
      </c>
      <c r="J511" s="278"/>
      <c r="K511" s="278"/>
      <c r="L511" s="279">
        <f>ROUNDUP(SUM(L507:L510),0)</f>
        <v>536</v>
      </c>
      <c r="M511" s="123">
        <f>L511/L505</f>
        <v>5.36</v>
      </c>
      <c r="N511" s="124" t="s">
        <v>291</v>
      </c>
      <c r="Q511" s="69" t="s">
        <v>299</v>
      </c>
      <c r="R511" s="266">
        <v>1</v>
      </c>
      <c r="S511" s="1546">
        <f>164+V511</f>
        <v>173.84</v>
      </c>
      <c r="T511" s="34">
        <f t="shared" si="100"/>
        <v>173.84</v>
      </c>
      <c r="U511" s="301">
        <f>U509/120</f>
        <v>0.41666666666666669</v>
      </c>
      <c r="V511" s="1545">
        <f>164*W493</f>
        <v>9.84</v>
      </c>
    </row>
    <row r="512" spans="2:22">
      <c r="B512" s="1"/>
      <c r="C512" s="32"/>
      <c r="D512" s="7"/>
      <c r="E512" s="7"/>
      <c r="F512" s="7"/>
      <c r="G512" s="1"/>
      <c r="H512" s="1"/>
      <c r="I512" s="1"/>
      <c r="J512" s="32"/>
      <c r="K512" s="7"/>
      <c r="L512" s="7"/>
      <c r="M512" s="7"/>
      <c r="N512" s="1"/>
      <c r="Q512" s="25"/>
      <c r="R512" s="266"/>
      <c r="S512" s="33"/>
      <c r="T512" s="34">
        <f t="shared" si="100"/>
        <v>0</v>
      </c>
      <c r="V512" s="1547" t="s">
        <v>1040</v>
      </c>
    </row>
    <row r="513" spans="2:22">
      <c r="B513" s="5" t="s">
        <v>252</v>
      </c>
      <c r="C513" s="30" t="s">
        <v>11</v>
      </c>
      <c r="D513" s="11" t="s">
        <v>1</v>
      </c>
      <c r="E513" s="12" t="s">
        <v>2</v>
      </c>
      <c r="F513" s="1"/>
      <c r="G513" s="1"/>
      <c r="H513" s="1"/>
      <c r="I513" s="5" t="s">
        <v>252</v>
      </c>
      <c r="J513" s="30" t="s">
        <v>11</v>
      </c>
      <c r="K513" s="11" t="s">
        <v>1</v>
      </c>
      <c r="L513" s="12" t="s">
        <v>2</v>
      </c>
      <c r="M513" s="1"/>
      <c r="N513" s="1"/>
      <c r="Q513" s="47"/>
      <c r="R513" s="265"/>
      <c r="S513" s="7"/>
      <c r="T513" s="9">
        <f>R513*S513</f>
        <v>0</v>
      </c>
    </row>
    <row r="514" spans="2:22">
      <c r="B514" s="6" t="s">
        <v>17</v>
      </c>
      <c r="C514" s="37">
        <v>2</v>
      </c>
      <c r="D514" s="7">
        <v>35</v>
      </c>
      <c r="E514" s="9">
        <f t="shared" ref="E514:E520" si="101">ROUNDUP(C514*D514,0)</f>
        <v>70</v>
      </c>
      <c r="F514" s="1"/>
      <c r="G514" s="1"/>
      <c r="H514" s="1"/>
      <c r="I514" s="6" t="s">
        <v>17</v>
      </c>
      <c r="J514" s="37">
        <v>2</v>
      </c>
      <c r="K514" s="7">
        <v>35</v>
      </c>
      <c r="L514" s="9">
        <f t="shared" ref="L514:L520" si="102">ROUNDUP(J514*K514,0)</f>
        <v>70</v>
      </c>
      <c r="M514" s="1"/>
      <c r="N514" s="1"/>
      <c r="Q514" s="10" t="s">
        <v>3</v>
      </c>
      <c r="R514" s="36"/>
      <c r="S514" s="13"/>
      <c r="T514" s="16">
        <f>SUM(T510:T513)</f>
        <v>228.2816</v>
      </c>
    </row>
    <row r="515" spans="2:22">
      <c r="B515" s="6" t="s">
        <v>75</v>
      </c>
      <c r="C515" s="37">
        <f>E505</f>
        <v>500</v>
      </c>
      <c r="D515" s="7">
        <v>0.33</v>
      </c>
      <c r="E515" s="9">
        <f t="shared" si="101"/>
        <v>165</v>
      </c>
      <c r="F515" s="1"/>
      <c r="G515" s="1"/>
      <c r="H515" s="1"/>
      <c r="I515" s="6" t="s">
        <v>75</v>
      </c>
      <c r="J515" s="37">
        <f>L505</f>
        <v>100</v>
      </c>
      <c r="K515" s="7">
        <v>0.33</v>
      </c>
      <c r="L515" s="9">
        <f t="shared" si="102"/>
        <v>33</v>
      </c>
      <c r="M515" s="1"/>
      <c r="N515" s="1"/>
    </row>
    <row r="516" spans="2:22">
      <c r="B516" s="6" t="s">
        <v>68</v>
      </c>
      <c r="C516" s="37">
        <v>0</v>
      </c>
      <c r="D516" s="7">
        <f>$D$26</f>
        <v>70</v>
      </c>
      <c r="E516" s="9">
        <f t="shared" si="101"/>
        <v>0</v>
      </c>
      <c r="F516" s="1"/>
      <c r="G516" s="1"/>
      <c r="H516" s="1"/>
      <c r="I516" s="6" t="s">
        <v>68</v>
      </c>
      <c r="J516" s="37">
        <v>0</v>
      </c>
      <c r="K516" s="7">
        <f>$D$26</f>
        <v>70</v>
      </c>
      <c r="L516" s="9">
        <f t="shared" si="102"/>
        <v>0</v>
      </c>
      <c r="M516" s="1"/>
      <c r="N516" s="1"/>
      <c r="Q516" s="1903" t="s">
        <v>311</v>
      </c>
      <c r="R516" s="1904"/>
      <c r="S516" s="1904"/>
      <c r="T516" s="1905"/>
      <c r="U516">
        <f>500/2</f>
        <v>250</v>
      </c>
      <c r="V516" t="s">
        <v>312</v>
      </c>
    </row>
    <row r="517" spans="2:22">
      <c r="B517" s="6" t="s">
        <v>69</v>
      </c>
      <c r="C517" s="37">
        <f>C516</f>
        <v>0</v>
      </c>
      <c r="D517" s="7">
        <f>$D$27</f>
        <v>45</v>
      </c>
      <c r="E517" s="9">
        <f t="shared" si="101"/>
        <v>0</v>
      </c>
      <c r="F517" s="43"/>
      <c r="G517" s="1"/>
      <c r="H517" s="1"/>
      <c r="I517" s="6" t="s">
        <v>69</v>
      </c>
      <c r="J517" s="37">
        <f>J516</f>
        <v>0</v>
      </c>
      <c r="K517" s="7">
        <f>$D$27</f>
        <v>45</v>
      </c>
      <c r="L517" s="9">
        <f t="shared" si="102"/>
        <v>0</v>
      </c>
      <c r="M517" s="43"/>
      <c r="N517" s="1"/>
      <c r="Q517" s="25" t="s">
        <v>14</v>
      </c>
      <c r="R517" s="90" t="s">
        <v>11</v>
      </c>
      <c r="S517" s="90" t="s">
        <v>1</v>
      </c>
      <c r="T517" s="91" t="s">
        <v>2</v>
      </c>
      <c r="U517" s="268">
        <v>250</v>
      </c>
      <c r="V517" s="82" t="s">
        <v>27</v>
      </c>
    </row>
    <row r="518" spans="2:22">
      <c r="B518" s="6" t="s">
        <v>253</v>
      </c>
      <c r="C518" s="37">
        <f>(E511/8)/D507</f>
        <v>6</v>
      </c>
      <c r="D518" s="7">
        <f>$D$28</f>
        <v>14</v>
      </c>
      <c r="E518" s="9">
        <f t="shared" si="101"/>
        <v>84</v>
      </c>
      <c r="F518" s="43"/>
      <c r="G518" s="1"/>
      <c r="H518" s="1"/>
      <c r="I518" s="6" t="s">
        <v>253</v>
      </c>
      <c r="J518" s="37">
        <f>(L511/8)/K507</f>
        <v>2</v>
      </c>
      <c r="K518" s="7">
        <f>$D$28</f>
        <v>14</v>
      </c>
      <c r="L518" s="9">
        <f t="shared" si="102"/>
        <v>28</v>
      </c>
      <c r="M518" s="43"/>
      <c r="N518" s="1"/>
      <c r="Q518" s="47" t="s">
        <v>298</v>
      </c>
      <c r="R518" s="265">
        <v>2</v>
      </c>
      <c r="S518" s="1546">
        <f>51.36+V518</f>
        <v>54.441600000000001</v>
      </c>
      <c r="T518" s="34">
        <f t="shared" ref="T518:T520" si="103">R518*S518</f>
        <v>108.8832</v>
      </c>
      <c r="U518" s="301">
        <f>(8/1600)*U517</f>
        <v>1.25</v>
      </c>
      <c r="V518" s="1545">
        <f>51.36*W493</f>
        <v>3.0815999999999999</v>
      </c>
    </row>
    <row r="519" spans="2:22">
      <c r="B519" s="6" t="s">
        <v>254</v>
      </c>
      <c r="C519" s="37"/>
      <c r="D519" s="7">
        <v>0.04</v>
      </c>
      <c r="E519" s="9">
        <f t="shared" si="101"/>
        <v>0</v>
      </c>
      <c r="F519" s="1"/>
      <c r="G519" s="1"/>
      <c r="H519" s="1"/>
      <c r="I519" s="6" t="s">
        <v>254</v>
      </c>
      <c r="J519" s="37"/>
      <c r="K519" s="7">
        <v>0.04</v>
      </c>
      <c r="L519" s="9">
        <f t="shared" si="102"/>
        <v>0</v>
      </c>
      <c r="M519" s="1"/>
      <c r="N519" s="1"/>
      <c r="Q519" s="69" t="s">
        <v>299</v>
      </c>
      <c r="R519" s="266">
        <v>3</v>
      </c>
      <c r="S519" s="1546">
        <f>164+V519</f>
        <v>173.84</v>
      </c>
      <c r="T519" s="34">
        <f t="shared" si="103"/>
        <v>521.52</v>
      </c>
      <c r="U519" s="301">
        <f>U517/120</f>
        <v>2.0833333333333335</v>
      </c>
      <c r="V519" s="1545">
        <f>164*W493</f>
        <v>9.84</v>
      </c>
    </row>
    <row r="520" spans="2:22">
      <c r="B520" s="6" t="s">
        <v>28</v>
      </c>
      <c r="C520" s="37"/>
      <c r="D520" s="7"/>
      <c r="E520" s="9">
        <f t="shared" si="101"/>
        <v>0</v>
      </c>
      <c r="F520" s="1"/>
      <c r="G520" s="1"/>
      <c r="H520" s="1"/>
      <c r="I520" s="6" t="s">
        <v>28</v>
      </c>
      <c r="J520" s="37"/>
      <c r="K520" s="7"/>
      <c r="L520" s="9">
        <f t="shared" si="102"/>
        <v>0</v>
      </c>
      <c r="M520" s="1"/>
      <c r="N520" s="1"/>
      <c r="Q520" s="25"/>
      <c r="R520" s="266"/>
      <c r="S520" s="33"/>
      <c r="T520" s="34">
        <f t="shared" si="103"/>
        <v>0</v>
      </c>
      <c r="U520" s="301"/>
      <c r="V520" s="1547" t="s">
        <v>1040</v>
      </c>
    </row>
    <row r="521" spans="2:22">
      <c r="B521" s="10" t="s">
        <v>255</v>
      </c>
      <c r="C521" s="36"/>
      <c r="D521" s="13"/>
      <c r="E521" s="16">
        <f>SUM(E514:E520)</f>
        <v>319</v>
      </c>
      <c r="F521" s="1"/>
      <c r="G521" s="1"/>
      <c r="H521" s="1"/>
      <c r="I521" s="10" t="s">
        <v>255</v>
      </c>
      <c r="J521" s="36"/>
      <c r="K521" s="13"/>
      <c r="L521" s="16">
        <f>SUM(L514:L520)</f>
        <v>131</v>
      </c>
      <c r="M521" s="1"/>
      <c r="N521" s="1"/>
      <c r="Q521" s="47"/>
      <c r="R521" s="265"/>
      <c r="S521" s="7"/>
      <c r="T521" s="9">
        <f>R521*S521</f>
        <v>0</v>
      </c>
    </row>
    <row r="522" spans="2:22">
      <c r="B522" s="1"/>
      <c r="C522" s="32"/>
      <c r="D522" s="7"/>
      <c r="E522" s="7"/>
      <c r="F522" s="1"/>
      <c r="G522" s="1"/>
      <c r="H522" s="1"/>
      <c r="I522" s="1"/>
      <c r="J522" s="32"/>
      <c r="K522" s="7"/>
      <c r="L522" s="7"/>
      <c r="M522" s="1"/>
      <c r="N522" s="1"/>
      <c r="Q522" s="10" t="s">
        <v>3</v>
      </c>
      <c r="R522" s="36"/>
      <c r="S522" s="13"/>
      <c r="T522" s="16">
        <f>SUM(T518:T521)</f>
        <v>630.40319999999997</v>
      </c>
    </row>
    <row r="523" spans="2:22">
      <c r="B523" s="1"/>
      <c r="C523" s="32"/>
      <c r="D523" s="7"/>
      <c r="E523" s="7"/>
      <c r="F523" s="1"/>
      <c r="G523" s="1"/>
      <c r="H523" s="1"/>
      <c r="I523" s="1"/>
      <c r="J523" s="32"/>
      <c r="K523" s="7"/>
      <c r="L523" s="7"/>
      <c r="M523" s="1"/>
      <c r="N523" s="1"/>
    </row>
    <row r="524" spans="2:22">
      <c r="B524" s="280" t="s">
        <v>9</v>
      </c>
      <c r="C524" s="281"/>
      <c r="D524" s="282"/>
      <c r="E524" s="283">
        <f>SUM(E503,E511,E521)</f>
        <v>2843</v>
      </c>
      <c r="F524" s="1"/>
      <c r="G524" s="1"/>
      <c r="H524" s="1"/>
      <c r="I524" s="280" t="s">
        <v>9</v>
      </c>
      <c r="J524" s="281"/>
      <c r="K524" s="282"/>
      <c r="L524" s="283">
        <f>SUM(L503,L511,L521)</f>
        <v>989</v>
      </c>
      <c r="M524" s="1"/>
      <c r="N524" s="1"/>
    </row>
    <row r="525" spans="2:22">
      <c r="B525" s="1"/>
      <c r="C525" s="32"/>
      <c r="D525" s="7"/>
      <c r="E525" s="7"/>
      <c r="F525" s="1"/>
      <c r="G525" s="1"/>
      <c r="H525" s="1"/>
      <c r="I525" s="1"/>
      <c r="J525" s="32"/>
      <c r="K525" s="7"/>
      <c r="L525" s="7"/>
      <c r="M525" s="1"/>
      <c r="N525" s="1"/>
    </row>
    <row r="526" spans="2:22">
      <c r="B526" s="5" t="s">
        <v>8</v>
      </c>
      <c r="C526" s="30" t="s">
        <v>7</v>
      </c>
      <c r="D526" s="14"/>
      <c r="E526" s="12"/>
      <c r="F526" s="1"/>
      <c r="G526" s="1"/>
      <c r="H526" s="1"/>
      <c r="I526" s="5" t="s">
        <v>8</v>
      </c>
      <c r="J526" s="30" t="s">
        <v>7</v>
      </c>
      <c r="K526" s="14"/>
      <c r="L526" s="12"/>
      <c r="M526" s="1"/>
      <c r="N526" s="1"/>
    </row>
    <row r="527" spans="2:22">
      <c r="B527" s="6" t="s">
        <v>15</v>
      </c>
      <c r="C527" s="208">
        <f>$C$37</f>
        <v>9.4750000000000001E-2</v>
      </c>
      <c r="D527" s="209"/>
      <c r="E527" s="9">
        <f>ROUNDUP(SUM(E503:E503)*C527,0)</f>
        <v>87</v>
      </c>
      <c r="F527" s="1"/>
      <c r="G527" s="1"/>
      <c r="H527" s="1"/>
      <c r="I527" s="6" t="s">
        <v>15</v>
      </c>
      <c r="J527" s="208">
        <f>$C$37</f>
        <v>9.4750000000000001E-2</v>
      </c>
      <c r="K527" s="209"/>
      <c r="L527" s="9">
        <f>ROUNDUP(SUM(L503:L503)*J527,0)</f>
        <v>31</v>
      </c>
      <c r="M527" s="1"/>
      <c r="N527" s="1"/>
    </row>
    <row r="528" spans="2:22">
      <c r="B528" s="6" t="s">
        <v>74</v>
      </c>
      <c r="C528" s="241">
        <v>0.08</v>
      </c>
      <c r="D528" s="209"/>
      <c r="E528" s="9">
        <f>ROUNDUP(SUM(E511)*C528,0)</f>
        <v>129</v>
      </c>
      <c r="F528" s="1"/>
      <c r="G528" s="1"/>
      <c r="H528" s="1"/>
      <c r="I528" s="6" t="s">
        <v>74</v>
      </c>
      <c r="J528" s="241">
        <v>0.08</v>
      </c>
      <c r="K528" s="209"/>
      <c r="L528" s="9">
        <f>ROUNDUP(SUM(L511)*J528,0)</f>
        <v>43</v>
      </c>
      <c r="M528" s="1"/>
      <c r="N528" s="1"/>
    </row>
    <row r="529" spans="2:28">
      <c r="B529" s="6" t="s">
        <v>256</v>
      </c>
      <c r="C529" s="122">
        <f>IF(E503&lt;=5000,0.1,0.05)</f>
        <v>0.1</v>
      </c>
      <c r="D529" s="7"/>
      <c r="E529" s="9">
        <f>ROUNDUP(E503*C529,0)</f>
        <v>92</v>
      </c>
      <c r="F529" s="1"/>
      <c r="G529" s="1"/>
      <c r="H529" s="1"/>
      <c r="I529" s="6" t="s">
        <v>256</v>
      </c>
      <c r="J529" s="122">
        <f>IF(L503&lt;=5000,0.1,0.05)</f>
        <v>0.1</v>
      </c>
      <c r="K529" s="7"/>
      <c r="L529" s="9">
        <f>ROUNDUP(L503*J529,0)</f>
        <v>33</v>
      </c>
      <c r="M529" s="1"/>
      <c r="N529" s="1"/>
    </row>
    <row r="530" spans="2:28">
      <c r="B530" s="6" t="s">
        <v>257</v>
      </c>
      <c r="C530" s="122">
        <v>0.2</v>
      </c>
      <c r="D530" s="7"/>
      <c r="E530" s="9">
        <f>ROUNDUP(E511*C530,0)</f>
        <v>322</v>
      </c>
      <c r="F530" s="1"/>
      <c r="G530" s="1"/>
      <c r="H530" s="1"/>
      <c r="I530" s="6" t="s">
        <v>257</v>
      </c>
      <c r="J530" s="122">
        <v>0.3</v>
      </c>
      <c r="K530" s="7"/>
      <c r="L530" s="9">
        <f>ROUNDUP(L511*J530,0)</f>
        <v>161</v>
      </c>
      <c r="M530" s="1"/>
      <c r="N530" s="1"/>
    </row>
    <row r="531" spans="2:28">
      <c r="B531" s="6" t="s">
        <v>258</v>
      </c>
      <c r="C531" s="122">
        <v>0.4</v>
      </c>
      <c r="D531" s="7"/>
      <c r="E531" s="9">
        <f>ROUNDUP(SUM(E524:E530)*C531,0)</f>
        <v>1390</v>
      </c>
      <c r="F531" s="1"/>
      <c r="G531" s="1"/>
      <c r="H531" s="1"/>
      <c r="I531" s="6" t="s">
        <v>258</v>
      </c>
      <c r="J531" s="122">
        <v>0.4</v>
      </c>
      <c r="K531" s="7"/>
      <c r="L531" s="9">
        <f>ROUNDUP(SUM(L524:L530)*J531,0)</f>
        <v>503</v>
      </c>
      <c r="M531" s="1"/>
      <c r="N531" s="1"/>
    </row>
    <row r="532" spans="2:28">
      <c r="B532" s="284" t="str">
        <f>$B$42</f>
        <v>Kansas Remodel Tax</v>
      </c>
      <c r="C532" s="241">
        <f>$C$42</f>
        <v>0</v>
      </c>
      <c r="D532" s="7"/>
      <c r="E532" s="9">
        <f>ROUNDUP(SUM(E511,E528:E531)*C532,0)</f>
        <v>0</v>
      </c>
      <c r="F532" s="1"/>
      <c r="G532" s="1"/>
      <c r="H532" s="1"/>
      <c r="I532" s="284" t="str">
        <f>$B$42</f>
        <v>Kansas Remodel Tax</v>
      </c>
      <c r="J532" s="241">
        <f>$C$42</f>
        <v>0</v>
      </c>
      <c r="K532" s="7"/>
      <c r="L532" s="9">
        <f>ROUNDUP(SUM(L511,L528:L531)*J532,0)</f>
        <v>0</v>
      </c>
      <c r="M532" s="1"/>
      <c r="N532" s="1"/>
    </row>
    <row r="533" spans="2:28">
      <c r="B533" s="403" t="s">
        <v>398</v>
      </c>
      <c r="C533" s="241">
        <f>$C$43</f>
        <v>0.05</v>
      </c>
      <c r="D533" s="7"/>
      <c r="E533" s="9">
        <f>ROUNDUP(C533*SUM(E524:E532),0)</f>
        <v>244</v>
      </c>
      <c r="F533" s="1"/>
      <c r="G533" s="1"/>
      <c r="H533" s="1"/>
      <c r="I533" s="403" t="s">
        <v>398</v>
      </c>
      <c r="J533" s="241">
        <f>$C$43</f>
        <v>0.05</v>
      </c>
      <c r="K533" s="7"/>
      <c r="L533" s="9">
        <f>ROUNDUP(J533*SUM(L524:L532),0)</f>
        <v>88</v>
      </c>
      <c r="M533" s="1"/>
      <c r="N533" s="1"/>
    </row>
    <row r="534" spans="2:28">
      <c r="B534" s="45" t="s">
        <v>20</v>
      </c>
      <c r="C534" s="46">
        <f>$C$44</f>
        <v>0</v>
      </c>
      <c r="D534" s="15"/>
      <c r="E534" s="210">
        <f>ROUNDUP(SUM(E524:E533)*C534,0)</f>
        <v>0</v>
      </c>
      <c r="F534" s="1"/>
      <c r="G534" s="1"/>
      <c r="H534" s="1"/>
      <c r="I534" s="45" t="s">
        <v>20</v>
      </c>
      <c r="J534" s="46">
        <f>$C$44</f>
        <v>0</v>
      </c>
      <c r="K534" s="15"/>
      <c r="L534" s="210">
        <f>ROUNDUP(SUM(L524:L533)*J534,0)</f>
        <v>0</v>
      </c>
      <c r="M534" s="1"/>
      <c r="N534" s="1"/>
    </row>
    <row r="535" spans="2:28">
      <c r="B535" s="1"/>
      <c r="C535" s="8"/>
      <c r="D535" s="7"/>
      <c r="E535" s="7"/>
      <c r="F535" s="1"/>
      <c r="G535" s="286" t="s">
        <v>70</v>
      </c>
      <c r="H535" s="32"/>
      <c r="I535" s="1"/>
      <c r="J535" s="8"/>
      <c r="K535" s="7"/>
      <c r="L535" s="7"/>
      <c r="M535" s="1"/>
      <c r="N535" s="286" t="s">
        <v>70</v>
      </c>
    </row>
    <row r="536" spans="2:28" ht="16.2" thickBot="1">
      <c r="B536" s="1"/>
      <c r="C536" s="287" t="s">
        <v>269</v>
      </c>
      <c r="D536" s="288">
        <f>E505</f>
        <v>500</v>
      </c>
      <c r="E536" s="7"/>
      <c r="F536" s="38" t="s">
        <v>18</v>
      </c>
      <c r="G536" s="131">
        <f>SUM(E529:E531)</f>
        <v>1804</v>
      </c>
      <c r="H536" s="7"/>
      <c r="I536" s="1"/>
      <c r="J536" s="287" t="s">
        <v>269</v>
      </c>
      <c r="K536" s="288">
        <f>L505</f>
        <v>100</v>
      </c>
      <c r="L536" s="7"/>
      <c r="M536" s="38" t="s">
        <v>18</v>
      </c>
      <c r="N536" s="131">
        <f>SUM(L529:L531)</f>
        <v>697</v>
      </c>
    </row>
    <row r="537" spans="2:28" ht="16.2" thickBot="1">
      <c r="B537" s="289" t="s">
        <v>6</v>
      </c>
      <c r="C537" s="290"/>
      <c r="D537" s="291">
        <f>E537/E505</f>
        <v>10.214</v>
      </c>
      <c r="E537" s="292">
        <f>SUM(E524:E534)</f>
        <v>5107</v>
      </c>
      <c r="F537" s="7">
        <f>E537-E527-E532</f>
        <v>5020</v>
      </c>
      <c r="G537" s="293">
        <f>G536/E537</f>
        <v>0.35324065008811434</v>
      </c>
      <c r="H537" s="294"/>
      <c r="I537" s="289" t="s">
        <v>6</v>
      </c>
      <c r="J537" s="290"/>
      <c r="K537" s="291">
        <f>L537/L505</f>
        <v>18.48</v>
      </c>
      <c r="L537" s="292">
        <f>SUM(L524:L534)</f>
        <v>1848</v>
      </c>
      <c r="M537" s="7">
        <f>L537-L527-L532</f>
        <v>1817</v>
      </c>
      <c r="N537" s="293">
        <f>N536/L537</f>
        <v>0.37716450216450215</v>
      </c>
    </row>
    <row r="538" spans="2:28">
      <c r="B538" s="1"/>
      <c r="C538" s="1" t="s">
        <v>5</v>
      </c>
      <c r="D538" s="7">
        <f>E538/E505</f>
        <v>10.214</v>
      </c>
      <c r="E538" s="7">
        <f>E537-E532</f>
        <v>5107</v>
      </c>
      <c r="F538" t="s">
        <v>263</v>
      </c>
      <c r="G538" s="295" t="str">
        <f>IF(G537&lt;=0.25,"OWNER APPROVAL REQUIRED","GP % Okay")</f>
        <v>GP % Okay</v>
      </c>
      <c r="H538" s="296"/>
      <c r="I538" s="1"/>
      <c r="J538" s="1" t="s">
        <v>5</v>
      </c>
      <c r="K538" s="7">
        <f>L538/L505</f>
        <v>18.48</v>
      </c>
      <c r="L538" s="7">
        <f>L537-L532</f>
        <v>1848</v>
      </c>
      <c r="M538" t="s">
        <v>263</v>
      </c>
      <c r="N538" s="295" t="str">
        <f>IF(N537&lt;=0.25,"OWNER APPROVAL REQUIRED","GP % Okay")</f>
        <v>GP % Okay</v>
      </c>
    </row>
    <row r="542" spans="2:28">
      <c r="B542" s="1897" t="s">
        <v>315</v>
      </c>
      <c r="C542" s="1898"/>
      <c r="D542" s="1898"/>
      <c r="E542" s="1899"/>
      <c r="F542" s="262">
        <f>E587</f>
        <v>504</v>
      </c>
      <c r="G542" s="263" t="s">
        <v>2</v>
      </c>
      <c r="I542" s="1897" t="s">
        <v>316</v>
      </c>
      <c r="J542" s="1898"/>
      <c r="K542" s="1898"/>
      <c r="L542" s="1899"/>
      <c r="M542" s="262">
        <f>L587</f>
        <v>605</v>
      </c>
      <c r="N542" s="263" t="s">
        <v>2</v>
      </c>
      <c r="P542" s="1897" t="s">
        <v>317</v>
      </c>
      <c r="Q542" s="1898"/>
      <c r="R542" s="1898"/>
      <c r="S542" s="1899"/>
      <c r="T542" s="262">
        <f>S587</f>
        <v>706</v>
      </c>
      <c r="U542" s="263" t="s">
        <v>2</v>
      </c>
      <c r="W542" s="1897" t="s">
        <v>318</v>
      </c>
      <c r="X542" s="1898"/>
      <c r="Y542" s="1898"/>
      <c r="Z542" s="1899"/>
      <c r="AA542" s="262">
        <f>Z587</f>
        <v>735</v>
      </c>
      <c r="AB542" s="263" t="s">
        <v>2</v>
      </c>
    </row>
    <row r="543" spans="2:28">
      <c r="B543" s="25" t="s">
        <v>14</v>
      </c>
      <c r="C543" s="90" t="s">
        <v>11</v>
      </c>
      <c r="D543" s="90" t="s">
        <v>1</v>
      </c>
      <c r="E543" s="91" t="s">
        <v>2</v>
      </c>
      <c r="F543" s="23"/>
      <c r="G543" s="89"/>
      <c r="H543" s="264"/>
      <c r="I543" s="25" t="s">
        <v>14</v>
      </c>
      <c r="J543" s="90" t="s">
        <v>11</v>
      </c>
      <c r="K543" s="90" t="s">
        <v>1</v>
      </c>
      <c r="L543" s="91" t="s">
        <v>2</v>
      </c>
      <c r="M543" s="23"/>
      <c r="N543" s="89"/>
      <c r="P543" s="25" t="s">
        <v>14</v>
      </c>
      <c r="Q543" s="90" t="s">
        <v>11</v>
      </c>
      <c r="R543" s="90" t="s">
        <v>1</v>
      </c>
      <c r="S543" s="91" t="s">
        <v>2</v>
      </c>
      <c r="T543" s="23"/>
      <c r="U543" s="89"/>
      <c r="W543" s="25" t="s">
        <v>14</v>
      </c>
      <c r="X543" s="90" t="s">
        <v>11</v>
      </c>
      <c r="Y543" s="90" t="s">
        <v>1</v>
      </c>
      <c r="Z543" s="91" t="s">
        <v>2</v>
      </c>
      <c r="AA543" s="23"/>
      <c r="AB543" s="89"/>
    </row>
    <row r="544" spans="2:28">
      <c r="B544" s="44"/>
      <c r="C544" s="265"/>
      <c r="D544" s="33"/>
      <c r="E544" s="34">
        <f t="shared" ref="E544:E545" si="104">C544*D544</f>
        <v>0</v>
      </c>
      <c r="F544" s="1"/>
      <c r="G544" s="1"/>
      <c r="H544" s="1"/>
      <c r="I544" s="44"/>
      <c r="J544" s="265"/>
      <c r="K544" s="33"/>
      <c r="L544" s="34">
        <f t="shared" ref="L544:L545" si="105">J544*K544</f>
        <v>0</v>
      </c>
      <c r="M544" s="1"/>
      <c r="N544" s="1"/>
      <c r="P544" s="44"/>
      <c r="Q544" s="265"/>
      <c r="R544" s="33"/>
      <c r="S544" s="34">
        <f t="shared" ref="S544:S545" si="106">Q544*R544</f>
        <v>0</v>
      </c>
      <c r="T544" s="1"/>
      <c r="U544" s="1"/>
      <c r="W544" s="44"/>
      <c r="X544" s="265"/>
      <c r="Y544" s="33"/>
      <c r="Z544" s="34">
        <f t="shared" ref="Z544:Z545" si="107">X544*Y544</f>
        <v>0</v>
      </c>
      <c r="AA544" s="1"/>
      <c r="AB544" s="1"/>
    </row>
    <row r="545" spans="2:28">
      <c r="B545" s="44"/>
      <c r="C545" s="266"/>
      <c r="D545" s="33"/>
      <c r="E545" s="34">
        <f t="shared" si="104"/>
        <v>0</v>
      </c>
      <c r="F545" s="1"/>
      <c r="G545" s="1"/>
      <c r="H545" s="1"/>
      <c r="I545" s="44"/>
      <c r="J545" s="266"/>
      <c r="K545" s="33"/>
      <c r="L545" s="34">
        <f t="shared" si="105"/>
        <v>0</v>
      </c>
      <c r="M545" s="1"/>
      <c r="N545" s="1"/>
      <c r="P545" s="44"/>
      <c r="Q545" s="266"/>
      <c r="R545" s="33"/>
      <c r="S545" s="34">
        <f t="shared" si="106"/>
        <v>0</v>
      </c>
      <c r="T545" s="1"/>
      <c r="U545" s="1"/>
      <c r="W545" s="44"/>
      <c r="X545" s="266"/>
      <c r="Y545" s="33"/>
      <c r="Z545" s="34">
        <f t="shared" si="107"/>
        <v>0</v>
      </c>
      <c r="AA545" s="1"/>
      <c r="AB545" s="1"/>
    </row>
    <row r="546" spans="2:28">
      <c r="B546" s="25" t="s">
        <v>12</v>
      </c>
      <c r="C546" s="267"/>
      <c r="D546" s="23"/>
      <c r="E546" s="29"/>
      <c r="F546" s="268">
        <v>1000</v>
      </c>
      <c r="G546" s="82" t="s">
        <v>27</v>
      </c>
      <c r="H546" s="1"/>
      <c r="I546" s="25" t="s">
        <v>12</v>
      </c>
      <c r="J546" s="267"/>
      <c r="K546" s="23"/>
      <c r="L546" s="29"/>
      <c r="M546" s="268">
        <v>1500</v>
      </c>
      <c r="N546" s="82" t="s">
        <v>27</v>
      </c>
      <c r="P546" s="25" t="s">
        <v>12</v>
      </c>
      <c r="Q546" s="267"/>
      <c r="R546" s="23"/>
      <c r="S546" s="29"/>
      <c r="T546" s="268">
        <v>2000</v>
      </c>
      <c r="U546" s="82" t="s">
        <v>27</v>
      </c>
      <c r="W546" s="25" t="s">
        <v>12</v>
      </c>
      <c r="X546" s="267"/>
      <c r="Y546" s="23"/>
      <c r="Z546" s="29"/>
      <c r="AA546" s="268">
        <v>2500</v>
      </c>
      <c r="AB546" s="82" t="s">
        <v>27</v>
      </c>
    </row>
    <row r="547" spans="2:28">
      <c r="B547" s="47"/>
      <c r="C547" s="266"/>
      <c r="D547" s="7"/>
      <c r="E547" s="9">
        <f>C547*D547</f>
        <v>0</v>
      </c>
      <c r="F547" s="1"/>
      <c r="G547" s="1"/>
      <c r="H547" s="1"/>
      <c r="I547" s="47"/>
      <c r="J547" s="266"/>
      <c r="K547" s="7"/>
      <c r="L547" s="9">
        <f>J547*K547</f>
        <v>0</v>
      </c>
      <c r="M547" s="1"/>
      <c r="N547" s="1"/>
      <c r="P547" s="47"/>
      <c r="Q547" s="266"/>
      <c r="R547" s="7"/>
      <c r="S547" s="9">
        <f>Q547*R547</f>
        <v>0</v>
      </c>
      <c r="T547" s="1"/>
      <c r="U547" s="1"/>
      <c r="W547" s="47"/>
      <c r="X547" s="266"/>
      <c r="Y547" s="7"/>
      <c r="Z547" s="9">
        <f>X547*Y547</f>
        <v>0</v>
      </c>
      <c r="AA547" s="1"/>
      <c r="AB547" s="1"/>
    </row>
    <row r="548" spans="2:28">
      <c r="B548" s="47"/>
      <c r="C548" s="266"/>
      <c r="D548" s="7"/>
      <c r="E548" s="9">
        <f t="shared" ref="E548:E549" si="108">C548*D548</f>
        <v>0</v>
      </c>
      <c r="F548" s="1"/>
      <c r="G548" s="1"/>
      <c r="H548" s="1"/>
      <c r="I548" s="47"/>
      <c r="J548" s="266"/>
      <c r="K548" s="7"/>
      <c r="L548" s="9">
        <f t="shared" ref="L548:L549" si="109">J548*K548</f>
        <v>0</v>
      </c>
      <c r="M548" s="1"/>
      <c r="N548" s="1"/>
      <c r="P548" s="47"/>
      <c r="Q548" s="266"/>
      <c r="R548" s="7"/>
      <c r="S548" s="9">
        <f t="shared" ref="S548:S549" si="110">Q548*R548</f>
        <v>0</v>
      </c>
      <c r="T548" s="1"/>
      <c r="U548" s="1"/>
      <c r="W548" s="47"/>
      <c r="X548" s="266"/>
      <c r="Y548" s="7"/>
      <c r="Z548" s="9">
        <f t="shared" ref="Z548:Z549" si="111">X548*Y548</f>
        <v>0</v>
      </c>
      <c r="AA548" s="1"/>
      <c r="AB548" s="1"/>
    </row>
    <row r="549" spans="2:28">
      <c r="B549" s="48"/>
      <c r="C549" s="269"/>
      <c r="D549" s="26"/>
      <c r="E549" s="27">
        <f t="shared" si="108"/>
        <v>0</v>
      </c>
      <c r="F549" s="1"/>
      <c r="G549" s="1"/>
      <c r="H549" s="1"/>
      <c r="I549" s="48"/>
      <c r="J549" s="269"/>
      <c r="K549" s="26"/>
      <c r="L549" s="27">
        <f t="shared" si="109"/>
        <v>0</v>
      </c>
      <c r="M549" s="1"/>
      <c r="N549" s="1"/>
      <c r="P549" s="48"/>
      <c r="Q549" s="269"/>
      <c r="R549" s="26"/>
      <c r="S549" s="27">
        <f t="shared" si="110"/>
        <v>0</v>
      </c>
      <c r="T549" s="1"/>
      <c r="U549" s="1"/>
      <c r="W549" s="48"/>
      <c r="X549" s="269"/>
      <c r="Y549" s="26"/>
      <c r="Z549" s="27">
        <f t="shared" si="111"/>
        <v>0</v>
      </c>
      <c r="AA549" s="1"/>
      <c r="AB549" s="1"/>
    </row>
    <row r="550" spans="2:28">
      <c r="B550" s="17" t="s">
        <v>10</v>
      </c>
      <c r="C550" s="35"/>
      <c r="D550" s="18"/>
      <c r="E550" s="19">
        <f>ROUNDUP(SUM(E544:E549),0)</f>
        <v>0</v>
      </c>
      <c r="F550" s="1"/>
      <c r="G550" s="1"/>
      <c r="H550" s="1"/>
      <c r="I550" s="17" t="s">
        <v>10</v>
      </c>
      <c r="J550" s="35"/>
      <c r="K550" s="18"/>
      <c r="L550" s="19">
        <f>ROUNDUP(SUM(L544:L549),0)</f>
        <v>0</v>
      </c>
      <c r="M550" s="1"/>
      <c r="N550" s="1"/>
      <c r="P550" s="17" t="s">
        <v>10</v>
      </c>
      <c r="Q550" s="35"/>
      <c r="R550" s="18"/>
      <c r="S550" s="19">
        <f>ROUNDUP(SUM(S544:S549),0)</f>
        <v>0</v>
      </c>
      <c r="T550" s="1"/>
      <c r="U550" s="1"/>
      <c r="W550" s="17" t="s">
        <v>10</v>
      </c>
      <c r="X550" s="35"/>
      <c r="Y550" s="18"/>
      <c r="Z550" s="19">
        <f>ROUNDUP(SUM(Z544:Z549),0)</f>
        <v>0</v>
      </c>
      <c r="AA550" s="1"/>
      <c r="AB550" s="1"/>
    </row>
    <row r="551" spans="2:28">
      <c r="B551" s="20" t="s">
        <v>251</v>
      </c>
      <c r="C551" s="270">
        <v>0</v>
      </c>
      <c r="D551" s="21"/>
      <c r="E551" s="22">
        <f>ROUNDUP(SUM(E547)*C551,0)</f>
        <v>0</v>
      </c>
      <c r="F551" s="1"/>
      <c r="G551" s="1"/>
      <c r="H551" s="1"/>
      <c r="I551" s="20" t="s">
        <v>251</v>
      </c>
      <c r="J551" s="270">
        <v>0</v>
      </c>
      <c r="K551" s="21"/>
      <c r="L551" s="22">
        <f>ROUNDUP(SUM(L547)*J551,0)</f>
        <v>0</v>
      </c>
      <c r="M551" s="1"/>
      <c r="N551" s="1"/>
      <c r="P551" s="20" t="s">
        <v>251</v>
      </c>
      <c r="Q551" s="270">
        <v>0</v>
      </c>
      <c r="R551" s="21"/>
      <c r="S551" s="22">
        <f>ROUNDUP(SUM(S547)*Q551,0)</f>
        <v>0</v>
      </c>
      <c r="T551" s="1"/>
      <c r="U551" s="1"/>
      <c r="W551" s="20" t="s">
        <v>251</v>
      </c>
      <c r="X551" s="270">
        <v>0</v>
      </c>
      <c r="Y551" s="21"/>
      <c r="Z551" s="22">
        <f>ROUNDUP(SUM(Z547)*X551,0)</f>
        <v>0</v>
      </c>
      <c r="AA551" s="1"/>
      <c r="AB551" s="1"/>
    </row>
    <row r="552" spans="2:28">
      <c r="B552" s="39" t="s">
        <v>16</v>
      </c>
      <c r="C552" s="40">
        <f>IF(E550&lt;=5000,0.1,IF(E550&lt;=10000,0.06,0.04))</f>
        <v>0.1</v>
      </c>
      <c r="D552" s="41"/>
      <c r="E552" s="42">
        <f>ROUNDUP(E550*C552,0)</f>
        <v>0</v>
      </c>
      <c r="F552" s="1"/>
      <c r="I552" s="39" t="s">
        <v>16</v>
      </c>
      <c r="J552" s="40">
        <f>IF(L550&lt;=5000,0.1,IF(L550&lt;=10000,0.06,0.04))</f>
        <v>0.1</v>
      </c>
      <c r="K552" s="41"/>
      <c r="L552" s="42">
        <f>ROUNDUP(L550*J552,0)</f>
        <v>0</v>
      </c>
      <c r="M552" s="1"/>
      <c r="P552" s="39" t="s">
        <v>16</v>
      </c>
      <c r="Q552" s="40">
        <f>IF(S550&lt;=5000,0.1,IF(S550&lt;=10000,0.06,0.04))</f>
        <v>0.1</v>
      </c>
      <c r="R552" s="41"/>
      <c r="S552" s="42">
        <f>ROUNDUP(S550*Q552,0)</f>
        <v>0</v>
      </c>
      <c r="T552" s="1"/>
      <c r="W552" s="39" t="s">
        <v>16</v>
      </c>
      <c r="X552" s="40">
        <f>IF(Z550&lt;=5000,0.1,IF(Z550&lt;=10000,0.06,0.04))</f>
        <v>0.1</v>
      </c>
      <c r="Y552" s="41"/>
      <c r="Z552" s="42">
        <f>ROUNDUP(Z550*X552,0)</f>
        <v>0</v>
      </c>
      <c r="AA552" s="1"/>
    </row>
    <row r="553" spans="2:28">
      <c r="B553" s="10" t="s">
        <v>3</v>
      </c>
      <c r="C553" s="36"/>
      <c r="D553" s="13"/>
      <c r="E553" s="13">
        <f>SUM(E550:E552)</f>
        <v>0</v>
      </c>
      <c r="F553" s="123">
        <f>E553/F546</f>
        <v>0</v>
      </c>
      <c r="G553" s="124" t="s">
        <v>80</v>
      </c>
      <c r="H553" s="1"/>
      <c r="I553" s="10" t="s">
        <v>3</v>
      </c>
      <c r="J553" s="36"/>
      <c r="K553" s="13"/>
      <c r="L553" s="13">
        <f>SUM(L550:L552)</f>
        <v>0</v>
      </c>
      <c r="M553" s="123">
        <f>L553/M546</f>
        <v>0</v>
      </c>
      <c r="N553" s="124" t="s">
        <v>80</v>
      </c>
      <c r="P553" s="10" t="s">
        <v>3</v>
      </c>
      <c r="Q553" s="36"/>
      <c r="R553" s="13"/>
      <c r="S553" s="13">
        <f>SUM(S550:S552)</f>
        <v>0</v>
      </c>
      <c r="T553" s="123">
        <f>S553/T546</f>
        <v>0</v>
      </c>
      <c r="U553" s="124" t="s">
        <v>80</v>
      </c>
      <c r="W553" s="10" t="s">
        <v>3</v>
      </c>
      <c r="X553" s="36"/>
      <c r="Y553" s="13"/>
      <c r="Z553" s="13">
        <f>SUM(Z550:Z552)</f>
        <v>0</v>
      </c>
      <c r="AA553" s="123">
        <f>Z553/AA546</f>
        <v>0</v>
      </c>
      <c r="AB553" s="124" t="s">
        <v>80</v>
      </c>
    </row>
    <row r="554" spans="2:28">
      <c r="B554" s="1"/>
      <c r="C554" s="32"/>
      <c r="D554" s="7"/>
      <c r="E554" s="7"/>
      <c r="F554" s="1"/>
      <c r="I554" s="1"/>
      <c r="J554" s="32"/>
      <c r="K554" s="7"/>
      <c r="L554" s="7"/>
      <c r="M554" s="1"/>
      <c r="P554" s="1"/>
      <c r="Q554" s="32"/>
      <c r="R554" s="7"/>
      <c r="S554" s="7"/>
      <c r="T554" s="1"/>
      <c r="W554" s="1"/>
      <c r="X554" s="32"/>
      <c r="Y554" s="7"/>
      <c r="Z554" s="7"/>
      <c r="AA554" s="1"/>
    </row>
    <row r="555" spans="2:28">
      <c r="B555" s="75" t="s">
        <v>45</v>
      </c>
      <c r="C555" s="271">
        <f>F546</f>
        <v>1000</v>
      </c>
      <c r="D555" s="75" t="s">
        <v>46</v>
      </c>
      <c r="E555" s="272">
        <v>0</v>
      </c>
      <c r="F555" s="1"/>
      <c r="G555" s="273">
        <f>E555/C555</f>
        <v>0</v>
      </c>
      <c r="I555" s="75" t="s">
        <v>45</v>
      </c>
      <c r="J555" s="271">
        <f>M546</f>
        <v>1500</v>
      </c>
      <c r="K555" s="75" t="s">
        <v>46</v>
      </c>
      <c r="L555" s="272">
        <v>0</v>
      </c>
      <c r="M555" s="1"/>
      <c r="N555" s="273">
        <f>L555/J555</f>
        <v>0</v>
      </c>
      <c r="P555" s="75" t="s">
        <v>45</v>
      </c>
      <c r="Q555" s="271">
        <f>T546</f>
        <v>2000</v>
      </c>
      <c r="R555" s="75" t="s">
        <v>46</v>
      </c>
      <c r="S555" s="272">
        <v>0</v>
      </c>
      <c r="T555" s="1"/>
      <c r="U555" s="273">
        <f>S555/Q555</f>
        <v>0</v>
      </c>
      <c r="W555" s="75" t="s">
        <v>45</v>
      </c>
      <c r="X555" s="271">
        <f>AA546</f>
        <v>2500</v>
      </c>
      <c r="Y555" s="75" t="s">
        <v>46</v>
      </c>
      <c r="Z555" s="272">
        <v>0</v>
      </c>
      <c r="AA555" s="1"/>
      <c r="AB555" s="273">
        <f>Z555/X555</f>
        <v>0</v>
      </c>
    </row>
    <row r="556" spans="2:28">
      <c r="B556" s="85" t="s">
        <v>52</v>
      </c>
      <c r="C556" s="68" t="s">
        <v>42</v>
      </c>
      <c r="D556" s="68" t="s">
        <v>47</v>
      </c>
      <c r="E556" s="87" t="s">
        <v>51</v>
      </c>
      <c r="F556" s="76" t="s">
        <v>59</v>
      </c>
      <c r="G556" s="156" t="s">
        <v>86</v>
      </c>
      <c r="H556" s="274"/>
      <c r="I556" s="85" t="s">
        <v>52</v>
      </c>
      <c r="J556" s="68" t="s">
        <v>42</v>
      </c>
      <c r="K556" s="68" t="s">
        <v>47</v>
      </c>
      <c r="L556" s="87" t="s">
        <v>51</v>
      </c>
      <c r="M556" s="76" t="s">
        <v>59</v>
      </c>
      <c r="N556" s="156" t="s">
        <v>86</v>
      </c>
      <c r="P556" s="85" t="s">
        <v>52</v>
      </c>
      <c r="Q556" s="68" t="s">
        <v>42</v>
      </c>
      <c r="R556" s="68" t="s">
        <v>47</v>
      </c>
      <c r="S556" s="87" t="s">
        <v>51</v>
      </c>
      <c r="T556" s="76" t="s">
        <v>59</v>
      </c>
      <c r="U556" s="156" t="s">
        <v>86</v>
      </c>
      <c r="W556" s="85" t="s">
        <v>52</v>
      </c>
      <c r="X556" s="68" t="s">
        <v>42</v>
      </c>
      <c r="Y556" s="68" t="s">
        <v>47</v>
      </c>
      <c r="Z556" s="87" t="s">
        <v>51</v>
      </c>
      <c r="AA556" s="76" t="s">
        <v>59</v>
      </c>
      <c r="AB556" s="156" t="s">
        <v>86</v>
      </c>
    </row>
    <row r="557" spans="2:28">
      <c r="B557" s="69"/>
      <c r="C557" s="1"/>
      <c r="D557" s="523">
        <f>$D$17</f>
        <v>33.5</v>
      </c>
      <c r="E557" s="70">
        <f>B557*C557*D557*8</f>
        <v>0</v>
      </c>
      <c r="F557" s="76"/>
      <c r="G557" s="157" t="e">
        <f>F546/(E557/D557)</f>
        <v>#DIV/0!</v>
      </c>
      <c r="H557" s="154"/>
      <c r="I557" s="69"/>
      <c r="J557" s="1"/>
      <c r="K557" s="523">
        <f>$D$17</f>
        <v>33.5</v>
      </c>
      <c r="L557" s="70">
        <f>I557*J557*K557*8</f>
        <v>0</v>
      </c>
      <c r="M557" s="76"/>
      <c r="N557" s="157" t="e">
        <f>M546/(L557/K557)</f>
        <v>#DIV/0!</v>
      </c>
      <c r="P557" s="69"/>
      <c r="Q557" s="1"/>
      <c r="R557" s="523">
        <f>$D$17</f>
        <v>33.5</v>
      </c>
      <c r="S557" s="70">
        <f>P557*Q557*R557*8</f>
        <v>0</v>
      </c>
      <c r="T557" s="76"/>
      <c r="U557" s="157" t="e">
        <f>T546/(S557/R557)</f>
        <v>#DIV/0!</v>
      </c>
      <c r="W557" s="69"/>
      <c r="X557" s="1"/>
      <c r="Y557" s="523">
        <f>$D$17</f>
        <v>33.5</v>
      </c>
      <c r="Z557" s="70">
        <f>W557*X557*Y557*8</f>
        <v>0</v>
      </c>
      <c r="AA557" s="76"/>
      <c r="AB557" s="157" t="e">
        <f>AA546/(Z557/Y557)</f>
        <v>#DIV/0!</v>
      </c>
    </row>
    <row r="558" spans="2:28">
      <c r="B558" s="69"/>
      <c r="C558" s="1"/>
      <c r="D558" s="523">
        <f>$D$17</f>
        <v>33.5</v>
      </c>
      <c r="E558" s="70">
        <f>B558*C558*D558*8</f>
        <v>0</v>
      </c>
      <c r="F558" s="76"/>
      <c r="G558" s="275" t="e">
        <f>F548/(E558/D558)</f>
        <v>#DIV/0!</v>
      </c>
      <c r="H558" s="154"/>
      <c r="I558" s="69"/>
      <c r="J558" s="1"/>
      <c r="K558" s="523">
        <f>$D$17</f>
        <v>33.5</v>
      </c>
      <c r="L558" s="70">
        <f>I558*J558*K558*8</f>
        <v>0</v>
      </c>
      <c r="M558" s="76"/>
      <c r="N558" s="275" t="e">
        <f>M548/(L558/K558)</f>
        <v>#DIV/0!</v>
      </c>
      <c r="P558" s="69"/>
      <c r="Q558" s="1"/>
      <c r="R558" s="523">
        <f>$D$17</f>
        <v>33.5</v>
      </c>
      <c r="S558" s="70">
        <f>P558*Q558*R558*8</f>
        <v>0</v>
      </c>
      <c r="T558" s="76"/>
      <c r="U558" s="275" t="e">
        <f>T548/(S558/R558)</f>
        <v>#DIV/0!</v>
      </c>
      <c r="W558" s="69"/>
      <c r="X558" s="1"/>
      <c r="Y558" s="523">
        <f>$D$17</f>
        <v>33.5</v>
      </c>
      <c r="Z558" s="70">
        <f>W558*X558*Y558*8</f>
        <v>0</v>
      </c>
      <c r="AA558" s="76"/>
      <c r="AB558" s="275" t="e">
        <f>AA548/(Z558/Y558)</f>
        <v>#DIV/0!</v>
      </c>
    </row>
    <row r="559" spans="2:28">
      <c r="B559" s="86" t="s">
        <v>53</v>
      </c>
      <c r="C559" s="67" t="s">
        <v>44</v>
      </c>
      <c r="D559" s="67" t="s">
        <v>43</v>
      </c>
      <c r="E559" s="71"/>
      <c r="F559" s="1"/>
      <c r="I559" s="86" t="s">
        <v>53</v>
      </c>
      <c r="J559" s="67" t="s">
        <v>44</v>
      </c>
      <c r="K559" s="67" t="s">
        <v>43</v>
      </c>
      <c r="L559" s="71"/>
      <c r="M559" s="1"/>
      <c r="P559" s="86" t="s">
        <v>53</v>
      </c>
      <c r="Q559" s="67" t="s">
        <v>44</v>
      </c>
      <c r="R559" s="276" t="s">
        <v>43</v>
      </c>
      <c r="S559" s="71"/>
      <c r="T559" s="1"/>
      <c r="W559" s="86" t="s">
        <v>53</v>
      </c>
      <c r="X559" s="67" t="s">
        <v>44</v>
      </c>
      <c r="Y559" s="276" t="s">
        <v>43</v>
      </c>
      <c r="Z559" s="71"/>
      <c r="AA559" s="1"/>
    </row>
    <row r="560" spans="2:28">
      <c r="B560" s="69"/>
      <c r="C560" s="1"/>
      <c r="D560" s="523">
        <f>$D$20</f>
        <v>33.5</v>
      </c>
      <c r="E560" s="70">
        <f>B560*C560*D560</f>
        <v>0</v>
      </c>
      <c r="F560" s="76"/>
      <c r="I560" s="69"/>
      <c r="J560" s="1"/>
      <c r="K560" s="523">
        <f>$D$20</f>
        <v>33.5</v>
      </c>
      <c r="L560" s="70">
        <f>I560*J560*K560</f>
        <v>0</v>
      </c>
      <c r="M560" s="76"/>
      <c r="P560" s="69"/>
      <c r="Q560" s="1"/>
      <c r="R560" s="523">
        <f>$D$20</f>
        <v>33.5</v>
      </c>
      <c r="S560" s="70">
        <f>P560*Q560*R560</f>
        <v>0</v>
      </c>
      <c r="T560" s="76"/>
      <c r="W560" s="69"/>
      <c r="X560" s="1"/>
      <c r="Y560" s="523">
        <f>$D$20</f>
        <v>33.5</v>
      </c>
      <c r="Z560" s="70">
        <f>W560*X560*Y560</f>
        <v>0</v>
      </c>
      <c r="AA560" s="76"/>
    </row>
    <row r="561" spans="2:28">
      <c r="B561" s="277" t="s">
        <v>4</v>
      </c>
      <c r="C561" s="278"/>
      <c r="D561" s="278"/>
      <c r="E561" s="279">
        <f>ROUNDUP(SUM(E557:E560),0)</f>
        <v>0</v>
      </c>
      <c r="F561" s="123">
        <f>E561/C555</f>
        <v>0</v>
      </c>
      <c r="G561" s="124" t="s">
        <v>87</v>
      </c>
      <c r="H561" s="1"/>
      <c r="I561" s="277" t="s">
        <v>4</v>
      </c>
      <c r="J561" s="278"/>
      <c r="K561" s="278"/>
      <c r="L561" s="279">
        <f>ROUNDUP(SUM(L557:L560),0)</f>
        <v>0</v>
      </c>
      <c r="M561" s="123">
        <f>L561/J555</f>
        <v>0</v>
      </c>
      <c r="N561" s="124" t="s">
        <v>87</v>
      </c>
      <c r="P561" s="277" t="s">
        <v>4</v>
      </c>
      <c r="Q561" s="278"/>
      <c r="R561" s="278"/>
      <c r="S561" s="279">
        <f>ROUNDUP(SUM(S557:S560),0)</f>
        <v>0</v>
      </c>
      <c r="T561" s="123">
        <f>S561/Q555</f>
        <v>0</v>
      </c>
      <c r="U561" s="124" t="s">
        <v>87</v>
      </c>
      <c r="W561" s="277" t="s">
        <v>4</v>
      </c>
      <c r="X561" s="278"/>
      <c r="Y561" s="278"/>
      <c r="Z561" s="279">
        <f>ROUNDUP(SUM(Z557:Z560),0)</f>
        <v>0</v>
      </c>
      <c r="AA561" s="123">
        <f>Z561/X555</f>
        <v>0</v>
      </c>
      <c r="AB561" s="124" t="s">
        <v>87</v>
      </c>
    </row>
    <row r="562" spans="2:28">
      <c r="B562" s="1"/>
      <c r="C562" s="32"/>
      <c r="D562" s="7"/>
      <c r="E562" s="7"/>
      <c r="F562" s="7"/>
      <c r="G562" s="1"/>
      <c r="H562" s="1"/>
      <c r="I562" s="1"/>
      <c r="J562" s="32"/>
      <c r="K562" s="7"/>
      <c r="L562" s="7"/>
      <c r="M562" s="7"/>
      <c r="N562" s="1"/>
      <c r="P562" s="1"/>
      <c r="Q562" s="32"/>
      <c r="R562" s="7"/>
      <c r="S562" s="7"/>
      <c r="T562" s="7"/>
      <c r="U562" s="1"/>
      <c r="W562" s="1"/>
      <c r="X562" s="32"/>
      <c r="Y562" s="7"/>
      <c r="Z562" s="7"/>
      <c r="AA562" s="7"/>
      <c r="AB562" s="1"/>
    </row>
    <row r="563" spans="2:28">
      <c r="B563" s="5" t="s">
        <v>252</v>
      </c>
      <c r="C563" s="30" t="s">
        <v>11</v>
      </c>
      <c r="D563" s="11" t="s">
        <v>1</v>
      </c>
      <c r="E563" s="12" t="s">
        <v>2</v>
      </c>
      <c r="F563" s="1"/>
      <c r="G563" s="1"/>
      <c r="H563" s="1"/>
      <c r="I563" s="5" t="s">
        <v>252</v>
      </c>
      <c r="J563" s="30" t="s">
        <v>11</v>
      </c>
      <c r="K563" s="11" t="s">
        <v>1</v>
      </c>
      <c r="L563" s="12" t="s">
        <v>2</v>
      </c>
      <c r="M563" s="1"/>
      <c r="N563" s="1"/>
      <c r="P563" s="5" t="s">
        <v>252</v>
      </c>
      <c r="Q563" s="30" t="s">
        <v>11</v>
      </c>
      <c r="R563" s="11" t="s">
        <v>1</v>
      </c>
      <c r="S563" s="12" t="s">
        <v>2</v>
      </c>
      <c r="T563" s="1"/>
      <c r="U563" s="1"/>
      <c r="W563" s="5" t="s">
        <v>252</v>
      </c>
      <c r="X563" s="30" t="s">
        <v>11</v>
      </c>
      <c r="Y563" s="11" t="s">
        <v>1</v>
      </c>
      <c r="Z563" s="12" t="s">
        <v>2</v>
      </c>
      <c r="AA563" s="1"/>
      <c r="AB563" s="1"/>
    </row>
    <row r="564" spans="2:28">
      <c r="B564" s="6" t="s">
        <v>17</v>
      </c>
      <c r="C564" s="37"/>
      <c r="D564" s="7">
        <v>35</v>
      </c>
      <c r="E564" s="9">
        <f t="shared" ref="E564:E570" si="112">ROUNDUP(C564*D564,0)</f>
        <v>0</v>
      </c>
      <c r="F564" s="1"/>
      <c r="G564" s="1"/>
      <c r="H564" s="1"/>
      <c r="I564" s="6" t="s">
        <v>17</v>
      </c>
      <c r="J564" s="37"/>
      <c r="K564" s="7">
        <v>35</v>
      </c>
      <c r="L564" s="9">
        <f t="shared" ref="L564:L570" si="113">ROUNDUP(J564*K564,0)</f>
        <v>0</v>
      </c>
      <c r="M564" s="1"/>
      <c r="N564" s="1"/>
      <c r="P564" s="6" t="s">
        <v>17</v>
      </c>
      <c r="Q564" s="37"/>
      <c r="R564" s="7">
        <v>35</v>
      </c>
      <c r="S564" s="9">
        <f t="shared" ref="S564:S570" si="114">ROUNDUP(Q564*R564,0)</f>
        <v>0</v>
      </c>
      <c r="T564" s="1"/>
      <c r="U564" s="1"/>
      <c r="W564" s="6" t="s">
        <v>17</v>
      </c>
      <c r="X564" s="37"/>
      <c r="Y564" s="7">
        <v>35</v>
      </c>
      <c r="Z564" s="9">
        <f t="shared" ref="Z564:Z570" si="115">ROUNDUP(X564*Y564,0)</f>
        <v>0</v>
      </c>
      <c r="AA564" s="1"/>
      <c r="AB564" s="1"/>
    </row>
    <row r="565" spans="2:28">
      <c r="B565" s="6" t="s">
        <v>75</v>
      </c>
      <c r="C565" s="37"/>
      <c r="D565" s="7">
        <v>0.33</v>
      </c>
      <c r="E565" s="9">
        <f t="shared" si="112"/>
        <v>0</v>
      </c>
      <c r="F565" s="1"/>
      <c r="G565" s="1"/>
      <c r="H565" s="1"/>
      <c r="I565" s="6" t="s">
        <v>75</v>
      </c>
      <c r="J565" s="37"/>
      <c r="K565" s="7">
        <v>0.33</v>
      </c>
      <c r="L565" s="9">
        <f t="shared" si="113"/>
        <v>0</v>
      </c>
      <c r="M565" s="1"/>
      <c r="N565" s="1"/>
      <c r="P565" s="6" t="s">
        <v>75</v>
      </c>
      <c r="Q565" s="37"/>
      <c r="R565" s="7">
        <v>0.33</v>
      </c>
      <c r="S565" s="9">
        <f t="shared" si="114"/>
        <v>0</v>
      </c>
      <c r="T565" s="1"/>
      <c r="U565" s="1"/>
      <c r="W565" s="6" t="s">
        <v>75</v>
      </c>
      <c r="X565" s="37"/>
      <c r="Y565" s="7">
        <v>0.33</v>
      </c>
      <c r="Z565" s="9">
        <f t="shared" si="115"/>
        <v>0</v>
      </c>
      <c r="AA565" s="1"/>
      <c r="AB565" s="1"/>
    </row>
    <row r="566" spans="2:28">
      <c r="B566" s="6" t="s">
        <v>68</v>
      </c>
      <c r="C566" s="37">
        <v>0</v>
      </c>
      <c r="D566" s="7">
        <f>$D$26</f>
        <v>70</v>
      </c>
      <c r="E566" s="9">
        <f t="shared" si="112"/>
        <v>0</v>
      </c>
      <c r="F566" s="1"/>
      <c r="G566" s="1"/>
      <c r="H566" s="1"/>
      <c r="I566" s="6" t="s">
        <v>68</v>
      </c>
      <c r="J566" s="37">
        <f>(L561/8)/K557</f>
        <v>0</v>
      </c>
      <c r="K566" s="7">
        <f>$D$26</f>
        <v>70</v>
      </c>
      <c r="L566" s="9">
        <f t="shared" si="113"/>
        <v>0</v>
      </c>
      <c r="M566" s="1"/>
      <c r="N566" s="1"/>
      <c r="P566" s="6" t="s">
        <v>68</v>
      </c>
      <c r="Q566" s="37">
        <f>(S561/8)/R557</f>
        <v>0</v>
      </c>
      <c r="R566" s="7">
        <f>$D$26</f>
        <v>70</v>
      </c>
      <c r="S566" s="9">
        <f t="shared" si="114"/>
        <v>0</v>
      </c>
      <c r="T566" s="1"/>
      <c r="U566" s="1"/>
      <c r="W566" s="6" t="s">
        <v>68</v>
      </c>
      <c r="X566" s="37">
        <f>(Z561/8)/Y557</f>
        <v>0</v>
      </c>
      <c r="Y566" s="7">
        <f>$D$26</f>
        <v>70</v>
      </c>
      <c r="Z566" s="9">
        <f t="shared" si="115"/>
        <v>0</v>
      </c>
      <c r="AA566" s="1"/>
      <c r="AB566" s="1"/>
    </row>
    <row r="567" spans="2:28">
      <c r="B567" s="6" t="s">
        <v>69</v>
      </c>
      <c r="C567" s="37">
        <f>C566</f>
        <v>0</v>
      </c>
      <c r="D567" s="7">
        <f>$D$27</f>
        <v>45</v>
      </c>
      <c r="E567" s="9">
        <f t="shared" si="112"/>
        <v>0</v>
      </c>
      <c r="F567" s="43"/>
      <c r="G567" s="1"/>
      <c r="H567" s="1"/>
      <c r="I567" s="6" t="s">
        <v>69</v>
      </c>
      <c r="J567" s="37">
        <f>J566</f>
        <v>0</v>
      </c>
      <c r="K567" s="7">
        <f>$D$27</f>
        <v>45</v>
      </c>
      <c r="L567" s="9">
        <f t="shared" si="113"/>
        <v>0</v>
      </c>
      <c r="M567" s="43"/>
      <c r="N567" s="1"/>
      <c r="P567" s="6" t="s">
        <v>69</v>
      </c>
      <c r="Q567" s="37">
        <f>Q566</f>
        <v>0</v>
      </c>
      <c r="R567" s="7">
        <f>$D$27</f>
        <v>45</v>
      </c>
      <c r="S567" s="9">
        <f t="shared" si="114"/>
        <v>0</v>
      </c>
      <c r="T567" s="43"/>
      <c r="U567" s="1"/>
      <c r="W567" s="6" t="s">
        <v>69</v>
      </c>
      <c r="X567" s="37">
        <f>X566</f>
        <v>0</v>
      </c>
      <c r="Y567" s="7">
        <f>$D$27</f>
        <v>45</v>
      </c>
      <c r="Z567" s="9">
        <f t="shared" si="115"/>
        <v>0</v>
      </c>
      <c r="AA567" s="43"/>
      <c r="AB567" s="1"/>
    </row>
    <row r="568" spans="2:28">
      <c r="B568" s="6" t="s">
        <v>253</v>
      </c>
      <c r="C568" s="37">
        <f>(E561/8)/D557</f>
        <v>0</v>
      </c>
      <c r="D568" s="7">
        <f>$D$28</f>
        <v>14</v>
      </c>
      <c r="E568" s="9">
        <f t="shared" si="112"/>
        <v>0</v>
      </c>
      <c r="F568" s="43"/>
      <c r="G568" s="1"/>
      <c r="H568" s="1"/>
      <c r="I568" s="6" t="s">
        <v>253</v>
      </c>
      <c r="J568" s="37">
        <f>(L561/8)/K557</f>
        <v>0</v>
      </c>
      <c r="K568" s="7">
        <f>$D$28</f>
        <v>14</v>
      </c>
      <c r="L568" s="9">
        <f t="shared" si="113"/>
        <v>0</v>
      </c>
      <c r="M568" s="43"/>
      <c r="N568" s="1"/>
      <c r="P568" s="6" t="s">
        <v>253</v>
      </c>
      <c r="Q568" s="37">
        <f>(S561/8)/R557</f>
        <v>0</v>
      </c>
      <c r="R568" s="7">
        <f>$D$28</f>
        <v>14</v>
      </c>
      <c r="S568" s="9">
        <f t="shared" si="114"/>
        <v>0</v>
      </c>
      <c r="T568" s="43"/>
      <c r="U568" s="1"/>
      <c r="W568" s="6" t="s">
        <v>253</v>
      </c>
      <c r="X568" s="37">
        <f>(Z561/8)/Y557</f>
        <v>0</v>
      </c>
      <c r="Y568" s="7">
        <f>$D$28</f>
        <v>14</v>
      </c>
      <c r="Z568" s="9">
        <f t="shared" si="115"/>
        <v>0</v>
      </c>
      <c r="AA568" s="43"/>
      <c r="AB568" s="1"/>
    </row>
    <row r="569" spans="2:28">
      <c r="B569" s="308" t="s">
        <v>319</v>
      </c>
      <c r="C569" s="309">
        <v>1</v>
      </c>
      <c r="D569" s="310">
        <v>250</v>
      </c>
      <c r="E569" s="311">
        <f t="shared" si="112"/>
        <v>250</v>
      </c>
      <c r="F569" s="1"/>
      <c r="G569" s="1"/>
      <c r="H569" s="1"/>
      <c r="I569" s="308" t="s">
        <v>320</v>
      </c>
      <c r="J569" s="309">
        <v>1</v>
      </c>
      <c r="K569" s="310">
        <v>300</v>
      </c>
      <c r="L569" s="311">
        <f t="shared" si="113"/>
        <v>300</v>
      </c>
      <c r="M569" s="1"/>
      <c r="N569" s="1"/>
      <c r="P569" s="312" t="s">
        <v>321</v>
      </c>
      <c r="Q569" s="313">
        <v>1</v>
      </c>
      <c r="R569" s="310">
        <v>350</v>
      </c>
      <c r="S569" s="311">
        <f t="shared" si="114"/>
        <v>350</v>
      </c>
      <c r="T569" s="1"/>
      <c r="U569" s="1"/>
      <c r="W569" s="312" t="s">
        <v>322</v>
      </c>
      <c r="X569" s="313">
        <v>1</v>
      </c>
      <c r="Y569" s="310">
        <v>400</v>
      </c>
      <c r="Z569" s="311">
        <f t="shared" si="115"/>
        <v>400</v>
      </c>
      <c r="AA569" s="1"/>
      <c r="AB569" s="1"/>
    </row>
    <row r="570" spans="2:28">
      <c r="B570" s="6" t="s">
        <v>28</v>
      </c>
      <c r="C570" s="37"/>
      <c r="D570" s="7"/>
      <c r="E570" s="9">
        <f t="shared" si="112"/>
        <v>0</v>
      </c>
      <c r="F570" s="1"/>
      <c r="G570" s="1"/>
      <c r="H570" s="1"/>
      <c r="I570" s="6" t="s">
        <v>28</v>
      </c>
      <c r="J570" s="37"/>
      <c r="K570" s="7"/>
      <c r="L570" s="9">
        <f t="shared" si="113"/>
        <v>0</v>
      </c>
      <c r="M570" s="1"/>
      <c r="N570" s="1"/>
      <c r="P570" s="6" t="s">
        <v>28</v>
      </c>
      <c r="Q570" s="37"/>
      <c r="R570" s="7"/>
      <c r="S570" s="9">
        <f t="shared" si="114"/>
        <v>0</v>
      </c>
      <c r="T570" s="1"/>
      <c r="U570" s="1"/>
      <c r="W570" s="6" t="s">
        <v>28</v>
      </c>
      <c r="X570" s="37"/>
      <c r="Y570" s="7"/>
      <c r="Z570" s="9">
        <f t="shared" si="115"/>
        <v>0</v>
      </c>
      <c r="AA570" s="1"/>
      <c r="AB570" s="1"/>
    </row>
    <row r="571" spans="2:28">
      <c r="B571" s="10" t="s">
        <v>255</v>
      </c>
      <c r="C571" s="36"/>
      <c r="D571" s="13"/>
      <c r="E571" s="16">
        <f>SUM(E564:E570)</f>
        <v>250</v>
      </c>
      <c r="F571" s="1"/>
      <c r="G571" s="1"/>
      <c r="H571" s="1"/>
      <c r="I571" s="10" t="s">
        <v>255</v>
      </c>
      <c r="J571" s="36"/>
      <c r="K571" s="13"/>
      <c r="L571" s="16">
        <f>SUM(L564:L570)</f>
        <v>300</v>
      </c>
      <c r="M571" s="1"/>
      <c r="N571" s="1"/>
      <c r="P571" s="10" t="s">
        <v>255</v>
      </c>
      <c r="Q571" s="36"/>
      <c r="R571" s="13"/>
      <c r="S571" s="16">
        <f>SUM(S564:S570)</f>
        <v>350</v>
      </c>
      <c r="T571" s="1"/>
      <c r="U571" s="1"/>
      <c r="W571" s="10" t="s">
        <v>255</v>
      </c>
      <c r="X571" s="36"/>
      <c r="Y571" s="13"/>
      <c r="Z571" s="16">
        <f>SUM(Z564:Z570)</f>
        <v>400</v>
      </c>
      <c r="AA571" s="1"/>
      <c r="AB571" s="1"/>
    </row>
    <row r="572" spans="2:28">
      <c r="B572" s="1"/>
      <c r="C572" s="32"/>
      <c r="D572" s="7"/>
      <c r="E572" s="7"/>
      <c r="F572" s="1"/>
      <c r="G572" s="1"/>
      <c r="H572" s="1"/>
      <c r="I572" s="1"/>
      <c r="J572" s="32"/>
      <c r="K572" s="7"/>
      <c r="L572" s="7"/>
      <c r="M572" s="1"/>
      <c r="N572" s="1"/>
      <c r="P572" s="1"/>
      <c r="Q572" s="32"/>
      <c r="R572" s="7"/>
      <c r="S572" s="7"/>
      <c r="T572" s="1"/>
      <c r="U572" s="1"/>
      <c r="W572" s="1"/>
      <c r="X572" s="32"/>
      <c r="Y572" s="7"/>
      <c r="Z572" s="7"/>
      <c r="AA572" s="1"/>
      <c r="AB572" s="1"/>
    </row>
    <row r="573" spans="2:28">
      <c r="B573" s="1"/>
      <c r="C573" s="32"/>
      <c r="D573" s="7"/>
      <c r="E573" s="7"/>
      <c r="F573" s="1"/>
      <c r="G573" s="1"/>
      <c r="H573" s="1"/>
      <c r="I573" s="1"/>
      <c r="J573" s="32"/>
      <c r="K573" s="7"/>
      <c r="L573" s="7"/>
      <c r="M573" s="1"/>
      <c r="N573" s="1"/>
      <c r="P573" s="1"/>
      <c r="Q573" s="32"/>
      <c r="R573" s="7"/>
      <c r="S573" s="7"/>
      <c r="T573" s="1"/>
      <c r="U573" s="1"/>
      <c r="W573" s="1"/>
      <c r="X573" s="32"/>
      <c r="Y573" s="7"/>
      <c r="Z573" s="7"/>
      <c r="AA573" s="1"/>
      <c r="AB573" s="1"/>
    </row>
    <row r="574" spans="2:28">
      <c r="B574" s="280" t="s">
        <v>9</v>
      </c>
      <c r="C574" s="281"/>
      <c r="D574" s="282"/>
      <c r="E574" s="283">
        <f>SUM(E553,E561,E571)</f>
        <v>250</v>
      </c>
      <c r="F574" s="1"/>
      <c r="G574" s="1"/>
      <c r="H574" s="1"/>
      <c r="I574" s="280" t="s">
        <v>9</v>
      </c>
      <c r="J574" s="281"/>
      <c r="K574" s="282"/>
      <c r="L574" s="283">
        <f>SUM(L553,L561,L571)</f>
        <v>300</v>
      </c>
      <c r="M574" s="1"/>
      <c r="N574" s="1"/>
      <c r="P574" s="280" t="s">
        <v>9</v>
      </c>
      <c r="Q574" s="281"/>
      <c r="R574" s="282"/>
      <c r="S574" s="283">
        <f>SUM(S553,S561,S571)</f>
        <v>350</v>
      </c>
      <c r="T574" s="1"/>
      <c r="U574" s="1"/>
      <c r="W574" s="280" t="s">
        <v>9</v>
      </c>
      <c r="X574" s="281"/>
      <c r="Y574" s="282"/>
      <c r="Z574" s="283">
        <f>SUM(Z553,Z561,Z571)</f>
        <v>400</v>
      </c>
      <c r="AA574" s="1"/>
      <c r="AB574" s="1"/>
    </row>
    <row r="575" spans="2:28">
      <c r="B575" s="1"/>
      <c r="C575" s="32"/>
      <c r="D575" s="7"/>
      <c r="E575" s="7"/>
      <c r="F575" s="1"/>
      <c r="G575" s="1"/>
      <c r="H575" s="1"/>
      <c r="I575" s="1"/>
      <c r="J575" s="32"/>
      <c r="K575" s="7"/>
      <c r="L575" s="7"/>
      <c r="M575" s="1"/>
      <c r="N575" s="1"/>
      <c r="P575" s="1"/>
      <c r="Q575" s="32"/>
      <c r="R575" s="7"/>
      <c r="S575" s="7"/>
      <c r="T575" s="1"/>
      <c r="U575" s="1"/>
      <c r="W575" s="1"/>
      <c r="X575" s="32"/>
      <c r="Y575" s="7"/>
      <c r="Z575" s="7"/>
      <c r="AA575" s="1"/>
      <c r="AB575" s="1"/>
    </row>
    <row r="576" spans="2:28">
      <c r="B576" s="5" t="s">
        <v>8</v>
      </c>
      <c r="C576" s="30" t="s">
        <v>7</v>
      </c>
      <c r="D576" s="14"/>
      <c r="E576" s="12"/>
      <c r="F576" s="1"/>
      <c r="G576" s="1"/>
      <c r="H576" s="1"/>
      <c r="I576" s="5" t="s">
        <v>8</v>
      </c>
      <c r="J576" s="30" t="s">
        <v>7</v>
      </c>
      <c r="K576" s="14"/>
      <c r="L576" s="12"/>
      <c r="M576" s="1"/>
      <c r="N576" s="1"/>
      <c r="P576" s="5" t="s">
        <v>8</v>
      </c>
      <c r="Q576" s="30" t="s">
        <v>7</v>
      </c>
      <c r="R576" s="14"/>
      <c r="S576" s="12"/>
      <c r="T576" s="1"/>
      <c r="U576" s="1"/>
      <c r="W576" s="5" t="s">
        <v>8</v>
      </c>
      <c r="X576" s="30" t="s">
        <v>7</v>
      </c>
      <c r="Y576" s="14"/>
      <c r="Z576" s="12"/>
      <c r="AA576" s="1"/>
      <c r="AB576" s="1"/>
    </row>
    <row r="577" spans="2:28">
      <c r="B577" s="6" t="s">
        <v>15</v>
      </c>
      <c r="C577" s="208">
        <f>$C$37</f>
        <v>9.4750000000000001E-2</v>
      </c>
      <c r="D577" s="209"/>
      <c r="E577" s="9">
        <f>ROUNDUP(SUM(E574)*C577,0)</f>
        <v>24</v>
      </c>
      <c r="F577" s="74" t="s">
        <v>399</v>
      </c>
      <c r="G577" s="1"/>
      <c r="H577" s="1"/>
      <c r="I577" s="6" t="s">
        <v>15</v>
      </c>
      <c r="J577" s="208">
        <f>$C$37</f>
        <v>9.4750000000000001E-2</v>
      </c>
      <c r="K577" s="209"/>
      <c r="L577" s="9">
        <f>ROUNDUP(SUM(L574)*J577,0)</f>
        <v>29</v>
      </c>
      <c r="M577" s="74" t="s">
        <v>399</v>
      </c>
      <c r="N577" s="1"/>
      <c r="P577" s="6" t="s">
        <v>15</v>
      </c>
      <c r="Q577" s="208">
        <f>$C$37</f>
        <v>9.4750000000000001E-2</v>
      </c>
      <c r="R577" s="209"/>
      <c r="S577" s="9">
        <f>ROUNDUP(SUM(S574)*Q577,0)</f>
        <v>34</v>
      </c>
      <c r="T577" s="74" t="s">
        <v>399</v>
      </c>
      <c r="U577" s="1"/>
      <c r="W577" s="6" t="s">
        <v>15</v>
      </c>
      <c r="X577" s="208">
        <f>$C$37</f>
        <v>9.4750000000000001E-2</v>
      </c>
      <c r="Y577" s="209"/>
      <c r="Z577" s="9">
        <f>ROUNDUP(SUM(Z553:Z553)*X577,0)</f>
        <v>0</v>
      </c>
      <c r="AA577" s="1"/>
      <c r="AB577" s="1"/>
    </row>
    <row r="578" spans="2:28">
      <c r="B578" s="6" t="s">
        <v>74</v>
      </c>
      <c r="C578" s="241">
        <v>0.08</v>
      </c>
      <c r="D578" s="209"/>
      <c r="E578" s="9">
        <f>ROUNDUP(SUM(E561)*C578,0)</f>
        <v>0</v>
      </c>
      <c r="F578" s="1"/>
      <c r="G578" s="1"/>
      <c r="H578" s="1"/>
      <c r="I578" s="6" t="s">
        <v>74</v>
      </c>
      <c r="J578" s="241">
        <v>0.08</v>
      </c>
      <c r="K578" s="209"/>
      <c r="L578" s="9">
        <f>ROUNDUP(SUM(L561)*J578,0)</f>
        <v>0</v>
      </c>
      <c r="M578" s="1"/>
      <c r="N578" s="1"/>
      <c r="P578" s="6" t="s">
        <v>74</v>
      </c>
      <c r="Q578" s="241">
        <v>0.08</v>
      </c>
      <c r="R578" s="209"/>
      <c r="S578" s="9">
        <f>ROUNDUP(SUM(S561)*Q578,0)</f>
        <v>0</v>
      </c>
      <c r="T578" s="1"/>
      <c r="U578" s="1"/>
      <c r="W578" s="6" t="s">
        <v>74</v>
      </c>
      <c r="X578" s="241">
        <v>0.08</v>
      </c>
      <c r="Y578" s="209"/>
      <c r="Z578" s="9">
        <f>ROUNDUP(SUM(Z561)*X578,0)</f>
        <v>0</v>
      </c>
      <c r="AA578" s="1"/>
      <c r="AB578" s="1"/>
    </row>
    <row r="579" spans="2:28">
      <c r="B579" s="6" t="s">
        <v>256</v>
      </c>
      <c r="C579" s="122">
        <f>IF(E553&lt;=5000,0.1,0.05)</f>
        <v>0.1</v>
      </c>
      <c r="D579" s="7"/>
      <c r="E579" s="9">
        <f>ROUNDUP(E553*C579,0)</f>
        <v>0</v>
      </c>
      <c r="F579" s="1"/>
      <c r="G579" s="1"/>
      <c r="H579" s="1"/>
      <c r="I579" s="6" t="s">
        <v>256</v>
      </c>
      <c r="J579" s="122">
        <f>IF(L553&lt;=5000,0.1,0.05)</f>
        <v>0.1</v>
      </c>
      <c r="K579" s="7"/>
      <c r="L579" s="9">
        <f>ROUNDUP(L553*J579,0)</f>
        <v>0</v>
      </c>
      <c r="M579" s="1"/>
      <c r="N579" s="1"/>
      <c r="P579" s="6" t="s">
        <v>256</v>
      </c>
      <c r="Q579" s="122">
        <f>IF(S553&lt;=5000,0.1,0.05)</f>
        <v>0.1</v>
      </c>
      <c r="R579" s="7"/>
      <c r="S579" s="9">
        <f>ROUNDUP(S553*Q579,0)</f>
        <v>0</v>
      </c>
      <c r="T579" s="1"/>
      <c r="U579" s="1"/>
      <c r="W579" s="6" t="s">
        <v>256</v>
      </c>
      <c r="X579" s="122">
        <f>IF(Z553&lt;=5000,0.1,0.05)</f>
        <v>0.1</v>
      </c>
      <c r="Y579" s="7"/>
      <c r="Z579" s="9">
        <f>ROUNDUP(Z553*X579,0)</f>
        <v>0</v>
      </c>
      <c r="AA579" s="1"/>
      <c r="AB579" s="1"/>
    </row>
    <row r="580" spans="2:28">
      <c r="B580" s="6" t="s">
        <v>257</v>
      </c>
      <c r="C580" s="122">
        <f>IF(E561&lt;=2000,0.35,IF(E561&lt;=3000,0.3,IF(E561&lt;=4000,0.25,IF(E561&lt;=7000,0.2,0.15))))</f>
        <v>0.35</v>
      </c>
      <c r="D580" s="7"/>
      <c r="E580" s="9">
        <f>ROUNDUP(E561*C580,0)</f>
        <v>0</v>
      </c>
      <c r="F580" s="1"/>
      <c r="G580" s="1"/>
      <c r="H580" s="1"/>
      <c r="I580" s="6" t="s">
        <v>257</v>
      </c>
      <c r="J580" s="122">
        <f>IF(L561&lt;=2000,0.35,IF(L561&lt;=3000,0.3,IF(L561&lt;=4000,0.25,IF(L561&lt;=7000,0.2,0.15))))</f>
        <v>0.35</v>
      </c>
      <c r="K580" s="7"/>
      <c r="L580" s="9">
        <f>ROUNDUP(L561*J580,0)</f>
        <v>0</v>
      </c>
      <c r="M580" s="1"/>
      <c r="N580" s="1"/>
      <c r="P580" s="6" t="s">
        <v>257</v>
      </c>
      <c r="Q580" s="122">
        <f>IF(S561&lt;=2000,0.35,IF(S561&lt;=3000,0.3,IF(S561&lt;=4000,0.25,IF(S561&lt;=7000,0.2,0.15))))</f>
        <v>0.35</v>
      </c>
      <c r="R580" s="7"/>
      <c r="S580" s="9">
        <f>ROUNDUP(S561*Q580,0)</f>
        <v>0</v>
      </c>
      <c r="T580" s="1"/>
      <c r="U580" s="1"/>
      <c r="W580" s="6" t="s">
        <v>257</v>
      </c>
      <c r="X580" s="122">
        <f>IF(Z561&lt;=2000,0.35,IF(Z561&lt;=3000,0.3,IF(Z561&lt;=4000,0.25,IF(Z561&lt;=7000,0.2,0.15))))</f>
        <v>0.35</v>
      </c>
      <c r="Y580" s="7"/>
      <c r="Z580" s="9">
        <f>ROUNDUP(Z561*X580,0)</f>
        <v>0</v>
      </c>
      <c r="AA580" s="1"/>
      <c r="AB580" s="1"/>
    </row>
    <row r="581" spans="2:28">
      <c r="B581" s="6" t="s">
        <v>258</v>
      </c>
      <c r="C581" s="122">
        <v>0.75</v>
      </c>
      <c r="D581" s="7"/>
      <c r="E581" s="9">
        <f>ROUNDUP(SUM(E574:E580)*C581,0)</f>
        <v>206</v>
      </c>
      <c r="F581" s="1"/>
      <c r="G581" s="1"/>
      <c r="H581" s="1"/>
      <c r="I581" s="6" t="s">
        <v>258</v>
      </c>
      <c r="J581" s="122">
        <v>0.75</v>
      </c>
      <c r="K581" s="7"/>
      <c r="L581" s="9">
        <f>ROUNDUP(SUM(L574:L580)*J581,0)</f>
        <v>247</v>
      </c>
      <c r="M581" s="1"/>
      <c r="N581" s="1"/>
      <c r="P581" s="6" t="s">
        <v>258</v>
      </c>
      <c r="Q581" s="122">
        <v>0.75</v>
      </c>
      <c r="R581" s="7"/>
      <c r="S581" s="9">
        <f>ROUNDUP(SUM(S574:S580)*Q581,0)</f>
        <v>288</v>
      </c>
      <c r="T581" s="1"/>
      <c r="U581" s="1"/>
      <c r="W581" s="6" t="s">
        <v>258</v>
      </c>
      <c r="X581" s="122">
        <v>0.75</v>
      </c>
      <c r="Y581" s="7"/>
      <c r="Z581" s="9">
        <f>ROUNDUP(SUM(Z574:Z580)*X581,0)</f>
        <v>300</v>
      </c>
      <c r="AA581" s="1"/>
      <c r="AB581" s="1"/>
    </row>
    <row r="582" spans="2:28">
      <c r="B582" s="284" t="str">
        <f>$B$42</f>
        <v>Kansas Remodel Tax</v>
      </c>
      <c r="C582" s="241">
        <f>$C$42</f>
        <v>0</v>
      </c>
      <c r="D582" s="7"/>
      <c r="E582" s="9">
        <f>ROUNDUP(SUM(E561,E578:E581)*C582,0)</f>
        <v>0</v>
      </c>
      <c r="F582" s="1"/>
      <c r="G582" s="1"/>
      <c r="H582" s="1"/>
      <c r="I582" s="284" t="str">
        <f>$B$42</f>
        <v>Kansas Remodel Tax</v>
      </c>
      <c r="J582" s="241">
        <f>$C$42</f>
        <v>0</v>
      </c>
      <c r="K582" s="7"/>
      <c r="L582" s="9">
        <f>ROUNDUP(SUM(L561,L578:L581)*J582,0)</f>
        <v>0</v>
      </c>
      <c r="M582" s="1"/>
      <c r="N582" s="1"/>
      <c r="P582" s="284" t="str">
        <f>$B$42</f>
        <v>Kansas Remodel Tax</v>
      </c>
      <c r="Q582" s="241">
        <f>$C$42</f>
        <v>0</v>
      </c>
      <c r="R582" s="7"/>
      <c r="S582" s="9">
        <f>ROUNDUP(SUM(S561,S578:S581)*Q582,0)</f>
        <v>0</v>
      </c>
      <c r="T582" s="1"/>
      <c r="U582" s="1"/>
      <c r="W582" s="284" t="str">
        <f>$B$42</f>
        <v>Kansas Remodel Tax</v>
      </c>
      <c r="X582" s="241">
        <f>$C$42</f>
        <v>0</v>
      </c>
      <c r="Y582" s="7"/>
      <c r="Z582" s="9">
        <f>ROUNDUP(SUM(Z561,Z578:Z581)*X582,0)</f>
        <v>0</v>
      </c>
      <c r="AA582" s="1"/>
      <c r="AB582" s="1"/>
    </row>
    <row r="583" spans="2:28">
      <c r="B583" s="403" t="s">
        <v>398</v>
      </c>
      <c r="C583" s="241">
        <f>$C$43</f>
        <v>0.05</v>
      </c>
      <c r="D583" s="7"/>
      <c r="E583" s="9">
        <f>ROUNDUP(C583*SUM(E574:E582),0)</f>
        <v>24</v>
      </c>
      <c r="F583" s="1"/>
      <c r="G583" s="1"/>
      <c r="H583" s="1"/>
      <c r="I583" s="403" t="s">
        <v>398</v>
      </c>
      <c r="J583" s="241">
        <f>$C$43</f>
        <v>0.05</v>
      </c>
      <c r="K583" s="7"/>
      <c r="L583" s="9">
        <f>ROUNDUP(J583*SUM(L574:L582),0)</f>
        <v>29</v>
      </c>
      <c r="M583" s="1"/>
      <c r="N583" s="1"/>
      <c r="P583" s="403" t="s">
        <v>398</v>
      </c>
      <c r="Q583" s="241">
        <f>$C$43</f>
        <v>0.05</v>
      </c>
      <c r="R583" s="7"/>
      <c r="S583" s="9">
        <f>ROUNDUP(Q583*SUM(S574:S582),0)</f>
        <v>34</v>
      </c>
      <c r="T583" s="1"/>
      <c r="U583" s="1"/>
      <c r="W583" s="403" t="s">
        <v>398</v>
      </c>
      <c r="X583" s="241">
        <f>$C$43</f>
        <v>0.05</v>
      </c>
      <c r="Y583" s="7"/>
      <c r="Z583" s="9">
        <f>ROUNDUP(X583*SUM(Z574:Z582),0)</f>
        <v>35</v>
      </c>
      <c r="AA583" s="1"/>
      <c r="AB583" s="1"/>
    </row>
    <row r="584" spans="2:28">
      <c r="B584" s="45" t="s">
        <v>20</v>
      </c>
      <c r="C584" s="46">
        <f>$C$44</f>
        <v>0</v>
      </c>
      <c r="D584" s="15"/>
      <c r="E584" s="210">
        <f>ROUNDUP(SUM(E574:E583)*C584,0)</f>
        <v>0</v>
      </c>
      <c r="F584" s="1"/>
      <c r="G584" s="1"/>
      <c r="H584" s="1"/>
      <c r="I584" s="45" t="s">
        <v>20</v>
      </c>
      <c r="J584" s="46">
        <f>$C$44</f>
        <v>0</v>
      </c>
      <c r="K584" s="15"/>
      <c r="L584" s="210">
        <f>ROUNDUP(SUM(L574:L583)*J584,0)</f>
        <v>0</v>
      </c>
      <c r="M584" s="1"/>
      <c r="N584" s="1"/>
      <c r="P584" s="45" t="s">
        <v>20</v>
      </c>
      <c r="Q584" s="46">
        <f>$C$44</f>
        <v>0</v>
      </c>
      <c r="R584" s="15"/>
      <c r="S584" s="210">
        <f>ROUNDUP(SUM(S574:S583)*Q584,0)</f>
        <v>0</v>
      </c>
      <c r="T584" s="1"/>
      <c r="U584" s="1"/>
      <c r="W584" s="45" t="s">
        <v>20</v>
      </c>
      <c r="X584" s="46">
        <f>$C$44</f>
        <v>0</v>
      </c>
      <c r="Y584" s="15"/>
      <c r="Z584" s="210">
        <f>ROUNDUP(SUM(Z574:Z583)*X584,0)</f>
        <v>0</v>
      </c>
      <c r="AA584" s="1"/>
      <c r="AB584" s="1"/>
    </row>
    <row r="585" spans="2:28">
      <c r="B585" s="1"/>
      <c r="C585" s="8"/>
      <c r="D585" s="7"/>
      <c r="E585" s="7"/>
      <c r="F585" s="1"/>
      <c r="G585" s="286" t="s">
        <v>70</v>
      </c>
      <c r="H585" s="32"/>
      <c r="I585" s="1"/>
      <c r="J585" s="8"/>
      <c r="K585" s="7"/>
      <c r="L585" s="7"/>
      <c r="M585" s="1"/>
      <c r="N585" s="286" t="s">
        <v>70</v>
      </c>
      <c r="P585" s="1"/>
      <c r="Q585" s="8"/>
      <c r="R585" s="7"/>
      <c r="S585" s="7"/>
      <c r="T585" s="1"/>
      <c r="U585" s="286" t="s">
        <v>70</v>
      </c>
      <c r="W585" s="1"/>
      <c r="X585" s="8"/>
      <c r="Y585" s="7"/>
      <c r="Z585" s="7"/>
      <c r="AA585" s="1"/>
      <c r="AB585" s="286" t="s">
        <v>70</v>
      </c>
    </row>
    <row r="586" spans="2:28" ht="16.2" thickBot="1">
      <c r="B586" s="1"/>
      <c r="C586" s="287" t="s">
        <v>262</v>
      </c>
      <c r="D586" s="288">
        <f>C555</f>
        <v>1000</v>
      </c>
      <c r="E586" s="7"/>
      <c r="F586" s="38" t="s">
        <v>18</v>
      </c>
      <c r="G586" s="131">
        <f>SUM(E579:E581)</f>
        <v>206</v>
      </c>
      <c r="H586" s="7"/>
      <c r="I586" s="1"/>
      <c r="J586" s="287" t="s">
        <v>262</v>
      </c>
      <c r="K586" s="288">
        <f>J555</f>
        <v>1500</v>
      </c>
      <c r="L586" s="7"/>
      <c r="M586" s="38" t="s">
        <v>18</v>
      </c>
      <c r="N586" s="131">
        <f>SUM(L579:L581)</f>
        <v>247</v>
      </c>
      <c r="P586" s="1"/>
      <c r="Q586" s="287" t="s">
        <v>262</v>
      </c>
      <c r="R586" s="288">
        <f>Q555</f>
        <v>2000</v>
      </c>
      <c r="S586" s="7"/>
      <c r="T586" s="38" t="s">
        <v>18</v>
      </c>
      <c r="U586" s="131">
        <f>SUM(S579:S581)</f>
        <v>288</v>
      </c>
      <c r="W586" s="1"/>
      <c r="X586" s="287" t="s">
        <v>262</v>
      </c>
      <c r="Y586" s="288">
        <f>X555</f>
        <v>2500</v>
      </c>
      <c r="Z586" s="7"/>
      <c r="AA586" s="38" t="s">
        <v>18</v>
      </c>
      <c r="AB586" s="131">
        <f>SUM(Z579:Z581)</f>
        <v>300</v>
      </c>
    </row>
    <row r="587" spans="2:28" ht="16.2" thickBot="1">
      <c r="B587" s="289" t="s">
        <v>6</v>
      </c>
      <c r="C587" s="290"/>
      <c r="D587" s="291">
        <f>E587/C555</f>
        <v>0.504</v>
      </c>
      <c r="E587" s="292">
        <f>SUM(E574:E584)</f>
        <v>504</v>
      </c>
      <c r="F587" s="7">
        <f>E587-E577-E582</f>
        <v>480</v>
      </c>
      <c r="G587" s="293">
        <f>G586/E587</f>
        <v>0.40873015873015872</v>
      </c>
      <c r="H587" s="294"/>
      <c r="I587" s="289" t="s">
        <v>6</v>
      </c>
      <c r="J587" s="290"/>
      <c r="K587" s="291">
        <f>L587/J555</f>
        <v>0.40333333333333332</v>
      </c>
      <c r="L587" s="292">
        <f>SUM(L574:L584)</f>
        <v>605</v>
      </c>
      <c r="M587" s="7">
        <f>L587-L577-L582</f>
        <v>576</v>
      </c>
      <c r="N587" s="293">
        <f>N586/L587</f>
        <v>0.40826446280991735</v>
      </c>
      <c r="P587" s="289" t="s">
        <v>6</v>
      </c>
      <c r="Q587" s="290"/>
      <c r="R587" s="291">
        <f>S587/Q555</f>
        <v>0.35299999999999998</v>
      </c>
      <c r="S587" s="292">
        <f>SUM(S574:S584)</f>
        <v>706</v>
      </c>
      <c r="T587" s="7">
        <f>S587-S577-S582</f>
        <v>672</v>
      </c>
      <c r="U587" s="293">
        <f>U586/S587</f>
        <v>0.40793201133144474</v>
      </c>
      <c r="W587" s="289" t="s">
        <v>6</v>
      </c>
      <c r="X587" s="290"/>
      <c r="Y587" s="291">
        <f>Z587/X555</f>
        <v>0.29399999999999998</v>
      </c>
      <c r="Z587" s="292">
        <f>SUM(Z574:Z584)</f>
        <v>735</v>
      </c>
      <c r="AA587" s="7">
        <f>Z587-Z577-Z582</f>
        <v>735</v>
      </c>
      <c r="AB587" s="293">
        <f>AB586/Z587</f>
        <v>0.40816326530612246</v>
      </c>
    </row>
    <row r="588" spans="2:28">
      <c r="B588" s="1"/>
      <c r="C588" s="1" t="s">
        <v>5</v>
      </c>
      <c r="D588" s="7">
        <f>E588/C555</f>
        <v>0.504</v>
      </c>
      <c r="E588" s="7">
        <f>E587-E582</f>
        <v>504</v>
      </c>
      <c r="F588" t="s">
        <v>263</v>
      </c>
      <c r="G588" s="295" t="str">
        <f>IF(G587&lt;=0.25,"OWNER APPROVAL REQUIRED","GP % Okay")</f>
        <v>GP % Okay</v>
      </c>
      <c r="H588" s="296"/>
      <c r="I588" s="1"/>
      <c r="J588" s="1" t="s">
        <v>5</v>
      </c>
      <c r="K588" s="7">
        <f>L588/J555</f>
        <v>0.40333333333333332</v>
      </c>
      <c r="L588" s="7">
        <f>L587-L582</f>
        <v>605</v>
      </c>
      <c r="M588" t="s">
        <v>263</v>
      </c>
      <c r="N588" s="295" t="str">
        <f>IF(N587&lt;=0.25,"OWNER APPROVAL REQUIRED","GP % Okay")</f>
        <v>GP % Okay</v>
      </c>
      <c r="P588" s="1"/>
      <c r="Q588" s="1" t="s">
        <v>5</v>
      </c>
      <c r="R588" s="7">
        <f>S588/Q555</f>
        <v>0.35299999999999998</v>
      </c>
      <c r="S588" s="7">
        <f>S587-S582</f>
        <v>706</v>
      </c>
      <c r="T588" t="s">
        <v>263</v>
      </c>
      <c r="U588" s="295" t="str">
        <f>IF(U587&lt;=0.25,"OWNER APPROVAL REQUIRED","GP % Okay")</f>
        <v>GP % Okay</v>
      </c>
      <c r="W588" s="1"/>
      <c r="X588" s="1" t="s">
        <v>5</v>
      </c>
      <c r="Y588" s="7">
        <f>Z588/X555</f>
        <v>0.29399999999999998</v>
      </c>
      <c r="Z588" s="7">
        <f>Z587-Z582</f>
        <v>735</v>
      </c>
      <c r="AA588" t="s">
        <v>263</v>
      </c>
      <c r="AB588" s="295" t="str">
        <f>IF(AB587&lt;=0.25,"OWNER APPROVAL REQUIRED","GP % Okay")</f>
        <v>GP % Okay</v>
      </c>
    </row>
    <row r="592" spans="2:28">
      <c r="B592" s="1897" t="s">
        <v>323</v>
      </c>
      <c r="C592" s="1898"/>
      <c r="D592" s="1898"/>
      <c r="E592" s="1899"/>
      <c r="F592" s="262">
        <f>E637</f>
        <v>400</v>
      </c>
      <c r="G592" s="263" t="s">
        <v>2</v>
      </c>
      <c r="I592" s="1897" t="s">
        <v>324</v>
      </c>
      <c r="J592" s="1898"/>
      <c r="K592" s="1898"/>
      <c r="L592" s="1899"/>
      <c r="M592" s="262">
        <f>L637</f>
        <v>1700</v>
      </c>
      <c r="N592" s="263" t="s">
        <v>2</v>
      </c>
    </row>
    <row r="593" spans="2:14">
      <c r="B593" s="25" t="s">
        <v>14</v>
      </c>
      <c r="C593" s="90" t="s">
        <v>11</v>
      </c>
      <c r="D593" s="90" t="s">
        <v>1</v>
      </c>
      <c r="E593" s="91" t="s">
        <v>2</v>
      </c>
      <c r="F593" s="23"/>
      <c r="G593" s="89"/>
      <c r="H593" s="264"/>
      <c r="I593" s="25" t="s">
        <v>14</v>
      </c>
      <c r="J593" s="90" t="s">
        <v>11</v>
      </c>
      <c r="K593" s="90" t="s">
        <v>1</v>
      </c>
      <c r="L593" s="91" t="s">
        <v>2</v>
      </c>
      <c r="M593" s="23"/>
      <c r="N593" s="89"/>
    </row>
    <row r="594" spans="2:14">
      <c r="B594" s="44"/>
      <c r="C594" s="265"/>
      <c r="D594" s="33"/>
      <c r="E594" s="34">
        <f t="shared" ref="E594:E595" si="116">C594*D594</f>
        <v>0</v>
      </c>
      <c r="F594" s="1"/>
      <c r="G594" s="1"/>
      <c r="H594" s="1"/>
      <c r="I594" s="44"/>
      <c r="J594" s="265"/>
      <c r="K594" s="33"/>
      <c r="L594" s="34">
        <f t="shared" ref="L594:L595" si="117">J594*K594</f>
        <v>0</v>
      </c>
      <c r="M594" s="1"/>
      <c r="N594" s="1"/>
    </row>
    <row r="595" spans="2:14">
      <c r="B595" s="44"/>
      <c r="C595" s="266"/>
      <c r="D595" s="33"/>
      <c r="E595" s="34">
        <f t="shared" si="116"/>
        <v>0</v>
      </c>
      <c r="F595" s="1"/>
      <c r="G595" s="1"/>
      <c r="H595" s="1"/>
      <c r="I595" s="44"/>
      <c r="J595" s="266"/>
      <c r="K595" s="33"/>
      <c r="L595" s="34">
        <f t="shared" si="117"/>
        <v>0</v>
      </c>
      <c r="M595" s="1"/>
      <c r="N595" s="1"/>
    </row>
    <row r="596" spans="2:14">
      <c r="B596" s="25" t="s">
        <v>12</v>
      </c>
      <c r="C596" s="267"/>
      <c r="D596" s="23"/>
      <c r="E596" s="29"/>
      <c r="F596" s="268">
        <v>0</v>
      </c>
      <c r="G596" s="82" t="s">
        <v>27</v>
      </c>
      <c r="H596" s="1"/>
      <c r="I596" s="25" t="s">
        <v>12</v>
      </c>
      <c r="J596" s="267"/>
      <c r="K596" s="23"/>
      <c r="L596" s="29"/>
      <c r="M596" s="268">
        <v>0</v>
      </c>
      <c r="N596" s="82" t="s">
        <v>27</v>
      </c>
    </row>
    <row r="597" spans="2:14">
      <c r="B597" s="47"/>
      <c r="C597" s="266"/>
      <c r="D597" s="7"/>
      <c r="E597" s="9">
        <f>C597*D597</f>
        <v>0</v>
      </c>
      <c r="F597" s="1"/>
      <c r="G597" s="1"/>
      <c r="H597" s="1"/>
      <c r="I597" s="47"/>
      <c r="J597" s="266"/>
      <c r="K597" s="7"/>
      <c r="L597" s="9">
        <f>J597*K597</f>
        <v>0</v>
      </c>
      <c r="M597" s="1"/>
      <c r="N597" s="1"/>
    </row>
    <row r="598" spans="2:14">
      <c r="B598" s="47"/>
      <c r="C598" s="266"/>
      <c r="D598" s="7"/>
      <c r="E598" s="9">
        <f t="shared" ref="E598:E599" si="118">C598*D598</f>
        <v>0</v>
      </c>
      <c r="F598" s="1"/>
      <c r="G598" s="1"/>
      <c r="H598" s="1"/>
      <c r="I598" s="47"/>
      <c r="J598" s="266"/>
      <c r="K598" s="7"/>
      <c r="L598" s="9">
        <f t="shared" ref="L598:L599" si="119">J598*K598</f>
        <v>0</v>
      </c>
      <c r="M598" s="1"/>
      <c r="N598" s="1"/>
    </row>
    <row r="599" spans="2:14">
      <c r="B599" s="48"/>
      <c r="C599" s="269"/>
      <c r="D599" s="26"/>
      <c r="E599" s="27">
        <f t="shared" si="118"/>
        <v>0</v>
      </c>
      <c r="F599" s="1"/>
      <c r="G599" s="1"/>
      <c r="H599" s="1"/>
      <c r="I599" s="48"/>
      <c r="J599" s="269"/>
      <c r="K599" s="26"/>
      <c r="L599" s="27">
        <f t="shared" si="119"/>
        <v>0</v>
      </c>
      <c r="M599" s="1"/>
      <c r="N599" s="1"/>
    </row>
    <row r="600" spans="2:14">
      <c r="B600" s="17" t="s">
        <v>10</v>
      </c>
      <c r="C600" s="35"/>
      <c r="D600" s="18"/>
      <c r="E600" s="19">
        <f>ROUNDUP(SUM(E594:E599),0)</f>
        <v>0</v>
      </c>
      <c r="F600" s="1"/>
      <c r="G600" s="1"/>
      <c r="H600" s="1"/>
      <c r="I600" s="17" t="s">
        <v>10</v>
      </c>
      <c r="J600" s="35"/>
      <c r="K600" s="18"/>
      <c r="L600" s="19">
        <f>ROUNDUP(SUM(L594:L599),0)</f>
        <v>0</v>
      </c>
      <c r="M600" s="1"/>
      <c r="N600" s="1"/>
    </row>
    <row r="601" spans="2:14">
      <c r="B601" s="20" t="s">
        <v>251</v>
      </c>
      <c r="C601" s="270">
        <v>0</v>
      </c>
      <c r="D601" s="21"/>
      <c r="E601" s="22">
        <f>ROUNDUP(SUM(E597)*C601,0)</f>
        <v>0</v>
      </c>
      <c r="F601" s="1"/>
      <c r="G601" s="1"/>
      <c r="H601" s="1"/>
      <c r="I601" s="20" t="s">
        <v>251</v>
      </c>
      <c r="J601" s="270">
        <v>0</v>
      </c>
      <c r="K601" s="21"/>
      <c r="L601" s="22">
        <f>ROUNDUP(SUM(L597)*J601,0)</f>
        <v>0</v>
      </c>
      <c r="M601" s="1"/>
      <c r="N601" s="1"/>
    </row>
    <row r="602" spans="2:14">
      <c r="B602" s="39" t="s">
        <v>16</v>
      </c>
      <c r="C602" s="40">
        <f>IF(E600&lt;=5000,0.1,IF(E600&lt;=10000,0.06,0.04))</f>
        <v>0.1</v>
      </c>
      <c r="D602" s="41"/>
      <c r="E602" s="42">
        <f>ROUNDUP(E600*C602,0)</f>
        <v>0</v>
      </c>
      <c r="F602" s="1"/>
      <c r="I602" s="39" t="s">
        <v>16</v>
      </c>
      <c r="J602" s="40">
        <f>IF(L600&lt;=5000,0.1,IF(L600&lt;=10000,0.06,0.04))</f>
        <v>0.1</v>
      </c>
      <c r="K602" s="41"/>
      <c r="L602" s="42">
        <f>ROUNDUP(L600*J602,0)</f>
        <v>0</v>
      </c>
      <c r="M602" s="1"/>
    </row>
    <row r="603" spans="2:14">
      <c r="B603" s="10" t="s">
        <v>3</v>
      </c>
      <c r="C603" s="36"/>
      <c r="D603" s="13"/>
      <c r="E603" s="13">
        <f>SUM(E600:E602)</f>
        <v>0</v>
      </c>
      <c r="F603" s="123" t="e">
        <f>E603/F596</f>
        <v>#DIV/0!</v>
      </c>
      <c r="G603" s="124" t="s">
        <v>80</v>
      </c>
      <c r="H603" s="1"/>
      <c r="I603" s="10" t="s">
        <v>3</v>
      </c>
      <c r="J603" s="36"/>
      <c r="K603" s="13"/>
      <c r="L603" s="13">
        <f>SUM(L600:L602)</f>
        <v>0</v>
      </c>
      <c r="M603" s="123" t="e">
        <f>L603/M596</f>
        <v>#DIV/0!</v>
      </c>
      <c r="N603" s="124" t="s">
        <v>80</v>
      </c>
    </row>
    <row r="604" spans="2:14">
      <c r="B604" s="1"/>
      <c r="C604" s="32"/>
      <c r="D604" s="7"/>
      <c r="E604" s="7"/>
      <c r="F604" s="1"/>
      <c r="I604" s="1"/>
      <c r="J604" s="32"/>
      <c r="K604" s="7"/>
      <c r="L604" s="7"/>
      <c r="M604" s="1"/>
    </row>
    <row r="605" spans="2:14">
      <c r="B605" s="75" t="s">
        <v>45</v>
      </c>
      <c r="C605" s="271">
        <f>F596</f>
        <v>0</v>
      </c>
      <c r="D605" s="75" t="s">
        <v>46</v>
      </c>
      <c r="E605" s="272">
        <v>0</v>
      </c>
      <c r="F605" s="1"/>
      <c r="G605" s="273" t="e">
        <f>E605/C605</f>
        <v>#DIV/0!</v>
      </c>
      <c r="I605" s="75" t="s">
        <v>45</v>
      </c>
      <c r="J605" s="271">
        <f>M596</f>
        <v>0</v>
      </c>
      <c r="K605" s="75" t="s">
        <v>46</v>
      </c>
      <c r="L605" s="272">
        <v>0</v>
      </c>
      <c r="M605" s="1"/>
      <c r="N605" s="273" t="e">
        <f>L605/J605</f>
        <v>#DIV/0!</v>
      </c>
    </row>
    <row r="606" spans="2:14">
      <c r="B606" s="85" t="s">
        <v>52</v>
      </c>
      <c r="C606" s="68" t="s">
        <v>42</v>
      </c>
      <c r="D606" s="68" t="s">
        <v>47</v>
      </c>
      <c r="E606" s="87" t="s">
        <v>51</v>
      </c>
      <c r="F606" s="76" t="s">
        <v>59</v>
      </c>
      <c r="G606" s="156" t="s">
        <v>86</v>
      </c>
      <c r="H606" s="274"/>
      <c r="I606" s="85" t="s">
        <v>52</v>
      </c>
      <c r="J606" s="68" t="s">
        <v>42</v>
      </c>
      <c r="K606" s="68" t="s">
        <v>47</v>
      </c>
      <c r="L606" s="87" t="s">
        <v>51</v>
      </c>
      <c r="M606" s="76" t="s">
        <v>59</v>
      </c>
      <c r="N606" s="156" t="s">
        <v>86</v>
      </c>
    </row>
    <row r="607" spans="2:14">
      <c r="B607" s="69">
        <v>0</v>
      </c>
      <c r="C607" s="1">
        <v>0</v>
      </c>
      <c r="D607" s="523">
        <f>$D$17</f>
        <v>33.5</v>
      </c>
      <c r="E607" s="70">
        <f>B607*C607*D607*8</f>
        <v>0</v>
      </c>
      <c r="F607" s="76"/>
      <c r="G607" s="157" t="e">
        <f>F596/(E607/D607)</f>
        <v>#DIV/0!</v>
      </c>
      <c r="H607" s="154"/>
      <c r="I607" s="69">
        <v>0</v>
      </c>
      <c r="J607" s="1">
        <v>0</v>
      </c>
      <c r="K607" s="523">
        <f>$D$17</f>
        <v>33.5</v>
      </c>
      <c r="L607" s="70">
        <f>I607*J607*K607*8</f>
        <v>0</v>
      </c>
      <c r="M607" s="76"/>
      <c r="N607" s="157" t="e">
        <f>M596/(L607/K607)</f>
        <v>#DIV/0!</v>
      </c>
    </row>
    <row r="608" spans="2:14">
      <c r="B608" s="69"/>
      <c r="C608" s="1"/>
      <c r="D608" s="523">
        <f>$D$17</f>
        <v>33.5</v>
      </c>
      <c r="E608" s="70">
        <f>B608*C608*D608*8</f>
        <v>0</v>
      </c>
      <c r="F608" s="76"/>
      <c r="G608" s="275" t="e">
        <f>F598/(E608/D608)</f>
        <v>#DIV/0!</v>
      </c>
      <c r="H608" s="154"/>
      <c r="I608" s="69"/>
      <c r="J608" s="1"/>
      <c r="K608" s="523">
        <f>$D$17</f>
        <v>33.5</v>
      </c>
      <c r="L608" s="70">
        <f>I608*J608*K608*8</f>
        <v>0</v>
      </c>
      <c r="M608" s="76"/>
      <c r="N608" s="275" t="e">
        <f>M598/(L608/K608)</f>
        <v>#DIV/0!</v>
      </c>
    </row>
    <row r="609" spans="2:14">
      <c r="B609" s="86" t="s">
        <v>53</v>
      </c>
      <c r="C609" s="67" t="s">
        <v>44</v>
      </c>
      <c r="D609" s="276" t="s">
        <v>43</v>
      </c>
      <c r="E609" s="71"/>
      <c r="F609" s="1"/>
      <c r="I609" s="86" t="s">
        <v>53</v>
      </c>
      <c r="J609" s="67" t="s">
        <v>44</v>
      </c>
      <c r="K609" s="276" t="s">
        <v>43</v>
      </c>
      <c r="L609" s="71"/>
      <c r="M609" s="1"/>
    </row>
    <row r="610" spans="2:14">
      <c r="B610" s="69">
        <v>0</v>
      </c>
      <c r="C610" s="1">
        <v>0</v>
      </c>
      <c r="D610" s="523">
        <f>$D$20</f>
        <v>33.5</v>
      </c>
      <c r="E610" s="70">
        <f>B610*C610*D610</f>
        <v>0</v>
      </c>
      <c r="F610" s="76"/>
      <c r="I610" s="69">
        <v>0</v>
      </c>
      <c r="J610" s="1">
        <v>0</v>
      </c>
      <c r="K610" s="523">
        <f>$D$20</f>
        <v>33.5</v>
      </c>
      <c r="L610" s="70">
        <f>I610*J610*K610</f>
        <v>0</v>
      </c>
      <c r="M610" s="76"/>
    </row>
    <row r="611" spans="2:14">
      <c r="B611" s="277" t="s">
        <v>4</v>
      </c>
      <c r="C611" s="278"/>
      <c r="D611" s="278"/>
      <c r="E611" s="279">
        <f>ROUNDUP(SUM(E607:E610),0)</f>
        <v>0</v>
      </c>
      <c r="F611" s="123" t="e">
        <f>E611/C605</f>
        <v>#DIV/0!</v>
      </c>
      <c r="G611" s="124" t="s">
        <v>87</v>
      </c>
      <c r="H611" s="1"/>
      <c r="I611" s="277" t="s">
        <v>4</v>
      </c>
      <c r="J611" s="278"/>
      <c r="K611" s="278"/>
      <c r="L611" s="279">
        <f>ROUNDUP(SUM(L607:L610),0)</f>
        <v>0</v>
      </c>
      <c r="M611" s="123" t="e">
        <f>L611/J605</f>
        <v>#DIV/0!</v>
      </c>
      <c r="N611" s="124" t="s">
        <v>87</v>
      </c>
    </row>
    <row r="612" spans="2:14">
      <c r="B612" s="1"/>
      <c r="C612" s="32"/>
      <c r="D612" s="7"/>
      <c r="E612" s="7"/>
      <c r="F612" s="7"/>
      <c r="G612" s="1"/>
      <c r="H612" s="1"/>
      <c r="I612" s="1"/>
      <c r="J612" s="32"/>
      <c r="K612" s="7"/>
      <c r="L612" s="7"/>
      <c r="M612" s="7"/>
      <c r="N612" s="1"/>
    </row>
    <row r="613" spans="2:14">
      <c r="B613" s="5" t="s">
        <v>252</v>
      </c>
      <c r="C613" s="30" t="s">
        <v>11</v>
      </c>
      <c r="D613" s="11" t="s">
        <v>1</v>
      </c>
      <c r="E613" s="12" t="s">
        <v>2</v>
      </c>
      <c r="F613" s="1"/>
      <c r="G613" s="1"/>
      <c r="H613" s="1"/>
      <c r="I613" s="5" t="s">
        <v>252</v>
      </c>
      <c r="J613" s="30" t="s">
        <v>11</v>
      </c>
      <c r="K613" s="11" t="s">
        <v>1</v>
      </c>
      <c r="L613" s="12" t="s">
        <v>2</v>
      </c>
      <c r="M613" s="1"/>
      <c r="N613" s="1"/>
    </row>
    <row r="614" spans="2:14">
      <c r="B614" s="6" t="s">
        <v>17</v>
      </c>
      <c r="C614" s="37"/>
      <c r="D614" s="7">
        <v>35</v>
      </c>
      <c r="E614" s="9">
        <f t="shared" ref="E614:E620" si="120">ROUNDUP(C614*D614,0)</f>
        <v>0</v>
      </c>
      <c r="F614" s="1"/>
      <c r="G614" s="1"/>
      <c r="H614" s="1"/>
      <c r="I614" s="6" t="s">
        <v>17</v>
      </c>
      <c r="J614" s="37"/>
      <c r="K614" s="7">
        <v>35</v>
      </c>
      <c r="L614" s="9">
        <f t="shared" ref="L614:L620" si="121">ROUNDUP(J614*K614,0)</f>
        <v>0</v>
      </c>
      <c r="M614" s="1"/>
      <c r="N614" s="1"/>
    </row>
    <row r="615" spans="2:14">
      <c r="B615" s="6" t="s">
        <v>75</v>
      </c>
      <c r="C615" s="37"/>
      <c r="D615" s="7">
        <v>0.33</v>
      </c>
      <c r="E615" s="9">
        <f t="shared" si="120"/>
        <v>0</v>
      </c>
      <c r="F615" s="1"/>
      <c r="G615" s="1"/>
      <c r="H615" s="1"/>
      <c r="I615" s="6" t="s">
        <v>75</v>
      </c>
      <c r="J615" s="37"/>
      <c r="K615" s="7">
        <v>0.33</v>
      </c>
      <c r="L615" s="9">
        <f t="shared" si="121"/>
        <v>0</v>
      </c>
      <c r="M615" s="1"/>
      <c r="N615" s="1"/>
    </row>
    <row r="616" spans="2:14">
      <c r="B616" s="6" t="s">
        <v>68</v>
      </c>
      <c r="C616" s="37">
        <v>0</v>
      </c>
      <c r="D616" s="7">
        <f>$D$26</f>
        <v>70</v>
      </c>
      <c r="E616" s="9">
        <f t="shared" si="120"/>
        <v>0</v>
      </c>
      <c r="F616" s="1"/>
      <c r="G616" s="1"/>
      <c r="H616" s="1"/>
      <c r="I616" s="6" t="s">
        <v>68</v>
      </c>
      <c r="J616" s="37">
        <v>0</v>
      </c>
      <c r="K616" s="7">
        <f>$D$26</f>
        <v>70</v>
      </c>
      <c r="L616" s="9">
        <f t="shared" si="121"/>
        <v>0</v>
      </c>
      <c r="M616" s="1"/>
      <c r="N616" s="1"/>
    </row>
    <row r="617" spans="2:14">
      <c r="B617" s="6" t="s">
        <v>69</v>
      </c>
      <c r="C617" s="37">
        <f>C616</f>
        <v>0</v>
      </c>
      <c r="D617" s="7">
        <f>$D$27</f>
        <v>45</v>
      </c>
      <c r="E617" s="9">
        <f t="shared" si="120"/>
        <v>0</v>
      </c>
      <c r="F617" s="43"/>
      <c r="G617" s="1"/>
      <c r="H617" s="1"/>
      <c r="I617" s="6" t="s">
        <v>69</v>
      </c>
      <c r="J617" s="37">
        <f>J616</f>
        <v>0</v>
      </c>
      <c r="K617" s="7">
        <f>$D$27</f>
        <v>45</v>
      </c>
      <c r="L617" s="9">
        <f t="shared" si="121"/>
        <v>0</v>
      </c>
      <c r="M617" s="43"/>
      <c r="N617" s="1"/>
    </row>
    <row r="618" spans="2:14">
      <c r="B618" s="6" t="s">
        <v>253</v>
      </c>
      <c r="C618" s="37">
        <f>(E611/8)/D607</f>
        <v>0</v>
      </c>
      <c r="D618" s="7">
        <f>$D$28</f>
        <v>14</v>
      </c>
      <c r="E618" s="9">
        <f t="shared" si="120"/>
        <v>0</v>
      </c>
      <c r="F618" s="43"/>
      <c r="G618" s="1"/>
      <c r="H618" s="1"/>
      <c r="I618" s="6" t="s">
        <v>253</v>
      </c>
      <c r="J618" s="37">
        <f>(L611/8)/K607</f>
        <v>0</v>
      </c>
      <c r="K618" s="7">
        <f>$D$28</f>
        <v>14</v>
      </c>
      <c r="L618" s="9">
        <f t="shared" si="121"/>
        <v>0</v>
      </c>
      <c r="M618" s="43"/>
      <c r="N618" s="1"/>
    </row>
    <row r="619" spans="2:14">
      <c r="B619" s="308" t="s">
        <v>254</v>
      </c>
      <c r="C619" s="309">
        <v>1</v>
      </c>
      <c r="D619" s="310">
        <v>50</v>
      </c>
      <c r="E619" s="9">
        <f t="shared" si="120"/>
        <v>50</v>
      </c>
      <c r="F619" s="1"/>
      <c r="G619" s="1"/>
      <c r="H619" s="1"/>
      <c r="I619" s="308" t="s">
        <v>254</v>
      </c>
      <c r="J619" s="309">
        <v>5</v>
      </c>
      <c r="K619" s="310">
        <v>50</v>
      </c>
      <c r="L619" s="311">
        <f t="shared" si="121"/>
        <v>250</v>
      </c>
      <c r="M619" s="1"/>
      <c r="N619" s="1"/>
    </row>
    <row r="620" spans="2:14">
      <c r="B620" s="308" t="s">
        <v>325</v>
      </c>
      <c r="C620" s="309">
        <f>C619</f>
        <v>1</v>
      </c>
      <c r="D620" s="310">
        <v>100</v>
      </c>
      <c r="E620" s="9">
        <f t="shared" si="120"/>
        <v>100</v>
      </c>
      <c r="F620" s="1"/>
      <c r="G620" s="1"/>
      <c r="H620" s="1"/>
      <c r="I620" s="308" t="s">
        <v>325</v>
      </c>
      <c r="J620" s="309">
        <f>J619</f>
        <v>5</v>
      </c>
      <c r="K620" s="310">
        <v>100</v>
      </c>
      <c r="L620" s="311">
        <f t="shared" si="121"/>
        <v>500</v>
      </c>
      <c r="M620" s="1"/>
      <c r="N620" s="1"/>
    </row>
    <row r="621" spans="2:14">
      <c r="B621" s="10" t="s">
        <v>255</v>
      </c>
      <c r="C621" s="36"/>
      <c r="D621" s="13"/>
      <c r="E621" s="16">
        <f>SUM(E614:E620)</f>
        <v>150</v>
      </c>
      <c r="F621" s="1"/>
      <c r="G621" s="1"/>
      <c r="H621" s="1"/>
      <c r="I621" s="10" t="s">
        <v>255</v>
      </c>
      <c r="J621" s="36"/>
      <c r="K621" s="13"/>
      <c r="L621" s="16">
        <f>SUM(L614:L620)</f>
        <v>750</v>
      </c>
      <c r="M621" s="1"/>
      <c r="N621" s="1"/>
    </row>
    <row r="622" spans="2:14">
      <c r="B622" s="1"/>
      <c r="C622" s="32"/>
      <c r="D622" s="7"/>
      <c r="E622" s="7"/>
      <c r="F622" s="1"/>
      <c r="G622" s="1"/>
      <c r="H622" s="1"/>
      <c r="I622" s="1"/>
      <c r="J622" s="32"/>
      <c r="K622" s="7"/>
      <c r="L622" s="7"/>
      <c r="M622" s="1"/>
      <c r="N622" s="1"/>
    </row>
    <row r="623" spans="2:14">
      <c r="B623" s="1"/>
      <c r="C623" s="32"/>
      <c r="D623" s="7"/>
      <c r="E623" s="7"/>
      <c r="F623" s="1"/>
      <c r="G623" s="1"/>
      <c r="H623" s="1"/>
      <c r="I623" s="1"/>
      <c r="J623" s="32"/>
      <c r="K623" s="7"/>
      <c r="L623" s="7"/>
      <c r="M623" s="1"/>
      <c r="N623" s="1"/>
    </row>
    <row r="624" spans="2:14">
      <c r="B624" s="280" t="s">
        <v>9</v>
      </c>
      <c r="C624" s="281"/>
      <c r="D624" s="282"/>
      <c r="E624" s="283">
        <f>SUM(E603,E611,E621)</f>
        <v>150</v>
      </c>
      <c r="F624" s="1"/>
      <c r="G624" s="1"/>
      <c r="H624" s="1"/>
      <c r="I624" s="280" t="s">
        <v>9</v>
      </c>
      <c r="J624" s="281"/>
      <c r="K624" s="282"/>
      <c r="L624" s="283">
        <f>SUM(L603,L611,L621)</f>
        <v>750</v>
      </c>
      <c r="M624" s="1"/>
      <c r="N624" s="1"/>
    </row>
    <row r="625" spans="2:14">
      <c r="B625" s="1"/>
      <c r="C625" s="32"/>
      <c r="D625" s="7"/>
      <c r="E625" s="7"/>
      <c r="F625" s="1"/>
      <c r="G625" s="1"/>
      <c r="H625" s="1"/>
      <c r="I625" s="1"/>
      <c r="J625" s="32"/>
      <c r="K625" s="7"/>
      <c r="L625" s="7"/>
      <c r="M625" s="1"/>
      <c r="N625" s="1"/>
    </row>
    <row r="626" spans="2:14">
      <c r="B626" s="5" t="s">
        <v>8</v>
      </c>
      <c r="C626" s="30" t="s">
        <v>7</v>
      </c>
      <c r="D626" s="14"/>
      <c r="E626" s="12"/>
      <c r="F626" s="1"/>
      <c r="G626" s="1"/>
      <c r="H626" s="1"/>
      <c r="I626" s="5" t="s">
        <v>8</v>
      </c>
      <c r="J626" s="30" t="s">
        <v>7</v>
      </c>
      <c r="K626" s="14"/>
      <c r="L626" s="12"/>
      <c r="M626" s="1"/>
      <c r="N626" s="1"/>
    </row>
    <row r="627" spans="2:14">
      <c r="B627" s="6" t="s">
        <v>15</v>
      </c>
      <c r="C627" s="208">
        <f>$C$37</f>
        <v>9.4750000000000001E-2</v>
      </c>
      <c r="D627" s="209"/>
      <c r="E627" s="9">
        <f>ROUNDUP(SUM(E624)*C627,0)</f>
        <v>15</v>
      </c>
      <c r="F627" s="410" t="s">
        <v>399</v>
      </c>
      <c r="G627" s="1"/>
      <c r="H627" s="1"/>
      <c r="I627" s="6" t="s">
        <v>15</v>
      </c>
      <c r="J627" s="208">
        <f>$C$37</f>
        <v>9.4750000000000001E-2</v>
      </c>
      <c r="K627" s="209"/>
      <c r="L627" s="9">
        <f>ROUNDUP(SUM(L624)*J627,0)</f>
        <v>72</v>
      </c>
      <c r="M627" s="410" t="s">
        <v>399</v>
      </c>
      <c r="N627" s="1"/>
    </row>
    <row r="628" spans="2:14">
      <c r="B628" s="6" t="s">
        <v>74</v>
      </c>
      <c r="C628" s="241">
        <v>0.08</v>
      </c>
      <c r="D628" s="209"/>
      <c r="E628" s="9">
        <f>ROUNDUP(SUM(E611)*C628,0)</f>
        <v>0</v>
      </c>
      <c r="F628" s="1"/>
      <c r="G628" s="1"/>
      <c r="H628" s="1"/>
      <c r="I628" s="6" t="s">
        <v>74</v>
      </c>
      <c r="J628" s="241">
        <v>0.08</v>
      </c>
      <c r="K628" s="209"/>
      <c r="L628" s="9">
        <f>ROUNDUP(SUM(L611)*J628,0)</f>
        <v>0</v>
      </c>
      <c r="M628" s="1"/>
      <c r="N628" s="1"/>
    </row>
    <row r="629" spans="2:14">
      <c r="B629" s="6" t="s">
        <v>256</v>
      </c>
      <c r="C629" s="122">
        <f>IF(E603&lt;=5000,0.1,0.05)</f>
        <v>0.1</v>
      </c>
      <c r="D629" s="7"/>
      <c r="E629" s="9">
        <f>ROUNDUP(E603*C629,0)</f>
        <v>0</v>
      </c>
      <c r="F629" s="1"/>
      <c r="G629" s="1"/>
      <c r="H629" s="1"/>
      <c r="I629" s="6" t="s">
        <v>256</v>
      </c>
      <c r="J629" s="122">
        <f>IF(L603&lt;=5000,0.1,0.05)</f>
        <v>0.1</v>
      </c>
      <c r="K629" s="7"/>
      <c r="L629" s="9">
        <f>ROUNDUP(L603*J629,0)</f>
        <v>0</v>
      </c>
      <c r="M629" s="1"/>
      <c r="N629" s="1"/>
    </row>
    <row r="630" spans="2:14">
      <c r="B630" s="6" t="s">
        <v>257</v>
      </c>
      <c r="C630" s="122">
        <f>IF(E611&lt;=2000,0.35,IF(E611&lt;=3000,0.3,IF(E611&lt;=4000,0.25,IF(E611&lt;=7000,0.2,0.15))))</f>
        <v>0.35</v>
      </c>
      <c r="D630" s="7"/>
      <c r="E630" s="9">
        <f>ROUNDUP(E611*C630,0)</f>
        <v>0</v>
      </c>
      <c r="F630" s="1"/>
      <c r="G630" s="1"/>
      <c r="H630" s="1"/>
      <c r="I630" s="6" t="s">
        <v>257</v>
      </c>
      <c r="J630" s="122">
        <f>IF(L611&lt;=2000,0.35,IF(L611&lt;=3000,0.3,IF(L611&lt;=4000,0.25,IF(L611&lt;=7000,0.2,0.15))))</f>
        <v>0.35</v>
      </c>
      <c r="K630" s="7"/>
      <c r="L630" s="9">
        <f>ROUNDUP(L611*J630,0)</f>
        <v>0</v>
      </c>
      <c r="M630" s="1"/>
      <c r="N630" s="1"/>
    </row>
    <row r="631" spans="2:14">
      <c r="B631" s="6" t="s">
        <v>258</v>
      </c>
      <c r="C631" s="122">
        <v>1.33</v>
      </c>
      <c r="D631" s="7"/>
      <c r="E631" s="9">
        <f>ROUNDUP(SUM(E624:E630)*C631,0)</f>
        <v>220</v>
      </c>
      <c r="F631" s="1"/>
      <c r="G631" s="1"/>
      <c r="H631" s="1"/>
      <c r="I631" s="6" t="s">
        <v>258</v>
      </c>
      <c r="J631" s="122">
        <v>1</v>
      </c>
      <c r="K631" s="7"/>
      <c r="L631" s="9">
        <f>ROUNDUP(SUM(L624:L630)*J631,0)</f>
        <v>822</v>
      </c>
      <c r="M631" s="1"/>
      <c r="N631" s="1"/>
    </row>
    <row r="632" spans="2:14">
      <c r="B632" s="284" t="str">
        <f>$B$42</f>
        <v>Kansas Remodel Tax</v>
      </c>
      <c r="C632" s="241">
        <f>$C$42</f>
        <v>0</v>
      </c>
      <c r="D632" s="7"/>
      <c r="E632" s="9">
        <f>ROUNDUP(SUM(E611,E628:E631)*C632,0)</f>
        <v>0</v>
      </c>
      <c r="F632" s="1"/>
      <c r="G632" s="1"/>
      <c r="H632" s="1"/>
      <c r="I632" s="284" t="str">
        <f>$B$42</f>
        <v>Kansas Remodel Tax</v>
      </c>
      <c r="J632" s="241">
        <f>$C$42</f>
        <v>0</v>
      </c>
      <c r="K632" s="7"/>
      <c r="L632" s="9">
        <f>ROUNDUP(SUM(L611,L628:L631)*J632,0)</f>
        <v>0</v>
      </c>
      <c r="M632" s="1"/>
      <c r="N632" s="1"/>
    </row>
    <row r="633" spans="2:14">
      <c r="B633" s="403" t="s">
        <v>398</v>
      </c>
      <c r="C633" s="241">
        <f>$C$43</f>
        <v>0.05</v>
      </c>
      <c r="D633" s="7"/>
      <c r="E633" s="9">
        <f>ROUNDUP(C633*SUM(E624:E632),0)</f>
        <v>20</v>
      </c>
      <c r="F633" s="1"/>
      <c r="G633" s="1"/>
      <c r="H633" s="1"/>
      <c r="I633" s="403" t="s">
        <v>398</v>
      </c>
      <c r="J633" s="241">
        <f>$C$43</f>
        <v>0.05</v>
      </c>
      <c r="K633" s="7"/>
      <c r="L633" s="9">
        <f>ROUNDUP(J633*SUM(L624:L632),0)</f>
        <v>83</v>
      </c>
      <c r="M633" s="1"/>
      <c r="N633" s="1"/>
    </row>
    <row r="634" spans="2:14">
      <c r="B634" s="45" t="s">
        <v>20</v>
      </c>
      <c r="C634" s="46">
        <f>$C$44</f>
        <v>0</v>
      </c>
      <c r="D634" s="15"/>
      <c r="E634" s="210">
        <f>ROUNDUP(SUM(E624:E633)*C634,0)-5</f>
        <v>-5</v>
      </c>
      <c r="F634" s="1"/>
      <c r="G634" s="1"/>
      <c r="H634" s="1"/>
      <c r="I634" s="45" t="s">
        <v>20</v>
      </c>
      <c r="J634" s="46">
        <f>$C$44</f>
        <v>0</v>
      </c>
      <c r="K634" s="15"/>
      <c r="L634" s="210">
        <f>ROUNDUP(SUM(L624:L633)*J634,0)-27</f>
        <v>-27</v>
      </c>
      <c r="M634" s="1"/>
      <c r="N634" s="1"/>
    </row>
    <row r="635" spans="2:14">
      <c r="B635" s="1"/>
      <c r="C635" s="8"/>
      <c r="D635" s="7"/>
      <c r="E635" s="7"/>
      <c r="F635" s="1"/>
      <c r="G635" s="286" t="s">
        <v>70</v>
      </c>
      <c r="H635" s="32"/>
      <c r="I635" s="1"/>
      <c r="J635" s="8"/>
      <c r="K635" s="7"/>
      <c r="L635" s="7"/>
      <c r="M635" s="1"/>
      <c r="N635" s="286" t="s">
        <v>70</v>
      </c>
    </row>
    <row r="636" spans="2:14" ht="16.2" thickBot="1">
      <c r="B636" s="1"/>
      <c r="C636" s="287" t="s">
        <v>262</v>
      </c>
      <c r="D636" s="288">
        <f>C605</f>
        <v>0</v>
      </c>
      <c r="E636" s="7"/>
      <c r="F636" s="38" t="s">
        <v>18</v>
      </c>
      <c r="G636" s="131">
        <f>SUM(E629:E631)</f>
        <v>220</v>
      </c>
      <c r="H636" s="7"/>
      <c r="I636" s="1"/>
      <c r="J636" s="287" t="s">
        <v>262</v>
      </c>
      <c r="K636" s="288">
        <f>J605</f>
        <v>0</v>
      </c>
      <c r="L636" s="7"/>
      <c r="M636" s="38" t="s">
        <v>18</v>
      </c>
      <c r="N636" s="131">
        <f>SUM(L629:L631)</f>
        <v>822</v>
      </c>
    </row>
    <row r="637" spans="2:14" ht="16.2" thickBot="1">
      <c r="B637" s="289" t="s">
        <v>6</v>
      </c>
      <c r="C637" s="290"/>
      <c r="D637" s="291" t="e">
        <f>E637/C605</f>
        <v>#DIV/0!</v>
      </c>
      <c r="E637" s="292">
        <f>SUM(E624:E634)</f>
        <v>400</v>
      </c>
      <c r="F637" s="7">
        <f>E637-E627-E632</f>
        <v>385</v>
      </c>
      <c r="G637" s="293">
        <f>G636/E637</f>
        <v>0.55000000000000004</v>
      </c>
      <c r="H637" s="294"/>
      <c r="I637" s="289" t="s">
        <v>6</v>
      </c>
      <c r="J637" s="290"/>
      <c r="K637" s="291" t="e">
        <f>L637/J605</f>
        <v>#DIV/0!</v>
      </c>
      <c r="L637" s="292">
        <f>SUM(L624:L634)</f>
        <v>1700</v>
      </c>
      <c r="M637" s="7">
        <f>L637-L627-L632</f>
        <v>1628</v>
      </c>
      <c r="N637" s="293">
        <f>N636/L637</f>
        <v>0.48352941176470587</v>
      </c>
    </row>
    <row r="638" spans="2:14">
      <c r="B638" s="1"/>
      <c r="C638" s="1" t="s">
        <v>5</v>
      </c>
      <c r="D638" s="7" t="e">
        <f>E638/C605</f>
        <v>#DIV/0!</v>
      </c>
      <c r="E638" s="7">
        <f>E637-E632</f>
        <v>400</v>
      </c>
      <c r="F638" t="s">
        <v>263</v>
      </c>
      <c r="G638" s="295" t="str">
        <f>IF(G637&lt;=0.25,"OWNER APPROVAL REQUIRED","GP % Okay")</f>
        <v>GP % Okay</v>
      </c>
      <c r="H638" s="296"/>
      <c r="I638" s="1"/>
      <c r="J638" s="1" t="s">
        <v>5</v>
      </c>
      <c r="K638" s="7" t="e">
        <f>L638/J605</f>
        <v>#DIV/0!</v>
      </c>
      <c r="L638" s="7">
        <f>L637-L632</f>
        <v>1700</v>
      </c>
      <c r="M638" t="s">
        <v>263</v>
      </c>
      <c r="N638" s="295" t="str">
        <f>IF(N637&lt;=0.25,"OWNER APPROVAL REQUIRED","GP % Okay")</f>
        <v>GP % Okay</v>
      </c>
    </row>
    <row r="639" spans="2:14">
      <c r="K639" s="484" t="s">
        <v>478</v>
      </c>
      <c r="L639" s="485">
        <f>E637*5</f>
        <v>2000</v>
      </c>
    </row>
    <row r="644" spans="2:12" s="315" customFormat="1" ht="32.4">
      <c r="B644" s="314" t="s">
        <v>326</v>
      </c>
    </row>
    <row r="651" spans="2:12">
      <c r="B651" s="1897" t="s">
        <v>248</v>
      </c>
      <c r="C651" s="1898"/>
      <c r="D651" s="1898"/>
      <c r="E651" s="1899"/>
      <c r="I651" s="1900" t="s">
        <v>250</v>
      </c>
      <c r="J651" s="1901"/>
      <c r="K651" s="1901"/>
      <c r="L651" s="1902"/>
    </row>
    <row r="652" spans="2:12">
      <c r="B652" s="5" t="s">
        <v>327</v>
      </c>
      <c r="C652" s="30" t="s">
        <v>11</v>
      </c>
      <c r="D652" s="30" t="s">
        <v>1</v>
      </c>
      <c r="E652" s="31" t="s">
        <v>2</v>
      </c>
      <c r="I652" s="316" t="s">
        <v>327</v>
      </c>
      <c r="J652" s="317" t="s">
        <v>11</v>
      </c>
      <c r="K652" s="317" t="s">
        <v>1</v>
      </c>
      <c r="L652" s="318" t="s">
        <v>2</v>
      </c>
    </row>
    <row r="653" spans="2:12">
      <c r="B653" s="32" t="s">
        <v>22</v>
      </c>
      <c r="C653" s="32">
        <v>5000</v>
      </c>
      <c r="D653" s="33">
        <v>0.18</v>
      </c>
      <c r="E653" s="34">
        <f t="shared" ref="E653:E656" si="122">C653*D653</f>
        <v>900</v>
      </c>
      <c r="I653" s="319" t="s">
        <v>22</v>
      </c>
      <c r="J653" s="320">
        <v>1000</v>
      </c>
      <c r="K653" s="303">
        <v>0.25</v>
      </c>
      <c r="L653" s="321">
        <f t="shared" ref="L653:L656" si="123">J653*K653</f>
        <v>250</v>
      </c>
    </row>
    <row r="654" spans="2:12">
      <c r="B654" s="32"/>
      <c r="C654" s="32"/>
      <c r="D654" s="33"/>
      <c r="E654" s="34">
        <f t="shared" si="122"/>
        <v>0</v>
      </c>
      <c r="I654" s="319"/>
      <c r="J654" s="320"/>
      <c r="K654" s="303"/>
      <c r="L654" s="321">
        <f t="shared" si="123"/>
        <v>0</v>
      </c>
    </row>
    <row r="655" spans="2:12">
      <c r="B655" s="32"/>
      <c r="C655" s="32"/>
      <c r="D655" s="33"/>
      <c r="E655" s="34">
        <f t="shared" si="122"/>
        <v>0</v>
      </c>
      <c r="I655" s="319"/>
      <c r="J655" s="320"/>
      <c r="K655" s="303"/>
      <c r="L655" s="321">
        <f t="shared" si="123"/>
        <v>0</v>
      </c>
    </row>
    <row r="656" spans="2:12">
      <c r="B656" s="322"/>
      <c r="C656" s="323"/>
      <c r="D656" s="26"/>
      <c r="E656" s="27">
        <f t="shared" si="122"/>
        <v>0</v>
      </c>
      <c r="I656" s="324"/>
      <c r="J656" s="325"/>
      <c r="K656" s="326"/>
      <c r="L656" s="327">
        <f t="shared" si="123"/>
        <v>0</v>
      </c>
    </row>
    <row r="657" spans="2:12">
      <c r="B657" s="17" t="s">
        <v>10</v>
      </c>
      <c r="C657" s="35"/>
      <c r="D657" s="18"/>
      <c r="E657" s="19">
        <f>ROUNDUP(SUM(E653:E656),0)</f>
        <v>900</v>
      </c>
      <c r="I657" s="328" t="s">
        <v>10</v>
      </c>
      <c r="J657" s="329"/>
      <c r="K657" s="330"/>
      <c r="L657" s="331">
        <f>ROUNDUP(SUM(L653:L656),0)</f>
        <v>250</v>
      </c>
    </row>
    <row r="658" spans="2:12">
      <c r="B658" s="20" t="s">
        <v>328</v>
      </c>
      <c r="C658" s="270">
        <v>0</v>
      </c>
      <c r="D658" s="21"/>
      <c r="E658" s="22">
        <f>ROUNDUP(E657*C658,0)</f>
        <v>0</v>
      </c>
      <c r="I658" s="332" t="s">
        <v>328</v>
      </c>
      <c r="J658" s="333">
        <v>0.15</v>
      </c>
      <c r="K658" s="334"/>
      <c r="L658" s="335">
        <f>ROUNDUP(L657*J658,0)</f>
        <v>38</v>
      </c>
    </row>
    <row r="659" spans="2:12">
      <c r="B659" s="10" t="s">
        <v>3</v>
      </c>
      <c r="C659" s="36"/>
      <c r="D659" s="13"/>
      <c r="E659" s="16">
        <f>SUM(E657:E658)</f>
        <v>900</v>
      </c>
      <c r="I659" s="336" t="s">
        <v>3</v>
      </c>
      <c r="J659" s="337"/>
      <c r="K659" s="338"/>
      <c r="L659" s="339">
        <f>SUM(L657:L658)</f>
        <v>288</v>
      </c>
    </row>
    <row r="660" spans="2:12">
      <c r="B660" s="39" t="s">
        <v>16</v>
      </c>
      <c r="C660" s="40">
        <v>0</v>
      </c>
      <c r="D660" s="41"/>
      <c r="E660" s="42">
        <f>ROUNDUP(E657*C660,0)</f>
        <v>0</v>
      </c>
      <c r="I660" s="340" t="s">
        <v>16</v>
      </c>
      <c r="J660" s="341">
        <v>0</v>
      </c>
      <c r="K660" s="342"/>
      <c r="L660" s="343">
        <f>ROUNDUP(L657*J660,0)</f>
        <v>0</v>
      </c>
    </row>
    <row r="661" spans="2:12">
      <c r="B661" s="1"/>
      <c r="C661" s="32"/>
      <c r="D661" s="7"/>
      <c r="E661" s="7"/>
      <c r="I661" s="43"/>
      <c r="J661" s="320"/>
      <c r="K661" s="306"/>
      <c r="L661" s="306"/>
    </row>
    <row r="662" spans="2:12">
      <c r="B662" s="5" t="s">
        <v>329</v>
      </c>
      <c r="C662" s="30" t="s">
        <v>11</v>
      </c>
      <c r="D662" s="11" t="s">
        <v>1</v>
      </c>
      <c r="E662" s="344" t="s">
        <v>2</v>
      </c>
      <c r="I662" s="345" t="s">
        <v>329</v>
      </c>
      <c r="J662" s="346" t="s">
        <v>11</v>
      </c>
      <c r="K662" s="347" t="s">
        <v>1</v>
      </c>
      <c r="L662" s="348" t="s">
        <v>2</v>
      </c>
    </row>
    <row r="663" spans="2:12">
      <c r="B663" s="349" t="s">
        <v>330</v>
      </c>
      <c r="C663" s="37">
        <v>5000</v>
      </c>
      <c r="D663" s="350">
        <v>0.14399999999999999</v>
      </c>
      <c r="E663" s="9"/>
      <c r="I663" s="349" t="s">
        <v>330</v>
      </c>
      <c r="J663" s="351">
        <v>1000</v>
      </c>
      <c r="K663" s="352">
        <v>0.36</v>
      </c>
      <c r="L663" s="353"/>
    </row>
    <row r="664" spans="2:12">
      <c r="B664" s="354" t="s">
        <v>331</v>
      </c>
      <c r="C664" s="355" t="s">
        <v>42</v>
      </c>
      <c r="D664" s="356" t="s">
        <v>43</v>
      </c>
      <c r="E664" s="357"/>
      <c r="I664" s="354" t="s">
        <v>331</v>
      </c>
      <c r="J664" s="355" t="s">
        <v>42</v>
      </c>
      <c r="K664" s="356" t="s">
        <v>43</v>
      </c>
      <c r="L664" s="357"/>
    </row>
    <row r="665" spans="2:12">
      <c r="B665" s="44">
        <v>4</v>
      </c>
      <c r="C665" s="154">
        <v>0.75</v>
      </c>
      <c r="D665" s="7">
        <v>30</v>
      </c>
      <c r="E665" s="9">
        <f>ROUNDUP(B665*C665*D665,0)*8</f>
        <v>720</v>
      </c>
      <c r="I665" s="44">
        <v>2</v>
      </c>
      <c r="J665" s="154">
        <v>0.75</v>
      </c>
      <c r="K665" s="7">
        <v>30</v>
      </c>
      <c r="L665" s="9">
        <f>ROUNDUP(I665*J665*K665,0)*8</f>
        <v>360</v>
      </c>
    </row>
    <row r="666" spans="2:12">
      <c r="B666" s="6"/>
      <c r="C666" s="37"/>
      <c r="D666" s="7"/>
      <c r="E666" s="9">
        <f>ROUNDUP(B666*C666*D666,0)*8</f>
        <v>0</v>
      </c>
      <c r="I666" s="349"/>
      <c r="J666" s="351"/>
      <c r="K666" s="306"/>
      <c r="L666" s="9">
        <f>ROUNDUP(I666*J666*K666,0)*8</f>
        <v>0</v>
      </c>
    </row>
    <row r="667" spans="2:12">
      <c r="B667" s="10" t="s">
        <v>4</v>
      </c>
      <c r="C667" s="36"/>
      <c r="D667" s="13"/>
      <c r="E667" s="16">
        <f>SUM(E663:E666)</f>
        <v>720</v>
      </c>
      <c r="I667" s="336" t="s">
        <v>4</v>
      </c>
      <c r="J667" s="337"/>
      <c r="K667" s="338"/>
      <c r="L667" s="339">
        <f>SUM(L663:L666)</f>
        <v>360</v>
      </c>
    </row>
    <row r="668" spans="2:12">
      <c r="B668" s="1"/>
      <c r="C668" s="32"/>
      <c r="D668" s="7"/>
      <c r="E668" s="7"/>
      <c r="I668" s="43"/>
      <c r="J668" s="320"/>
      <c r="K668" s="306"/>
      <c r="L668" s="306"/>
    </row>
    <row r="669" spans="2:12">
      <c r="B669" s="1"/>
      <c r="C669" s="32"/>
      <c r="D669" s="7"/>
      <c r="E669" s="7"/>
      <c r="I669" s="43"/>
      <c r="J669" s="320"/>
      <c r="K669" s="306"/>
      <c r="L669" s="306"/>
    </row>
    <row r="670" spans="2:12">
      <c r="B670" s="280" t="s">
        <v>9</v>
      </c>
      <c r="C670" s="281"/>
      <c r="D670" s="282"/>
      <c r="E670" s="283">
        <f>SUM(E659,E667,E660)</f>
        <v>1620</v>
      </c>
      <c r="I670" s="358" t="s">
        <v>9</v>
      </c>
      <c r="J670" s="359"/>
      <c r="K670" s="360"/>
      <c r="L670" s="361">
        <f>SUM(L659,L667,L660)</f>
        <v>648</v>
      </c>
    </row>
    <row r="671" spans="2:12">
      <c r="B671" s="1"/>
      <c r="C671" s="32"/>
      <c r="D671" s="7"/>
      <c r="E671" s="7"/>
      <c r="I671" s="43"/>
      <c r="J671" s="320"/>
      <c r="K671" s="306"/>
      <c r="L671" s="306"/>
    </row>
    <row r="672" spans="2:12">
      <c r="B672" s="5" t="s">
        <v>8</v>
      </c>
      <c r="C672" s="30" t="s">
        <v>7</v>
      </c>
      <c r="D672" s="14"/>
      <c r="E672" s="12"/>
      <c r="I672" s="345" t="s">
        <v>8</v>
      </c>
      <c r="J672" s="346" t="s">
        <v>7</v>
      </c>
      <c r="K672" s="362"/>
      <c r="L672" s="363"/>
    </row>
    <row r="673" spans="2:19">
      <c r="B673" s="6" t="s">
        <v>15</v>
      </c>
      <c r="C673" s="241">
        <v>9.0999999999999998E-2</v>
      </c>
      <c r="D673" s="209"/>
      <c r="E673" s="9">
        <f>ROUNDUP((SUM(E659:E660)*C673),0)</f>
        <v>82</v>
      </c>
      <c r="I673" s="349" t="s">
        <v>15</v>
      </c>
      <c r="J673" s="241">
        <v>9.0999999999999998E-2</v>
      </c>
      <c r="K673" s="364"/>
      <c r="L673" s="353">
        <f>ROUNDUP((SUM(L659:L660)*J673),0)</f>
        <v>27</v>
      </c>
    </row>
    <row r="674" spans="2:19">
      <c r="B674" s="349" t="s">
        <v>332</v>
      </c>
      <c r="C674" s="365">
        <v>0.08</v>
      </c>
      <c r="D674" s="209"/>
      <c r="E674" s="9">
        <f>ROUNDUP(SUM(E667)*C674,0)</f>
        <v>58</v>
      </c>
      <c r="I674" s="349" t="s">
        <v>332</v>
      </c>
      <c r="J674" s="365">
        <v>0.08</v>
      </c>
      <c r="K674" s="364"/>
      <c r="L674" s="353">
        <f>ROUNDUP(SUM(L667)*J674,0)</f>
        <v>29</v>
      </c>
    </row>
    <row r="675" spans="2:19">
      <c r="B675" s="6" t="s">
        <v>333</v>
      </c>
      <c r="C675" s="122">
        <v>0.4</v>
      </c>
      <c r="D675" s="7"/>
      <c r="E675" s="9">
        <f>ROUNDUP(SUM(E670:E674)*C675,0)</f>
        <v>704</v>
      </c>
      <c r="I675" s="349" t="s">
        <v>333</v>
      </c>
      <c r="J675" s="366">
        <v>0.4</v>
      </c>
      <c r="K675" s="306"/>
      <c r="L675" s="353">
        <f>ROUNDUP(SUM(L670:L674)*J675,0)</f>
        <v>282</v>
      </c>
    </row>
    <row r="676" spans="2:19">
      <c r="B676" s="6" t="s">
        <v>210</v>
      </c>
      <c r="C676" s="122">
        <v>0</v>
      </c>
      <c r="D676" s="7"/>
      <c r="E676" s="9">
        <f>ROUNDUP(SUM(E670:E675)*C676,0)</f>
        <v>0</v>
      </c>
      <c r="I676" s="349" t="s">
        <v>210</v>
      </c>
      <c r="J676" s="366">
        <v>0.1</v>
      </c>
      <c r="K676" s="306"/>
      <c r="L676" s="353">
        <f>ROUNDUP(SUM(L670:L675)*J676,0)</f>
        <v>99</v>
      </c>
    </row>
    <row r="677" spans="2:19">
      <c r="B677" s="6" t="s">
        <v>0</v>
      </c>
      <c r="C677" s="241"/>
      <c r="D677" s="7"/>
      <c r="E677" s="9">
        <f>ROUNDUP(SUM(E667,E675:E676)*C677,0)</f>
        <v>0</v>
      </c>
      <c r="I677" s="349" t="s">
        <v>0</v>
      </c>
      <c r="J677" s="43"/>
      <c r="K677" s="306"/>
      <c r="L677" s="353">
        <f>ROUNDUP(SUM(L667,L675:L676)*J677,0)</f>
        <v>0</v>
      </c>
    </row>
    <row r="678" spans="2:19">
      <c r="B678" s="6" t="s">
        <v>261</v>
      </c>
      <c r="C678" s="241">
        <v>0.01</v>
      </c>
      <c r="D678" s="7"/>
      <c r="E678" s="9">
        <f>ROUNDUP(C678*SUM(E670:E677),0)</f>
        <v>25</v>
      </c>
      <c r="I678" s="349" t="s">
        <v>261</v>
      </c>
      <c r="J678" s="365">
        <v>0.01</v>
      </c>
      <c r="K678" s="306"/>
      <c r="L678" s="353">
        <f>ROUNDUP(J678*SUM(L670:L677),0)</f>
        <v>11</v>
      </c>
    </row>
    <row r="679" spans="2:19">
      <c r="B679" s="45" t="s">
        <v>20</v>
      </c>
      <c r="C679" s="46"/>
      <c r="D679" s="15"/>
      <c r="E679" s="210">
        <f>ROUNDUP(SUM(E670:E678)*C679,0)</f>
        <v>0</v>
      </c>
      <c r="I679" s="324" t="s">
        <v>20</v>
      </c>
      <c r="J679" s="367"/>
      <c r="K679" s="368"/>
      <c r="L679" s="369">
        <f>ROUNDUP(SUM(L670:L678)*J679,0)</f>
        <v>0</v>
      </c>
    </row>
    <row r="680" spans="2:19">
      <c r="B680" s="1"/>
      <c r="C680" s="8"/>
      <c r="D680" s="7"/>
      <c r="E680" s="7"/>
      <c r="I680" s="43"/>
      <c r="J680" s="370"/>
      <c r="K680" s="306"/>
      <c r="L680" s="306"/>
    </row>
    <row r="681" spans="2:19" ht="16.2" thickBot="1">
      <c r="B681" s="1"/>
      <c r="C681" s="1"/>
      <c r="D681" s="7"/>
      <c r="E681" s="7"/>
      <c r="F681" s="51" t="s">
        <v>334</v>
      </c>
      <c r="I681" s="43"/>
      <c r="J681" s="43"/>
      <c r="K681" s="306"/>
      <c r="L681" s="306"/>
      <c r="M681" s="51" t="s">
        <v>334</v>
      </c>
      <c r="N681" s="51"/>
      <c r="O681" s="51"/>
      <c r="P681" s="51"/>
      <c r="Q681" s="51"/>
      <c r="R681" s="51"/>
      <c r="S681" s="51"/>
    </row>
    <row r="682" spans="2:19" ht="16.2" thickBot="1">
      <c r="B682" s="289" t="s">
        <v>6</v>
      </c>
      <c r="C682" s="290"/>
      <c r="D682" s="291"/>
      <c r="E682" s="292">
        <f>SUM(E670:E679)</f>
        <v>2489</v>
      </c>
      <c r="F682" s="371">
        <f>E682/C663</f>
        <v>0.49780000000000002</v>
      </c>
      <c r="I682" s="372" t="s">
        <v>6</v>
      </c>
      <c r="J682" s="373"/>
      <c r="K682" s="374"/>
      <c r="L682" s="375">
        <f>SUM(L670:L679)</f>
        <v>1096</v>
      </c>
      <c r="M682" s="371">
        <f>L682/J663</f>
        <v>1.0960000000000001</v>
      </c>
      <c r="N682" s="371"/>
      <c r="O682" s="371"/>
      <c r="P682" s="371"/>
      <c r="Q682" s="371"/>
      <c r="R682" s="371"/>
      <c r="S682" s="371"/>
    </row>
    <row r="686" spans="2:19">
      <c r="B686" s="1897" t="s">
        <v>264</v>
      </c>
      <c r="C686" s="1898"/>
      <c r="D686" s="1898"/>
      <c r="E686" s="1899"/>
      <c r="I686" s="1897" t="s">
        <v>265</v>
      </c>
      <c r="J686" s="1898"/>
      <c r="K686" s="1898"/>
      <c r="L686" s="1899"/>
    </row>
    <row r="687" spans="2:19">
      <c r="B687" s="5" t="s">
        <v>327</v>
      </c>
      <c r="C687" s="30" t="s">
        <v>11</v>
      </c>
      <c r="D687" s="30" t="s">
        <v>1</v>
      </c>
      <c r="E687" s="31" t="s">
        <v>2</v>
      </c>
      <c r="I687" s="5" t="s">
        <v>327</v>
      </c>
      <c r="J687" s="30" t="s">
        <v>11</v>
      </c>
      <c r="K687" s="30" t="s">
        <v>1</v>
      </c>
      <c r="L687" s="31" t="s">
        <v>2</v>
      </c>
    </row>
    <row r="688" spans="2:19">
      <c r="B688" s="32" t="s">
        <v>39</v>
      </c>
      <c r="C688" s="32">
        <f>0.145*5000</f>
        <v>725</v>
      </c>
      <c r="D688" s="33">
        <v>1.1499999999999999</v>
      </c>
      <c r="E688" s="34">
        <f t="shared" ref="E688:E691" si="124">C688*D688</f>
        <v>833.74999999999989</v>
      </c>
      <c r="F688" t="s">
        <v>335</v>
      </c>
      <c r="I688" s="44" t="s">
        <v>39</v>
      </c>
      <c r="J688" s="32">
        <f>0.2*1000</f>
        <v>200</v>
      </c>
      <c r="K688" s="33">
        <v>1.1499999999999999</v>
      </c>
      <c r="L688" s="34">
        <f t="shared" ref="L688:L691" si="125">J688*K688</f>
        <v>229.99999999999997</v>
      </c>
      <c r="M688" t="s">
        <v>336</v>
      </c>
    </row>
    <row r="689" spans="2:12">
      <c r="B689" s="32"/>
      <c r="C689" s="32"/>
      <c r="D689" s="33"/>
      <c r="E689" s="34">
        <f t="shared" si="124"/>
        <v>0</v>
      </c>
      <c r="I689" s="44"/>
      <c r="J689" s="32"/>
      <c r="K689" s="33"/>
      <c r="L689" s="34">
        <f t="shared" si="125"/>
        <v>0</v>
      </c>
    </row>
    <row r="690" spans="2:12">
      <c r="B690" s="32"/>
      <c r="C690" s="32"/>
      <c r="D690" s="33"/>
      <c r="E690" s="34">
        <f t="shared" si="124"/>
        <v>0</v>
      </c>
      <c r="I690" s="44"/>
      <c r="J690" s="32"/>
      <c r="K690" s="33"/>
      <c r="L690" s="34">
        <f t="shared" si="125"/>
        <v>0</v>
      </c>
    </row>
    <row r="691" spans="2:12">
      <c r="B691" s="322"/>
      <c r="C691" s="323"/>
      <c r="D691" s="26"/>
      <c r="E691" s="27">
        <f t="shared" si="124"/>
        <v>0</v>
      </c>
      <c r="I691" s="45"/>
      <c r="J691" s="323"/>
      <c r="K691" s="26"/>
      <c r="L691" s="27">
        <f t="shared" si="125"/>
        <v>0</v>
      </c>
    </row>
    <row r="692" spans="2:12">
      <c r="B692" s="17" t="s">
        <v>10</v>
      </c>
      <c r="C692" s="35"/>
      <c r="D692" s="18"/>
      <c r="E692" s="19">
        <f>ROUNDUP(SUM(E688:E691),0)</f>
        <v>834</v>
      </c>
      <c r="I692" s="17" t="s">
        <v>10</v>
      </c>
      <c r="J692" s="35"/>
      <c r="K692" s="18"/>
      <c r="L692" s="19">
        <f>ROUNDUP(SUM(L688:L691),0)</f>
        <v>230</v>
      </c>
    </row>
    <row r="693" spans="2:12">
      <c r="B693" s="20" t="s">
        <v>328</v>
      </c>
      <c r="C693" s="270">
        <v>0.1</v>
      </c>
      <c r="D693" s="21"/>
      <c r="E693" s="22">
        <f>ROUNDUP(E692*C693,0)</f>
        <v>84</v>
      </c>
      <c r="I693" s="20" t="s">
        <v>328</v>
      </c>
      <c r="J693" s="270">
        <v>0.15</v>
      </c>
      <c r="K693" s="21"/>
      <c r="L693" s="22">
        <f>ROUNDUP(L692*J693,0)</f>
        <v>35</v>
      </c>
    </row>
    <row r="694" spans="2:12">
      <c r="B694" s="10" t="s">
        <v>3</v>
      </c>
      <c r="C694" s="36"/>
      <c r="D694" s="13"/>
      <c r="E694" s="16">
        <f>SUM(E692:E693)</f>
        <v>918</v>
      </c>
      <c r="I694" s="10" t="s">
        <v>3</v>
      </c>
      <c r="J694" s="36"/>
      <c r="K694" s="13"/>
      <c r="L694" s="16">
        <f>SUM(L692:L693)</f>
        <v>265</v>
      </c>
    </row>
    <row r="695" spans="2:12">
      <c r="B695" s="39" t="s">
        <v>16</v>
      </c>
      <c r="C695" s="40">
        <v>0</v>
      </c>
      <c r="D695" s="41"/>
      <c r="E695" s="42">
        <f>ROUNDUP(E692*C695,0)</f>
        <v>0</v>
      </c>
      <c r="I695" s="39" t="s">
        <v>16</v>
      </c>
      <c r="J695" s="40">
        <v>0</v>
      </c>
      <c r="K695" s="41"/>
      <c r="L695" s="42">
        <f>ROUNDUP(L692*J695,0)</f>
        <v>0</v>
      </c>
    </row>
    <row r="696" spans="2:12">
      <c r="B696" s="1"/>
      <c r="C696" s="32"/>
      <c r="D696" s="7"/>
      <c r="E696" s="7"/>
      <c r="I696" s="1"/>
      <c r="J696" s="32"/>
      <c r="K696" s="7"/>
      <c r="L696" s="7"/>
    </row>
    <row r="697" spans="2:12">
      <c r="B697" s="5" t="s">
        <v>329</v>
      </c>
      <c r="C697" s="30" t="s">
        <v>11</v>
      </c>
      <c r="D697" s="11" t="s">
        <v>1</v>
      </c>
      <c r="E697" s="344" t="s">
        <v>2</v>
      </c>
      <c r="I697" s="5" t="s">
        <v>329</v>
      </c>
      <c r="J697" s="30" t="s">
        <v>11</v>
      </c>
      <c r="K697" s="11" t="s">
        <v>1</v>
      </c>
      <c r="L697" s="344" t="s">
        <v>2</v>
      </c>
    </row>
    <row r="698" spans="2:12">
      <c r="B698" s="6" t="s">
        <v>337</v>
      </c>
      <c r="C698" s="37">
        <f>C688</f>
        <v>725</v>
      </c>
      <c r="D698" s="350">
        <v>0.99399999999999999</v>
      </c>
      <c r="E698" s="9"/>
      <c r="I698" s="6" t="s">
        <v>337</v>
      </c>
      <c r="J698" s="37">
        <v>200</v>
      </c>
      <c r="K698" s="7">
        <v>1.2</v>
      </c>
      <c r="L698" s="9"/>
    </row>
    <row r="699" spans="2:12">
      <c r="B699" s="354" t="s">
        <v>331</v>
      </c>
      <c r="C699" s="355" t="s">
        <v>42</v>
      </c>
      <c r="D699" s="356" t="s">
        <v>43</v>
      </c>
      <c r="E699" s="357"/>
      <c r="I699" s="354" t="s">
        <v>331</v>
      </c>
      <c r="J699" s="355" t="s">
        <v>42</v>
      </c>
      <c r="K699" s="356" t="s">
        <v>43</v>
      </c>
      <c r="L699" s="357"/>
    </row>
    <row r="700" spans="2:12">
      <c r="B700" s="44">
        <v>4</v>
      </c>
      <c r="C700" s="154">
        <v>0.75</v>
      </c>
      <c r="D700" s="7">
        <v>30</v>
      </c>
      <c r="E700" s="9">
        <f>ROUNDUP(B700*C700*D700,0)*8</f>
        <v>720</v>
      </c>
      <c r="I700" s="44">
        <v>2</v>
      </c>
      <c r="J700" s="154">
        <v>0.5</v>
      </c>
      <c r="K700" s="7">
        <v>30</v>
      </c>
      <c r="L700" s="9">
        <f>ROUNDUP(I700*J700*K700,0)*8</f>
        <v>240</v>
      </c>
    </row>
    <row r="701" spans="2:12">
      <c r="B701" s="6"/>
      <c r="C701" s="37"/>
      <c r="D701" s="7"/>
      <c r="E701" s="9">
        <f>ROUNDUP(B701*C701*D701,0)*8</f>
        <v>0</v>
      </c>
      <c r="I701" s="6"/>
      <c r="J701" s="37"/>
      <c r="K701" s="7"/>
      <c r="L701" s="9">
        <f>ROUNDUP(I701*J701*K701,0)*8</f>
        <v>0</v>
      </c>
    </row>
    <row r="702" spans="2:12">
      <c r="B702" s="10" t="s">
        <v>4</v>
      </c>
      <c r="C702" s="36"/>
      <c r="D702" s="13"/>
      <c r="E702" s="16">
        <f>SUM(E698:E701)</f>
        <v>720</v>
      </c>
      <c r="I702" s="10" t="s">
        <v>4</v>
      </c>
      <c r="J702" s="36"/>
      <c r="K702" s="13"/>
      <c r="L702" s="16">
        <f>SUM(L698:L701)</f>
        <v>240</v>
      </c>
    </row>
    <row r="703" spans="2:12">
      <c r="B703" s="1"/>
      <c r="C703" s="32"/>
      <c r="D703" s="7"/>
      <c r="E703" s="7"/>
      <c r="I703" s="1"/>
      <c r="J703" s="32"/>
      <c r="K703" s="7"/>
      <c r="L703" s="7"/>
    </row>
    <row r="704" spans="2:12">
      <c r="B704" s="1"/>
      <c r="C704" s="32"/>
      <c r="D704" s="7"/>
      <c r="E704" s="7"/>
      <c r="I704" s="1"/>
      <c r="J704" s="32"/>
      <c r="K704" s="7"/>
      <c r="L704" s="7"/>
    </row>
    <row r="705" spans="2:18">
      <c r="B705" s="280" t="s">
        <v>9</v>
      </c>
      <c r="C705" s="281"/>
      <c r="D705" s="282"/>
      <c r="E705" s="283">
        <f>SUM(E694,E702,E695)</f>
        <v>1638</v>
      </c>
      <c r="I705" s="280" t="s">
        <v>9</v>
      </c>
      <c r="J705" s="281"/>
      <c r="K705" s="282"/>
      <c r="L705" s="283">
        <f>SUM(L694,L702,L695)</f>
        <v>505</v>
      </c>
    </row>
    <row r="706" spans="2:18">
      <c r="B706" s="1"/>
      <c r="C706" s="32"/>
      <c r="D706" s="7"/>
      <c r="E706" s="7"/>
      <c r="I706" s="1"/>
      <c r="J706" s="32"/>
      <c r="K706" s="7"/>
      <c r="L706" s="7"/>
    </row>
    <row r="707" spans="2:18">
      <c r="B707" s="5" t="s">
        <v>8</v>
      </c>
      <c r="C707" s="30" t="s">
        <v>7</v>
      </c>
      <c r="D707" s="14"/>
      <c r="E707" s="12"/>
      <c r="I707" s="5" t="s">
        <v>8</v>
      </c>
      <c r="J707" s="30" t="s">
        <v>7</v>
      </c>
      <c r="K707" s="14"/>
      <c r="L707" s="12"/>
    </row>
    <row r="708" spans="2:18">
      <c r="B708" s="6" t="s">
        <v>15</v>
      </c>
      <c r="C708" s="241">
        <v>9.0999999999999998E-2</v>
      </c>
      <c r="D708" s="209"/>
      <c r="E708" s="9">
        <f>ROUNDUP((SUM(E694:E695)*C708),0)</f>
        <v>84</v>
      </c>
      <c r="I708" s="6" t="s">
        <v>15</v>
      </c>
      <c r="J708" s="241">
        <v>9.0999999999999998E-2</v>
      </c>
      <c r="K708" s="209"/>
      <c r="L708" s="9">
        <f>ROUNDUP((SUM(L694:L695)*J708),0)</f>
        <v>25</v>
      </c>
    </row>
    <row r="709" spans="2:18">
      <c r="B709" s="349" t="s">
        <v>332</v>
      </c>
      <c r="C709" s="365">
        <v>0.08</v>
      </c>
      <c r="D709" s="209"/>
      <c r="E709" s="9">
        <f>ROUNDUP(SUM(E702)*C709,0)</f>
        <v>58</v>
      </c>
      <c r="I709" s="349" t="s">
        <v>332</v>
      </c>
      <c r="J709" s="365">
        <v>0.08</v>
      </c>
      <c r="K709" s="209"/>
      <c r="L709" s="9">
        <f>ROUNDUP(SUM(L702)*J709,0)</f>
        <v>20</v>
      </c>
    </row>
    <row r="710" spans="2:18">
      <c r="B710" s="6" t="s">
        <v>333</v>
      </c>
      <c r="C710" s="122">
        <v>0.4</v>
      </c>
      <c r="D710" s="7"/>
      <c r="E710" s="9">
        <f>ROUNDUP(SUM(E705:E709)*C710,0)</f>
        <v>712</v>
      </c>
      <c r="I710" s="6" t="s">
        <v>333</v>
      </c>
      <c r="J710" s="122">
        <v>0.4</v>
      </c>
      <c r="K710" s="7"/>
      <c r="L710" s="9">
        <f>ROUNDUP(SUM(L705:L709)*J710,0)</f>
        <v>220</v>
      </c>
    </row>
    <row r="711" spans="2:18">
      <c r="B711" s="6" t="s">
        <v>210</v>
      </c>
      <c r="C711" s="122">
        <v>0</v>
      </c>
      <c r="D711" s="7"/>
      <c r="E711" s="9">
        <f>ROUNDUP(SUM(E705:E710)*C711,0)</f>
        <v>0</v>
      </c>
      <c r="I711" s="6" t="s">
        <v>210</v>
      </c>
      <c r="J711" s="122">
        <v>0</v>
      </c>
      <c r="K711" s="7"/>
      <c r="L711" s="9">
        <f>ROUNDUP(SUM(L705:L710)*J711,0)</f>
        <v>0</v>
      </c>
    </row>
    <row r="712" spans="2:18">
      <c r="B712" s="6" t="s">
        <v>0</v>
      </c>
      <c r="C712" s="241"/>
      <c r="D712" s="7"/>
      <c r="E712" s="9">
        <f>ROUNDUP(SUM(E702,E710:E711)*C712,0)</f>
        <v>0</v>
      </c>
      <c r="I712" s="6" t="s">
        <v>0</v>
      </c>
      <c r="J712" s="241"/>
      <c r="K712" s="7"/>
      <c r="L712" s="9">
        <f>ROUNDUP(SUM(L702,L710:L711)*J712,0)</f>
        <v>0</v>
      </c>
    </row>
    <row r="713" spans="2:18">
      <c r="B713" s="6" t="s">
        <v>261</v>
      </c>
      <c r="C713" s="241">
        <v>0.01</v>
      </c>
      <c r="D713" s="7"/>
      <c r="E713" s="9">
        <f>ROUNDUP(C713*SUM(E705:E712),0)</f>
        <v>25</v>
      </c>
      <c r="I713" s="6" t="s">
        <v>261</v>
      </c>
      <c r="J713" s="241">
        <v>0.01</v>
      </c>
      <c r="K713" s="7"/>
      <c r="L713" s="9">
        <f>ROUNDUP(J713*SUM(L705:L712),0)</f>
        <v>8</v>
      </c>
    </row>
    <row r="714" spans="2:18">
      <c r="B714" s="45" t="s">
        <v>20</v>
      </c>
      <c r="C714" s="46"/>
      <c r="D714" s="15"/>
      <c r="E714" s="210">
        <f>ROUNDUP(SUM(E705:E713)*C714,0)</f>
        <v>0</v>
      </c>
      <c r="F714" s="51" t="s">
        <v>334</v>
      </c>
      <c r="I714" s="45" t="s">
        <v>20</v>
      </c>
      <c r="J714" s="46"/>
      <c r="K714" s="15"/>
      <c r="L714" s="210">
        <f>ROUNDUP(SUM(L705:L713)*J714,0)</f>
        <v>0</v>
      </c>
      <c r="M714" s="51" t="s">
        <v>334</v>
      </c>
    </row>
    <row r="715" spans="2:18">
      <c r="B715" s="1"/>
      <c r="C715" s="8"/>
      <c r="D715" s="7"/>
      <c r="E715" s="7"/>
      <c r="F715" s="371">
        <f>E717/5000</f>
        <v>0.50339999999999996</v>
      </c>
      <c r="I715" s="1"/>
      <c r="J715" s="8"/>
      <c r="K715" s="7"/>
      <c r="L715" s="7"/>
      <c r="M715" s="371">
        <f>L717/1000</f>
        <v>0.77800000000000002</v>
      </c>
    </row>
    <row r="716" spans="2:18" ht="16.2" thickBot="1">
      <c r="B716" s="1"/>
      <c r="C716" s="1"/>
      <c r="D716" s="7"/>
      <c r="E716" s="7"/>
      <c r="F716" s="51" t="s">
        <v>338</v>
      </c>
      <c r="I716" s="1"/>
      <c r="J716" s="1"/>
      <c r="K716" s="7"/>
      <c r="L716" s="7"/>
      <c r="M716" s="51" t="s">
        <v>338</v>
      </c>
    </row>
    <row r="717" spans="2:18" ht="16.2" thickBot="1">
      <c r="B717" s="289" t="s">
        <v>6</v>
      </c>
      <c r="C717" s="290"/>
      <c r="D717" s="291"/>
      <c r="E717" s="292">
        <f>SUM(E705:E714)</f>
        <v>2517</v>
      </c>
      <c r="F717" s="371">
        <f>E717/C698</f>
        <v>3.4717241379310346</v>
      </c>
      <c r="I717" s="289" t="s">
        <v>6</v>
      </c>
      <c r="J717" s="290"/>
      <c r="K717" s="291"/>
      <c r="L717" s="292">
        <f>SUM(L705:L714)</f>
        <v>778</v>
      </c>
      <c r="M717" s="371">
        <f>L717/J698</f>
        <v>3.89</v>
      </c>
    </row>
    <row r="720" spans="2:18">
      <c r="B720" s="1897" t="s">
        <v>339</v>
      </c>
      <c r="C720" s="1898"/>
      <c r="D720" s="1898"/>
      <c r="E720" s="1899"/>
      <c r="I720" s="1897" t="s">
        <v>340</v>
      </c>
      <c r="J720" s="1898"/>
      <c r="K720" s="1898"/>
      <c r="L720" s="1899"/>
      <c r="O720" s="1897" t="s">
        <v>341</v>
      </c>
      <c r="P720" s="1898"/>
      <c r="Q720" s="1898"/>
      <c r="R720" s="1899"/>
    </row>
    <row r="721" spans="2:18">
      <c r="B721" s="5" t="s">
        <v>327</v>
      </c>
      <c r="C721" s="30" t="s">
        <v>11</v>
      </c>
      <c r="D721" s="30" t="s">
        <v>1</v>
      </c>
      <c r="E721" s="31" t="s">
        <v>2</v>
      </c>
      <c r="I721" s="5" t="s">
        <v>327</v>
      </c>
      <c r="J721" s="30" t="s">
        <v>11</v>
      </c>
      <c r="K721" s="30" t="s">
        <v>1</v>
      </c>
      <c r="L721" s="31" t="s">
        <v>2</v>
      </c>
      <c r="O721" s="5" t="s">
        <v>327</v>
      </c>
      <c r="P721" s="30" t="s">
        <v>11</v>
      </c>
      <c r="Q721" s="30" t="s">
        <v>1</v>
      </c>
      <c r="R721" s="31" t="s">
        <v>2</v>
      </c>
    </row>
    <row r="722" spans="2:18">
      <c r="B722" s="32"/>
      <c r="C722" s="32"/>
      <c r="D722" s="33"/>
      <c r="E722" s="34">
        <f t="shared" ref="E722:E725" si="126">C722*D722</f>
        <v>0</v>
      </c>
      <c r="I722" s="44" t="s">
        <v>342</v>
      </c>
      <c r="J722" s="32">
        <v>240</v>
      </c>
      <c r="K722" s="33">
        <v>0.6</v>
      </c>
      <c r="L722" s="34">
        <f t="shared" ref="L722:L725" si="127">J722*K722</f>
        <v>144</v>
      </c>
      <c r="O722" s="44" t="s">
        <v>342</v>
      </c>
      <c r="P722" s="32">
        <v>400</v>
      </c>
      <c r="Q722" s="33">
        <v>0.6</v>
      </c>
      <c r="R722" s="34">
        <f t="shared" ref="R722:R725" si="128">P722*Q722</f>
        <v>240</v>
      </c>
    </row>
    <row r="723" spans="2:18">
      <c r="B723" s="32"/>
      <c r="C723" s="32"/>
      <c r="D723" s="33"/>
      <c r="E723" s="34">
        <f t="shared" si="126"/>
        <v>0</v>
      </c>
      <c r="I723" s="44" t="s">
        <v>343</v>
      </c>
      <c r="J723" s="32">
        <v>1</v>
      </c>
      <c r="K723" s="33">
        <v>1000</v>
      </c>
      <c r="L723" s="34">
        <f t="shared" si="127"/>
        <v>1000</v>
      </c>
      <c r="O723" s="44" t="s">
        <v>343</v>
      </c>
      <c r="P723" s="32">
        <v>1</v>
      </c>
      <c r="Q723" s="33">
        <v>1000</v>
      </c>
      <c r="R723" s="34">
        <f t="shared" si="128"/>
        <v>1000</v>
      </c>
    </row>
    <row r="724" spans="2:18">
      <c r="B724" s="32"/>
      <c r="C724" s="32"/>
      <c r="D724" s="33"/>
      <c r="E724" s="34">
        <f t="shared" si="126"/>
        <v>0</v>
      </c>
      <c r="I724" s="44"/>
      <c r="J724" s="32"/>
      <c r="K724" s="33"/>
      <c r="L724" s="34">
        <f t="shared" si="127"/>
        <v>0</v>
      </c>
      <c r="O724" s="44"/>
      <c r="P724" s="32"/>
      <c r="Q724" s="33"/>
      <c r="R724" s="34">
        <f t="shared" si="128"/>
        <v>0</v>
      </c>
    </row>
    <row r="725" spans="2:18">
      <c r="B725" s="322"/>
      <c r="C725" s="323"/>
      <c r="D725" s="26"/>
      <c r="E725" s="27">
        <f t="shared" si="126"/>
        <v>0</v>
      </c>
      <c r="I725" s="322"/>
      <c r="J725" s="323"/>
      <c r="K725" s="26"/>
      <c r="L725" s="27">
        <f t="shared" si="127"/>
        <v>0</v>
      </c>
      <c r="O725" s="322"/>
      <c r="P725" s="323"/>
      <c r="Q725" s="26"/>
      <c r="R725" s="27">
        <f t="shared" si="128"/>
        <v>0</v>
      </c>
    </row>
    <row r="726" spans="2:18">
      <c r="B726" s="17" t="s">
        <v>10</v>
      </c>
      <c r="C726" s="35"/>
      <c r="D726" s="18"/>
      <c r="E726" s="19">
        <f>ROUNDUP(SUM(E722:E725),0)</f>
        <v>0</v>
      </c>
      <c r="I726" s="17" t="s">
        <v>10</v>
      </c>
      <c r="J726" s="35"/>
      <c r="K726" s="18"/>
      <c r="L726" s="19">
        <f>ROUNDUP(SUM(L722:L725),0)</f>
        <v>1144</v>
      </c>
      <c r="O726" s="17" t="s">
        <v>10</v>
      </c>
      <c r="P726" s="35"/>
      <c r="Q726" s="18"/>
      <c r="R726" s="19">
        <f>ROUNDUP(SUM(R722:R725),0)</f>
        <v>1240</v>
      </c>
    </row>
    <row r="727" spans="2:18">
      <c r="B727" s="20" t="s">
        <v>328</v>
      </c>
      <c r="C727" s="270">
        <v>0</v>
      </c>
      <c r="D727" s="21"/>
      <c r="E727" s="22">
        <f>ROUNDUP(E726*C727,0)</f>
        <v>0</v>
      </c>
      <c r="I727" s="20" t="s">
        <v>328</v>
      </c>
      <c r="J727" s="270">
        <v>0</v>
      </c>
      <c r="K727" s="21"/>
      <c r="L727" s="22">
        <f>ROUNDUP(L726*J727,0)</f>
        <v>0</v>
      </c>
      <c r="O727" s="20" t="s">
        <v>328</v>
      </c>
      <c r="P727" s="270">
        <v>0</v>
      </c>
      <c r="Q727" s="21"/>
      <c r="R727" s="22">
        <f>ROUNDUP(R726*P727,0)</f>
        <v>0</v>
      </c>
    </row>
    <row r="728" spans="2:18">
      <c r="B728" s="10" t="s">
        <v>3</v>
      </c>
      <c r="C728" s="36"/>
      <c r="D728" s="13"/>
      <c r="E728" s="16">
        <f>SUM(E726:E727)</f>
        <v>0</v>
      </c>
      <c r="I728" s="10" t="s">
        <v>3</v>
      </c>
      <c r="J728" s="36"/>
      <c r="K728" s="13"/>
      <c r="L728" s="16">
        <f>SUM(L726:L727)</f>
        <v>1144</v>
      </c>
      <c r="O728" s="10" t="s">
        <v>3</v>
      </c>
      <c r="P728" s="36"/>
      <c r="Q728" s="13"/>
      <c r="R728" s="16">
        <f>SUM(R726:R727)</f>
        <v>1240</v>
      </c>
    </row>
    <row r="729" spans="2:18">
      <c r="B729" s="39" t="s">
        <v>16</v>
      </c>
      <c r="C729" s="40">
        <v>0.1</v>
      </c>
      <c r="D729" s="41"/>
      <c r="E729" s="42">
        <f>ROUNDUP(E726*C729,0)</f>
        <v>0</v>
      </c>
      <c r="I729" s="39" t="s">
        <v>16</v>
      </c>
      <c r="J729" s="40">
        <v>0</v>
      </c>
      <c r="K729" s="41"/>
      <c r="L729" s="42">
        <f>ROUNDUP(L726*J729,0)</f>
        <v>0</v>
      </c>
      <c r="O729" s="39" t="s">
        <v>16</v>
      </c>
      <c r="P729" s="40">
        <v>0</v>
      </c>
      <c r="Q729" s="41"/>
      <c r="R729" s="42">
        <f>ROUNDUP(R726*P729,0)</f>
        <v>0</v>
      </c>
    </row>
    <row r="730" spans="2:18">
      <c r="B730" s="1"/>
      <c r="C730" s="32"/>
      <c r="D730" s="7"/>
      <c r="E730" s="7"/>
      <c r="I730" s="1"/>
      <c r="J730" s="32"/>
      <c r="K730" s="7"/>
      <c r="L730" s="7"/>
      <c r="O730" s="1"/>
      <c r="P730" s="32"/>
      <c r="Q730" s="7"/>
      <c r="R730" s="7"/>
    </row>
    <row r="731" spans="2:18">
      <c r="B731" s="5" t="s">
        <v>329</v>
      </c>
      <c r="C731" s="30" t="s">
        <v>11</v>
      </c>
      <c r="D731" s="11" t="s">
        <v>1</v>
      </c>
      <c r="E731" s="344" t="s">
        <v>2</v>
      </c>
      <c r="I731" s="5" t="s">
        <v>329</v>
      </c>
      <c r="J731" s="30" t="s">
        <v>11</v>
      </c>
      <c r="K731" s="11" t="s">
        <v>1</v>
      </c>
      <c r="L731" s="344" t="s">
        <v>2</v>
      </c>
      <c r="O731" s="5" t="s">
        <v>329</v>
      </c>
      <c r="P731" s="30" t="s">
        <v>11</v>
      </c>
      <c r="Q731" s="11" t="s">
        <v>1</v>
      </c>
      <c r="R731" s="344" t="s">
        <v>2</v>
      </c>
    </row>
    <row r="732" spans="2:18">
      <c r="B732" s="6" t="s">
        <v>344</v>
      </c>
      <c r="C732" s="37">
        <f>3*6</f>
        <v>18</v>
      </c>
      <c r="D732" s="7">
        <v>30</v>
      </c>
      <c r="E732" s="9">
        <f>ROUNDUP(C732*D732,0)</f>
        <v>540</v>
      </c>
      <c r="I732" s="6" t="s">
        <v>345</v>
      </c>
      <c r="J732" s="37">
        <f>3*8</f>
        <v>24</v>
      </c>
      <c r="K732" s="7">
        <v>30</v>
      </c>
      <c r="L732" s="9">
        <f>ROUNDUP(J732*K732,0)</f>
        <v>720</v>
      </c>
      <c r="O732" s="6" t="s">
        <v>346</v>
      </c>
      <c r="P732" s="37">
        <f>3*16</f>
        <v>48</v>
      </c>
      <c r="Q732" s="7">
        <v>30</v>
      </c>
      <c r="R732" s="9">
        <f>ROUNDUP(P732*Q732,0)</f>
        <v>1440</v>
      </c>
    </row>
    <row r="733" spans="2:18">
      <c r="B733" s="6" t="s">
        <v>347</v>
      </c>
      <c r="C733" s="37">
        <f>3*3</f>
        <v>9</v>
      </c>
      <c r="D733" s="7">
        <v>30</v>
      </c>
      <c r="E733" s="9">
        <f>ROUNDUP(C733*D733*8,0)</f>
        <v>2160</v>
      </c>
      <c r="I733" s="6" t="s">
        <v>347</v>
      </c>
      <c r="J733" s="37">
        <f>3*5</f>
        <v>15</v>
      </c>
      <c r="K733" s="7">
        <v>30</v>
      </c>
      <c r="L733" s="9">
        <f>ROUNDUP(J733*K733*8,0)</f>
        <v>3600</v>
      </c>
      <c r="O733" s="6" t="s">
        <v>347</v>
      </c>
      <c r="P733" s="37">
        <f>3*5</f>
        <v>15</v>
      </c>
      <c r="Q733" s="7">
        <v>30</v>
      </c>
      <c r="R733" s="9">
        <f>ROUNDUP(P733*Q733*8,0)</f>
        <v>3600</v>
      </c>
    </row>
    <row r="734" spans="2:18">
      <c r="B734" s="376" t="s">
        <v>348</v>
      </c>
      <c r="C734" s="377"/>
      <c r="D734" s="7"/>
      <c r="E734" s="9">
        <f t="shared" ref="E734:E735" si="129">ROUNDUP(C734*D734,0)</f>
        <v>0</v>
      </c>
      <c r="I734" s="376" t="s">
        <v>348</v>
      </c>
      <c r="J734" s="377"/>
      <c r="K734" s="7"/>
      <c r="L734" s="9">
        <f t="shared" ref="L734:L735" si="130">ROUNDUP(J734*K734,0)</f>
        <v>0</v>
      </c>
      <c r="O734" s="376" t="s">
        <v>348</v>
      </c>
      <c r="P734" s="377"/>
      <c r="Q734" s="7"/>
      <c r="R734" s="9">
        <f t="shared" ref="R734:R735" si="131">ROUNDUP(P734*Q734,0)</f>
        <v>0</v>
      </c>
    </row>
    <row r="735" spans="2:18">
      <c r="B735" s="6"/>
      <c r="C735" s="37"/>
      <c r="D735" s="7"/>
      <c r="E735" s="9">
        <f t="shared" si="129"/>
        <v>0</v>
      </c>
      <c r="I735" s="6"/>
      <c r="J735" s="37"/>
      <c r="K735" s="7"/>
      <c r="L735" s="9">
        <f t="shared" si="130"/>
        <v>0</v>
      </c>
      <c r="O735" s="6"/>
      <c r="P735" s="37"/>
      <c r="Q735" s="7"/>
      <c r="R735" s="9">
        <f t="shared" si="131"/>
        <v>0</v>
      </c>
    </row>
    <row r="736" spans="2:18">
      <c r="B736" s="10" t="s">
        <v>4</v>
      </c>
      <c r="C736" s="36"/>
      <c r="D736" s="13"/>
      <c r="E736" s="16">
        <f>SUM(E732:E735)</f>
        <v>2700</v>
      </c>
      <c r="I736" s="10" t="s">
        <v>4</v>
      </c>
      <c r="J736" s="36"/>
      <c r="K736" s="13"/>
      <c r="L736" s="16">
        <f>SUM(L732:L735)</f>
        <v>4320</v>
      </c>
      <c r="O736" s="10" t="s">
        <v>4</v>
      </c>
      <c r="P736" s="36"/>
      <c r="Q736" s="13"/>
      <c r="R736" s="16">
        <f>SUM(R732:R735)</f>
        <v>5040</v>
      </c>
    </row>
    <row r="737" spans="2:18">
      <c r="B737" s="1"/>
      <c r="C737" s="32"/>
      <c r="D737" s="7"/>
      <c r="E737" s="7"/>
      <c r="I737" s="1"/>
      <c r="J737" s="32"/>
      <c r="K737" s="7"/>
      <c r="L737" s="7"/>
      <c r="O737" s="1"/>
      <c r="P737" s="32"/>
      <c r="Q737" s="7"/>
      <c r="R737" s="7"/>
    </row>
    <row r="738" spans="2:18">
      <c r="B738" s="1"/>
      <c r="C738" s="32"/>
      <c r="D738" s="7"/>
      <c r="E738" s="7"/>
      <c r="I738" s="1"/>
      <c r="J738" s="32"/>
      <c r="K738" s="7"/>
      <c r="L738" s="7"/>
      <c r="O738" s="1"/>
      <c r="P738" s="32"/>
      <c r="Q738" s="7"/>
      <c r="R738" s="7"/>
    </row>
    <row r="739" spans="2:18">
      <c r="B739" s="280" t="s">
        <v>9</v>
      </c>
      <c r="C739" s="281"/>
      <c r="D739" s="282"/>
      <c r="E739" s="283">
        <f>SUM(E728,E736,E729)</f>
        <v>2700</v>
      </c>
      <c r="I739" s="280" t="s">
        <v>9</v>
      </c>
      <c r="J739" s="281"/>
      <c r="K739" s="282"/>
      <c r="L739" s="283">
        <f>SUM(L728,L736,L729)</f>
        <v>5464</v>
      </c>
      <c r="O739" s="280" t="s">
        <v>9</v>
      </c>
      <c r="P739" s="281"/>
      <c r="Q739" s="282"/>
      <c r="R739" s="283">
        <f>SUM(R728,R736,R729)</f>
        <v>6280</v>
      </c>
    </row>
    <row r="740" spans="2:18">
      <c r="B740" s="1"/>
      <c r="C740" s="32"/>
      <c r="D740" s="7"/>
      <c r="E740" s="7"/>
      <c r="I740" s="1"/>
      <c r="J740" s="32"/>
      <c r="K740" s="7"/>
      <c r="L740" s="7"/>
      <c r="O740" s="1"/>
      <c r="P740" s="32"/>
      <c r="Q740" s="7"/>
      <c r="R740" s="7"/>
    </row>
    <row r="741" spans="2:18">
      <c r="B741" s="5" t="s">
        <v>8</v>
      </c>
      <c r="C741" s="30" t="s">
        <v>7</v>
      </c>
      <c r="D741" s="14"/>
      <c r="E741" s="12"/>
      <c r="I741" s="5" t="s">
        <v>8</v>
      </c>
      <c r="J741" s="30" t="s">
        <v>7</v>
      </c>
      <c r="K741" s="14"/>
      <c r="L741" s="12"/>
      <c r="O741" s="5" t="s">
        <v>8</v>
      </c>
      <c r="P741" s="30" t="s">
        <v>7</v>
      </c>
      <c r="Q741" s="14"/>
      <c r="R741" s="12"/>
    </row>
    <row r="742" spans="2:18">
      <c r="B742" s="6" t="s">
        <v>15</v>
      </c>
      <c r="C742" s="241">
        <v>9.0999999999999998E-2</v>
      </c>
      <c r="D742" s="209"/>
      <c r="E742" s="9">
        <f>ROUNDUP((SUM(E728:E729)*C742),0)</f>
        <v>0</v>
      </c>
      <c r="I742" s="6" t="s">
        <v>15</v>
      </c>
      <c r="J742" s="241">
        <v>9.0999999999999998E-2</v>
      </c>
      <c r="K742" s="209"/>
      <c r="L742" s="9">
        <f>ROUNDUP((SUM(L728:L729)*J742),0)</f>
        <v>105</v>
      </c>
      <c r="O742" s="6" t="s">
        <v>15</v>
      </c>
      <c r="P742" s="241">
        <v>9.0999999999999998E-2</v>
      </c>
      <c r="Q742" s="209"/>
      <c r="R742" s="9">
        <f>ROUNDUP((SUM(R728:R729)*P742),0)</f>
        <v>113</v>
      </c>
    </row>
    <row r="743" spans="2:18">
      <c r="B743" s="6" t="s">
        <v>332</v>
      </c>
      <c r="C743" s="241">
        <v>0.08</v>
      </c>
      <c r="D743" s="209"/>
      <c r="E743" s="9">
        <f>ROUNDUP(SUM(E736)*C743,0)</f>
        <v>216</v>
      </c>
      <c r="I743" s="6" t="s">
        <v>332</v>
      </c>
      <c r="J743" s="241">
        <v>0.08</v>
      </c>
      <c r="K743" s="209"/>
      <c r="L743" s="9">
        <f>ROUNDUP(SUM(L736)*J743,0)</f>
        <v>346</v>
      </c>
      <c r="O743" s="6" t="s">
        <v>332</v>
      </c>
      <c r="P743" s="241">
        <v>0.08</v>
      </c>
      <c r="Q743" s="209"/>
      <c r="R743" s="9">
        <f>ROUNDUP(SUM(R736)*P743,0)</f>
        <v>404</v>
      </c>
    </row>
    <row r="744" spans="2:18">
      <c r="B744" s="6" t="s">
        <v>333</v>
      </c>
      <c r="C744" s="122">
        <v>0.35</v>
      </c>
      <c r="D744" s="7"/>
      <c r="E744" s="9">
        <f>ROUNDUP(SUM(E739:E743)*C744,0)</f>
        <v>1021</v>
      </c>
      <c r="I744" s="6" t="s">
        <v>333</v>
      </c>
      <c r="J744" s="378">
        <v>0.35</v>
      </c>
      <c r="K744" s="7"/>
      <c r="L744" s="9">
        <f>ROUNDUP(SUM(L739:L743)*J744,0)</f>
        <v>2071</v>
      </c>
      <c r="O744" s="6" t="s">
        <v>333</v>
      </c>
      <c r="P744" s="378">
        <v>0.35</v>
      </c>
      <c r="Q744" s="7"/>
      <c r="R744" s="9">
        <f>ROUNDUP(SUM(R739:R743)*P744,0)</f>
        <v>2379</v>
      </c>
    </row>
    <row r="745" spans="2:18">
      <c r="B745" s="6" t="s">
        <v>210</v>
      </c>
      <c r="C745" s="122">
        <v>0</v>
      </c>
      <c r="D745" s="7"/>
      <c r="E745" s="9">
        <f>ROUNDUP(SUM(E740:E744)*C745,0)</f>
        <v>0</v>
      </c>
      <c r="I745" s="6" t="s">
        <v>210</v>
      </c>
      <c r="J745" s="122">
        <v>0</v>
      </c>
      <c r="K745" s="7"/>
      <c r="L745" s="9">
        <f>ROUNDUP(SUM(L739:L744)*J745,0)</f>
        <v>0</v>
      </c>
      <c r="O745" s="6" t="s">
        <v>210</v>
      </c>
      <c r="P745" s="122">
        <v>0</v>
      </c>
      <c r="Q745" s="7"/>
      <c r="R745" s="9">
        <f>ROUNDUP(SUM(R739:R744)*P745,0)</f>
        <v>0</v>
      </c>
    </row>
    <row r="746" spans="2:18">
      <c r="B746" s="6" t="s">
        <v>0</v>
      </c>
      <c r="C746" s="241"/>
      <c r="D746" s="7"/>
      <c r="E746" s="9">
        <f>ROUNDUP(SUM(E736,E744:E745)*C746,0)</f>
        <v>0</v>
      </c>
      <c r="I746" s="6" t="s">
        <v>0</v>
      </c>
      <c r="J746" s="241"/>
      <c r="K746" s="7"/>
      <c r="L746" s="9">
        <f>ROUNDUP(SUM(L736,L744:L745)*J746,0)</f>
        <v>0</v>
      </c>
      <c r="O746" s="6" t="s">
        <v>0</v>
      </c>
      <c r="P746" s="241"/>
      <c r="Q746" s="7"/>
      <c r="R746" s="9">
        <f>ROUNDUP(SUM(R736,R744:R745)*P746,0)</f>
        <v>0</v>
      </c>
    </row>
    <row r="747" spans="2:18">
      <c r="B747" s="6" t="s">
        <v>261</v>
      </c>
      <c r="C747" s="241">
        <v>0.01</v>
      </c>
      <c r="D747" s="7"/>
      <c r="E747" s="9">
        <v>9</v>
      </c>
      <c r="I747" s="6" t="s">
        <v>261</v>
      </c>
      <c r="J747" s="241">
        <v>0.01</v>
      </c>
      <c r="K747" s="7"/>
      <c r="L747" s="9">
        <f>ROUNDUP(J747*SUM(L739:L746),0)</f>
        <v>80</v>
      </c>
      <c r="O747" s="6" t="s">
        <v>261</v>
      </c>
      <c r="P747" s="241">
        <v>0.01</v>
      </c>
      <c r="Q747" s="7"/>
      <c r="R747" s="9">
        <f>ROUNDUP(P747*SUM(R739:R746),0)</f>
        <v>92</v>
      </c>
    </row>
    <row r="748" spans="2:18">
      <c r="B748" s="45" t="s">
        <v>20</v>
      </c>
      <c r="C748" s="46"/>
      <c r="D748" s="15"/>
      <c r="E748" s="210">
        <f>ROUNDUP(SUM(E739:E747)*C748,0)</f>
        <v>0</v>
      </c>
      <c r="I748" s="45" t="s">
        <v>20</v>
      </c>
      <c r="J748" s="46"/>
      <c r="K748" s="15"/>
      <c r="L748" s="210">
        <f>ROUNDUP(SUM(L739:L747)*J748,0)</f>
        <v>0</v>
      </c>
      <c r="O748" s="45" t="s">
        <v>20</v>
      </c>
      <c r="P748" s="46"/>
      <c r="Q748" s="15"/>
      <c r="R748" s="210">
        <f>ROUNDUP(SUM(R739:R747)*P748,0)</f>
        <v>0</v>
      </c>
    </row>
    <row r="749" spans="2:18">
      <c r="B749" s="1"/>
      <c r="C749" s="8"/>
      <c r="D749" s="7"/>
      <c r="E749" s="7"/>
      <c r="I749" s="1"/>
      <c r="J749" s="8"/>
      <c r="K749" s="7"/>
      <c r="L749" s="7"/>
      <c r="O749" s="1"/>
      <c r="P749" s="8"/>
      <c r="Q749" s="7"/>
      <c r="R749" s="7"/>
    </row>
    <row r="750" spans="2:18" ht="16.2" thickBot="1">
      <c r="B750" s="1"/>
      <c r="C750" s="1"/>
      <c r="D750" s="7"/>
      <c r="E750" s="7"/>
      <c r="F750" s="51"/>
      <c r="I750" s="1"/>
      <c r="J750" s="1"/>
      <c r="K750" s="7"/>
      <c r="L750" s="7"/>
      <c r="O750" s="1"/>
      <c r="P750" s="1"/>
      <c r="Q750" s="7"/>
      <c r="R750" s="7"/>
    </row>
    <row r="751" spans="2:18" ht="16.2" thickBot="1">
      <c r="B751" s="289" t="s">
        <v>6</v>
      </c>
      <c r="C751" s="290"/>
      <c r="D751" s="291"/>
      <c r="E751" s="292">
        <f>SUM(E739:E748)</f>
        <v>3946</v>
      </c>
      <c r="F751" s="371"/>
      <c r="I751" s="289" t="s">
        <v>6</v>
      </c>
      <c r="J751" s="290"/>
      <c r="K751" s="291"/>
      <c r="L751" s="292">
        <f>SUM(L739:L748)</f>
        <v>8066</v>
      </c>
      <c r="O751" s="289" t="s">
        <v>6</v>
      </c>
      <c r="P751" s="290"/>
      <c r="Q751" s="291"/>
      <c r="R751" s="292">
        <f>SUM(R739:R748)</f>
        <v>9268</v>
      </c>
    </row>
    <row r="754" spans="2:18">
      <c r="B754" s="1897" t="s">
        <v>349</v>
      </c>
      <c r="C754" s="1898"/>
      <c r="D754" s="1898"/>
      <c r="E754" s="1899"/>
      <c r="I754" s="1897" t="s">
        <v>350</v>
      </c>
      <c r="J754" s="1898"/>
      <c r="K754" s="1898"/>
      <c r="L754" s="1899"/>
      <c r="O754" s="1897" t="s">
        <v>351</v>
      </c>
      <c r="P754" s="1898"/>
      <c r="Q754" s="1898"/>
      <c r="R754" s="1899"/>
    </row>
    <row r="755" spans="2:18">
      <c r="B755" s="5" t="s">
        <v>327</v>
      </c>
      <c r="C755" s="30" t="s">
        <v>11</v>
      </c>
      <c r="D755" s="30" t="s">
        <v>1</v>
      </c>
      <c r="E755" s="31" t="s">
        <v>2</v>
      </c>
      <c r="I755" s="5" t="s">
        <v>327</v>
      </c>
      <c r="J755" s="30" t="s">
        <v>11</v>
      </c>
      <c r="K755" s="30" t="s">
        <v>1</v>
      </c>
      <c r="L755" s="31" t="s">
        <v>2</v>
      </c>
      <c r="O755" s="5" t="s">
        <v>327</v>
      </c>
      <c r="P755" s="30" t="s">
        <v>11</v>
      </c>
      <c r="Q755" s="30" t="s">
        <v>1</v>
      </c>
      <c r="R755" s="31" t="s">
        <v>2</v>
      </c>
    </row>
    <row r="756" spans="2:18">
      <c r="B756" s="32" t="s">
        <v>352</v>
      </c>
      <c r="C756" s="32">
        <v>1</v>
      </c>
      <c r="D756" s="33">
        <v>200</v>
      </c>
      <c r="E756" s="34">
        <f t="shared" ref="E756:E759" si="132">C756*D756</f>
        <v>200</v>
      </c>
      <c r="I756" s="44" t="s">
        <v>342</v>
      </c>
      <c r="J756" s="32">
        <v>240</v>
      </c>
      <c r="K756" s="33">
        <v>0.6</v>
      </c>
      <c r="L756" s="34">
        <f t="shared" ref="L756:L759" si="133">J756*K756</f>
        <v>144</v>
      </c>
      <c r="O756" s="44" t="s">
        <v>342</v>
      </c>
      <c r="P756" s="32">
        <v>400</v>
      </c>
      <c r="Q756" s="33">
        <v>0.6</v>
      </c>
      <c r="R756" s="34">
        <f t="shared" ref="R756:R759" si="134">P756*Q756</f>
        <v>240</v>
      </c>
    </row>
    <row r="757" spans="2:18">
      <c r="B757" s="32"/>
      <c r="C757" s="32"/>
      <c r="D757" s="33"/>
      <c r="E757" s="34">
        <f t="shared" si="132"/>
        <v>0</v>
      </c>
      <c r="I757" s="44" t="s">
        <v>352</v>
      </c>
      <c r="J757" s="32">
        <v>1</v>
      </c>
      <c r="K757" s="33">
        <v>200</v>
      </c>
      <c r="L757" s="34">
        <f t="shared" si="133"/>
        <v>200</v>
      </c>
      <c r="O757" s="44" t="s">
        <v>352</v>
      </c>
      <c r="P757" s="32">
        <v>1</v>
      </c>
      <c r="Q757" s="33">
        <v>200</v>
      </c>
      <c r="R757" s="34">
        <f t="shared" si="134"/>
        <v>200</v>
      </c>
    </row>
    <row r="758" spans="2:18">
      <c r="B758" s="32"/>
      <c r="C758" s="32"/>
      <c r="D758" s="33"/>
      <c r="E758" s="34">
        <f t="shared" si="132"/>
        <v>0</v>
      </c>
      <c r="I758" s="44"/>
      <c r="J758" s="32"/>
      <c r="K758" s="33"/>
      <c r="L758" s="34">
        <f t="shared" si="133"/>
        <v>0</v>
      </c>
      <c r="O758" s="44"/>
      <c r="P758" s="32"/>
      <c r="Q758" s="33"/>
      <c r="R758" s="34">
        <f t="shared" si="134"/>
        <v>0</v>
      </c>
    </row>
    <row r="759" spans="2:18">
      <c r="B759" s="322"/>
      <c r="C759" s="323"/>
      <c r="D759" s="26"/>
      <c r="E759" s="27">
        <f t="shared" si="132"/>
        <v>0</v>
      </c>
      <c r="I759" s="322"/>
      <c r="J759" s="323"/>
      <c r="K759" s="26"/>
      <c r="L759" s="27">
        <f t="shared" si="133"/>
        <v>0</v>
      </c>
      <c r="O759" s="322"/>
      <c r="P759" s="323"/>
      <c r="Q759" s="26"/>
      <c r="R759" s="27">
        <f t="shared" si="134"/>
        <v>0</v>
      </c>
    </row>
    <row r="760" spans="2:18">
      <c r="B760" s="17" t="s">
        <v>10</v>
      </c>
      <c r="C760" s="35"/>
      <c r="D760" s="18"/>
      <c r="E760" s="19">
        <f>ROUNDUP(SUM(E756:E759),0)</f>
        <v>200</v>
      </c>
      <c r="I760" s="17" t="s">
        <v>10</v>
      </c>
      <c r="J760" s="35"/>
      <c r="K760" s="18"/>
      <c r="L760" s="19">
        <f>ROUNDUP(SUM(L756:L759),0)</f>
        <v>344</v>
      </c>
      <c r="O760" s="17" t="s">
        <v>10</v>
      </c>
      <c r="P760" s="35"/>
      <c r="Q760" s="18"/>
      <c r="R760" s="19">
        <f>ROUNDUP(SUM(R756:R759),0)</f>
        <v>440</v>
      </c>
    </row>
    <row r="761" spans="2:18">
      <c r="B761" s="20" t="s">
        <v>328</v>
      </c>
      <c r="C761" s="270">
        <v>0</v>
      </c>
      <c r="D761" s="21"/>
      <c r="E761" s="22">
        <f>ROUNDUP(E760*C761,0)</f>
        <v>0</v>
      </c>
      <c r="I761" s="20" t="s">
        <v>328</v>
      </c>
      <c r="J761" s="270">
        <v>0</v>
      </c>
      <c r="K761" s="21"/>
      <c r="L761" s="22">
        <f>ROUNDUP(L760*J761,0)</f>
        <v>0</v>
      </c>
      <c r="O761" s="20" t="s">
        <v>328</v>
      </c>
      <c r="P761" s="270">
        <v>0</v>
      </c>
      <c r="Q761" s="21"/>
      <c r="R761" s="22">
        <f>ROUNDUP(R760*P761,0)</f>
        <v>0</v>
      </c>
    </row>
    <row r="762" spans="2:18">
      <c r="B762" s="10" t="s">
        <v>3</v>
      </c>
      <c r="C762" s="36"/>
      <c r="D762" s="13"/>
      <c r="E762" s="16">
        <f>SUM(E760:E761)</f>
        <v>200</v>
      </c>
      <c r="I762" s="10" t="s">
        <v>3</v>
      </c>
      <c r="J762" s="36"/>
      <c r="K762" s="13"/>
      <c r="L762" s="16">
        <f>SUM(L760:L761)</f>
        <v>344</v>
      </c>
      <c r="O762" s="10" t="s">
        <v>3</v>
      </c>
      <c r="P762" s="36"/>
      <c r="Q762" s="13"/>
      <c r="R762" s="16">
        <f>SUM(R760:R761)</f>
        <v>440</v>
      </c>
    </row>
    <row r="763" spans="2:18">
      <c r="B763" s="39" t="s">
        <v>16</v>
      </c>
      <c r="C763" s="40">
        <v>0.1</v>
      </c>
      <c r="D763" s="41"/>
      <c r="E763" s="42">
        <f>ROUNDUP(E760*C763,0)</f>
        <v>20</v>
      </c>
      <c r="I763" s="39" t="s">
        <v>16</v>
      </c>
      <c r="J763" s="40">
        <v>0</v>
      </c>
      <c r="K763" s="41"/>
      <c r="L763" s="42">
        <f>ROUNDUP(L760*J763,0)</f>
        <v>0</v>
      </c>
      <c r="O763" s="39" t="s">
        <v>16</v>
      </c>
      <c r="P763" s="40">
        <v>0</v>
      </c>
      <c r="Q763" s="41"/>
      <c r="R763" s="42">
        <f>ROUNDUP(R760*P763,0)</f>
        <v>0</v>
      </c>
    </row>
    <row r="764" spans="2:18">
      <c r="B764" s="1"/>
      <c r="C764" s="32"/>
      <c r="D764" s="7"/>
      <c r="E764" s="7"/>
      <c r="I764" s="1"/>
      <c r="J764" s="32"/>
      <c r="K764" s="7"/>
      <c r="L764" s="7"/>
      <c r="O764" s="1"/>
      <c r="P764" s="32"/>
      <c r="Q764" s="7"/>
      <c r="R764" s="7"/>
    </row>
    <row r="765" spans="2:18">
      <c r="B765" s="5" t="s">
        <v>329</v>
      </c>
      <c r="C765" s="30" t="s">
        <v>11</v>
      </c>
      <c r="D765" s="11" t="s">
        <v>1</v>
      </c>
      <c r="E765" s="344" t="s">
        <v>2</v>
      </c>
      <c r="I765" s="5" t="s">
        <v>329</v>
      </c>
      <c r="J765" s="30" t="s">
        <v>11</v>
      </c>
      <c r="K765" s="11" t="s">
        <v>1</v>
      </c>
      <c r="L765" s="344" t="s">
        <v>2</v>
      </c>
      <c r="O765" s="5" t="s">
        <v>329</v>
      </c>
      <c r="P765" s="30" t="s">
        <v>11</v>
      </c>
      <c r="Q765" s="11" t="s">
        <v>1</v>
      </c>
      <c r="R765" s="344" t="s">
        <v>2</v>
      </c>
    </row>
    <row r="766" spans="2:18">
      <c r="B766" s="6" t="s">
        <v>344</v>
      </c>
      <c r="C766" s="37">
        <f>1.5*6</f>
        <v>9</v>
      </c>
      <c r="D766" s="7">
        <v>25</v>
      </c>
      <c r="E766" s="9">
        <f>ROUNDUP(C766*D766,0)</f>
        <v>225</v>
      </c>
      <c r="I766" s="6" t="s">
        <v>345</v>
      </c>
      <c r="J766" s="37">
        <f>1.5*10</f>
        <v>15</v>
      </c>
      <c r="K766" s="7">
        <v>30</v>
      </c>
      <c r="L766" s="9">
        <f>ROUNDUP(J766*K766,0)</f>
        <v>450</v>
      </c>
      <c r="O766" s="6" t="s">
        <v>346</v>
      </c>
      <c r="P766" s="37">
        <f>1.5*20</f>
        <v>30</v>
      </c>
      <c r="Q766" s="7">
        <v>30</v>
      </c>
      <c r="R766" s="9">
        <f>ROUNDUP(P766*Q766,0)</f>
        <v>900</v>
      </c>
    </row>
    <row r="767" spans="2:18">
      <c r="B767" s="379"/>
      <c r="C767" s="380"/>
      <c r="D767" s="7"/>
      <c r="E767" s="9">
        <f t="shared" ref="E767:E768" si="135">ROUNDUP(C767*D767,0)</f>
        <v>0</v>
      </c>
      <c r="I767" s="379"/>
      <c r="J767" s="380"/>
      <c r="K767" s="7"/>
      <c r="L767" s="9">
        <f t="shared" ref="L767:L768" si="136">ROUNDUP(J767*K767,0)</f>
        <v>0</v>
      </c>
      <c r="O767" s="379"/>
      <c r="P767" s="380"/>
      <c r="Q767" s="7"/>
      <c r="R767" s="9">
        <f t="shared" ref="R767:R768" si="137">ROUNDUP(P767*Q767,0)</f>
        <v>0</v>
      </c>
    </row>
    <row r="768" spans="2:18">
      <c r="B768" s="6"/>
      <c r="C768" s="37"/>
      <c r="D768" s="7"/>
      <c r="E768" s="9">
        <f t="shared" si="135"/>
        <v>0</v>
      </c>
      <c r="I768" s="6"/>
      <c r="J768" s="37"/>
      <c r="K768" s="7"/>
      <c r="L768" s="9">
        <f t="shared" si="136"/>
        <v>0</v>
      </c>
      <c r="O768" s="6"/>
      <c r="P768" s="37"/>
      <c r="Q768" s="7"/>
      <c r="R768" s="9">
        <f t="shared" si="137"/>
        <v>0</v>
      </c>
    </row>
    <row r="769" spans="2:18">
      <c r="B769" s="10" t="s">
        <v>4</v>
      </c>
      <c r="C769" s="36"/>
      <c r="D769" s="13"/>
      <c r="E769" s="16">
        <f>SUM(E766:E768)</f>
        <v>225</v>
      </c>
      <c r="I769" s="10" t="s">
        <v>4</v>
      </c>
      <c r="J769" s="36"/>
      <c r="K769" s="13"/>
      <c r="L769" s="16">
        <f>SUM(L766:L768)</f>
        <v>450</v>
      </c>
      <c r="O769" s="10" t="s">
        <v>4</v>
      </c>
      <c r="P769" s="36"/>
      <c r="Q769" s="13"/>
      <c r="R769" s="16">
        <f>SUM(R766:R768)</f>
        <v>900</v>
      </c>
    </row>
    <row r="770" spans="2:18">
      <c r="B770" s="1"/>
      <c r="C770" s="32"/>
      <c r="D770" s="7"/>
      <c r="E770" s="7"/>
      <c r="I770" s="1"/>
      <c r="J770" s="32"/>
      <c r="K770" s="7"/>
      <c r="L770" s="7"/>
      <c r="O770" s="1"/>
      <c r="P770" s="32"/>
      <c r="Q770" s="7"/>
      <c r="R770" s="7"/>
    </row>
    <row r="771" spans="2:18">
      <c r="B771" s="1"/>
      <c r="C771" s="32"/>
      <c r="D771" s="7"/>
      <c r="E771" s="7"/>
      <c r="I771" s="1"/>
      <c r="J771" s="32"/>
      <c r="K771" s="7"/>
      <c r="L771" s="7"/>
      <c r="O771" s="1"/>
      <c r="P771" s="32"/>
      <c r="Q771" s="7"/>
      <c r="R771" s="7"/>
    </row>
    <row r="772" spans="2:18">
      <c r="B772" s="280" t="s">
        <v>9</v>
      </c>
      <c r="C772" s="281"/>
      <c r="D772" s="282"/>
      <c r="E772" s="283">
        <f>SUM(E762,E769,E763)</f>
        <v>445</v>
      </c>
      <c r="I772" s="280" t="s">
        <v>9</v>
      </c>
      <c r="J772" s="281"/>
      <c r="K772" s="282"/>
      <c r="L772" s="283">
        <f>SUM(L762,L769,L763)</f>
        <v>794</v>
      </c>
      <c r="O772" s="280" t="s">
        <v>9</v>
      </c>
      <c r="P772" s="281"/>
      <c r="Q772" s="282"/>
      <c r="R772" s="283">
        <f>SUM(R762,R769,R763)</f>
        <v>1340</v>
      </c>
    </row>
    <row r="773" spans="2:18">
      <c r="B773" s="1"/>
      <c r="C773" s="32"/>
      <c r="D773" s="7"/>
      <c r="E773" s="7"/>
      <c r="I773" s="1"/>
      <c r="J773" s="32"/>
      <c r="K773" s="7"/>
      <c r="L773" s="7"/>
      <c r="O773" s="1"/>
      <c r="P773" s="32"/>
      <c r="Q773" s="7"/>
      <c r="R773" s="7"/>
    </row>
    <row r="774" spans="2:18">
      <c r="B774" s="5" t="s">
        <v>8</v>
      </c>
      <c r="C774" s="30" t="s">
        <v>7</v>
      </c>
      <c r="D774" s="14"/>
      <c r="E774" s="12"/>
      <c r="I774" s="5" t="s">
        <v>8</v>
      </c>
      <c r="J774" s="30" t="s">
        <v>7</v>
      </c>
      <c r="K774" s="14"/>
      <c r="L774" s="12"/>
      <c r="O774" s="5" t="s">
        <v>8</v>
      </c>
      <c r="P774" s="30" t="s">
        <v>7</v>
      </c>
      <c r="Q774" s="14"/>
      <c r="R774" s="12"/>
    </row>
    <row r="775" spans="2:18">
      <c r="B775" s="6" t="s">
        <v>15</v>
      </c>
      <c r="C775" s="241">
        <v>9.0999999999999998E-2</v>
      </c>
      <c r="D775" s="209"/>
      <c r="E775" s="9">
        <f>ROUNDUP((SUM(E762:E763)*C775),0)</f>
        <v>21</v>
      </c>
      <c r="I775" s="6" t="s">
        <v>15</v>
      </c>
      <c r="J775" s="241">
        <v>9.0999999999999998E-2</v>
      </c>
      <c r="K775" s="209"/>
      <c r="L775" s="9">
        <f>ROUNDUP((SUM(L762:L763)*J775),0)</f>
        <v>32</v>
      </c>
      <c r="O775" s="6" t="s">
        <v>15</v>
      </c>
      <c r="P775" s="241">
        <v>9.0999999999999998E-2</v>
      </c>
      <c r="Q775" s="209"/>
      <c r="R775" s="9">
        <f>ROUNDUP((SUM(R762:R763)*P775),0)</f>
        <v>41</v>
      </c>
    </row>
    <row r="776" spans="2:18">
      <c r="B776" s="349" t="s">
        <v>332</v>
      </c>
      <c r="C776" s="365">
        <v>0.08</v>
      </c>
      <c r="D776" s="209"/>
      <c r="E776" s="9">
        <f>ROUNDUP(SUM(E769)*C776,0)</f>
        <v>18</v>
      </c>
      <c r="I776" s="349" t="s">
        <v>332</v>
      </c>
      <c r="J776" s="365">
        <v>0.08</v>
      </c>
      <c r="K776" s="209"/>
      <c r="L776" s="9">
        <f>ROUNDUP(SUM(L769)*J776,0)</f>
        <v>36</v>
      </c>
      <c r="O776" s="349" t="s">
        <v>332</v>
      </c>
      <c r="P776" s="365">
        <v>0.08</v>
      </c>
      <c r="Q776" s="209"/>
      <c r="R776" s="9">
        <f>ROUNDUP(SUM(R769)*P776,0)</f>
        <v>72</v>
      </c>
    </row>
    <row r="777" spans="2:18">
      <c r="B777" s="6" t="s">
        <v>333</v>
      </c>
      <c r="C777" s="122">
        <v>1</v>
      </c>
      <c r="D777" s="7"/>
      <c r="E777" s="9">
        <f>ROUNDUP(SUM(E772:E776)*C777,0)</f>
        <v>484</v>
      </c>
      <c r="I777" s="6" t="s">
        <v>333</v>
      </c>
      <c r="J777" s="122">
        <v>1</v>
      </c>
      <c r="K777" s="7"/>
      <c r="L777" s="9">
        <f>ROUNDUP(SUM(L772:L776)*J777,0)</f>
        <v>862</v>
      </c>
      <c r="O777" s="6" t="s">
        <v>333</v>
      </c>
      <c r="P777" s="122">
        <v>1</v>
      </c>
      <c r="Q777" s="7"/>
      <c r="R777" s="9">
        <f>ROUNDUP(SUM(R772:R776)*P777,0)</f>
        <v>1453</v>
      </c>
    </row>
    <row r="778" spans="2:18">
      <c r="B778" s="6" t="s">
        <v>210</v>
      </c>
      <c r="C778" s="122">
        <v>0</v>
      </c>
      <c r="D778" s="7"/>
      <c r="E778" s="9">
        <v>0</v>
      </c>
      <c r="I778" s="6" t="s">
        <v>210</v>
      </c>
      <c r="J778" s="122">
        <v>0</v>
      </c>
      <c r="K778" s="7"/>
      <c r="L778" s="9">
        <f>ROUNDUP(SUM(L772:L777)*J778,0)</f>
        <v>0</v>
      </c>
      <c r="O778" s="6" t="s">
        <v>210</v>
      </c>
      <c r="P778" s="122">
        <v>0</v>
      </c>
      <c r="Q778" s="7"/>
      <c r="R778" s="9">
        <f>ROUNDUP(SUM(R772:R777)*P778,0)</f>
        <v>0</v>
      </c>
    </row>
    <row r="779" spans="2:18">
      <c r="B779" s="6" t="s">
        <v>0</v>
      </c>
      <c r="C779" s="241"/>
      <c r="D779" s="7"/>
      <c r="E779" s="9">
        <f>ROUNDUP(SUM(E769,E777:E778)*C779,0)</f>
        <v>0</v>
      </c>
      <c r="I779" s="6" t="s">
        <v>0</v>
      </c>
      <c r="J779" s="241"/>
      <c r="K779" s="7"/>
      <c r="L779" s="9">
        <f>ROUNDUP(SUM(L769,L777:L778)*J779,0)</f>
        <v>0</v>
      </c>
      <c r="O779" s="6" t="s">
        <v>0</v>
      </c>
      <c r="P779" s="241"/>
      <c r="Q779" s="7"/>
      <c r="R779" s="9">
        <f>ROUNDUP(SUM(R769,R777:R778)*P779,0)</f>
        <v>0</v>
      </c>
    </row>
    <row r="780" spans="2:18">
      <c r="B780" s="6" t="s">
        <v>261</v>
      </c>
      <c r="C780" s="241">
        <v>0.01</v>
      </c>
      <c r="D780" s="7"/>
      <c r="E780" s="9">
        <v>9</v>
      </c>
      <c r="I780" s="6" t="s">
        <v>261</v>
      </c>
      <c r="J780" s="241">
        <v>0.01</v>
      </c>
      <c r="K780" s="7"/>
      <c r="L780" s="9">
        <f>ROUNDUP(J780*SUM(L772:L779),0)</f>
        <v>18</v>
      </c>
      <c r="O780" s="6" t="s">
        <v>261</v>
      </c>
      <c r="P780" s="241">
        <v>0.01</v>
      </c>
      <c r="Q780" s="7"/>
      <c r="R780" s="9">
        <f>ROUNDUP(P780*SUM(R772:R779),0)</f>
        <v>30</v>
      </c>
    </row>
    <row r="781" spans="2:18">
      <c r="B781" s="45" t="s">
        <v>20</v>
      </c>
      <c r="C781" s="46"/>
      <c r="D781" s="15"/>
      <c r="E781" s="210">
        <f>ROUNDUP(SUM(E772:E780)*C781,0)</f>
        <v>0</v>
      </c>
      <c r="I781" s="45" t="s">
        <v>20</v>
      </c>
      <c r="J781" s="46"/>
      <c r="K781" s="15"/>
      <c r="L781" s="210">
        <f>ROUNDUP(SUM(L772:L780)*J781,0)</f>
        <v>0</v>
      </c>
      <c r="O781" s="45" t="s">
        <v>20</v>
      </c>
      <c r="P781" s="46"/>
      <c r="Q781" s="15"/>
      <c r="R781" s="210">
        <f>ROUNDUP(SUM(R772:R780)*P781,0)</f>
        <v>0</v>
      </c>
    </row>
    <row r="782" spans="2:18">
      <c r="B782" s="1"/>
      <c r="C782" s="8"/>
      <c r="D782" s="7"/>
      <c r="E782" s="7"/>
      <c r="I782" s="1"/>
      <c r="J782" s="8"/>
      <c r="K782" s="7"/>
      <c r="L782" s="7"/>
      <c r="O782" s="1"/>
      <c r="P782" s="8"/>
      <c r="Q782" s="7"/>
      <c r="R782" s="7"/>
    </row>
    <row r="783" spans="2:18" ht="16.2" thickBot="1">
      <c r="B783" s="1"/>
      <c r="C783" s="1"/>
      <c r="D783" s="7"/>
      <c r="E783" s="7"/>
      <c r="F783" s="51"/>
      <c r="I783" s="1"/>
      <c r="J783" s="1"/>
      <c r="K783" s="7"/>
      <c r="L783" s="7"/>
      <c r="O783" s="1"/>
      <c r="P783" s="1"/>
      <c r="Q783" s="7"/>
      <c r="R783" s="7"/>
    </row>
    <row r="784" spans="2:18" ht="16.2" thickBot="1">
      <c r="B784" s="289" t="s">
        <v>6</v>
      </c>
      <c r="C784" s="290"/>
      <c r="D784" s="291"/>
      <c r="E784" s="292">
        <f>SUM(E772:E781)</f>
        <v>977</v>
      </c>
      <c r="F784" s="371"/>
      <c r="I784" s="289" t="s">
        <v>6</v>
      </c>
      <c r="J784" s="290"/>
      <c r="K784" s="291"/>
      <c r="L784" s="292">
        <f>SUM(L772:L781)</f>
        <v>1742</v>
      </c>
      <c r="O784" s="289" t="s">
        <v>6</v>
      </c>
      <c r="P784" s="290"/>
      <c r="Q784" s="291"/>
      <c r="R784" s="292">
        <f>SUM(R772:R781)</f>
        <v>2936</v>
      </c>
    </row>
    <row r="787" spans="2:30">
      <c r="B787" s="1897" t="s">
        <v>353</v>
      </c>
      <c r="C787" s="1898"/>
      <c r="D787" s="1898"/>
      <c r="E787" s="1899"/>
      <c r="I787" s="1897" t="s">
        <v>354</v>
      </c>
      <c r="J787" s="1898"/>
      <c r="K787" s="1898"/>
      <c r="L787" s="1899"/>
      <c r="O787" s="1897" t="s">
        <v>355</v>
      </c>
      <c r="P787" s="1898"/>
      <c r="Q787" s="1898"/>
      <c r="R787" s="1899"/>
      <c r="U787" s="1897" t="s">
        <v>356</v>
      </c>
      <c r="V787" s="1898"/>
      <c r="W787" s="1898"/>
      <c r="X787" s="1899"/>
      <c r="AA787" s="1897" t="s">
        <v>357</v>
      </c>
      <c r="AB787" s="1898"/>
      <c r="AC787" s="1898"/>
      <c r="AD787" s="1899"/>
    </row>
    <row r="788" spans="2:30">
      <c r="B788" s="5" t="s">
        <v>327</v>
      </c>
      <c r="C788" s="30" t="s">
        <v>11</v>
      </c>
      <c r="D788" s="30" t="s">
        <v>1</v>
      </c>
      <c r="E788" s="31" t="s">
        <v>2</v>
      </c>
      <c r="I788" s="5" t="s">
        <v>327</v>
      </c>
      <c r="J788" s="30" t="s">
        <v>11</v>
      </c>
      <c r="K788" s="30" t="s">
        <v>1</v>
      </c>
      <c r="L788" s="31" t="s">
        <v>2</v>
      </c>
      <c r="O788" s="5" t="s">
        <v>327</v>
      </c>
      <c r="P788" s="30" t="s">
        <v>11</v>
      </c>
      <c r="Q788" s="30" t="s">
        <v>1</v>
      </c>
      <c r="R788" s="31" t="s">
        <v>2</v>
      </c>
      <c r="U788" s="5" t="s">
        <v>327</v>
      </c>
      <c r="V788" s="30" t="s">
        <v>11</v>
      </c>
      <c r="W788" s="30" t="s">
        <v>1</v>
      </c>
      <c r="X788" s="31" t="s">
        <v>2</v>
      </c>
      <c r="AA788" s="5" t="s">
        <v>327</v>
      </c>
      <c r="AB788" s="30" t="s">
        <v>11</v>
      </c>
      <c r="AC788" s="30" t="s">
        <v>1</v>
      </c>
      <c r="AD788" s="31" t="s">
        <v>2</v>
      </c>
    </row>
    <row r="789" spans="2:30">
      <c r="B789" s="32" t="s">
        <v>23</v>
      </c>
      <c r="C789" s="32">
        <v>5000</v>
      </c>
      <c r="D789" s="33">
        <v>0.1</v>
      </c>
      <c r="E789" s="34">
        <f t="shared" ref="E789:E792" si="138">C789*D789</f>
        <v>500</v>
      </c>
      <c r="I789" s="44"/>
      <c r="J789" s="32"/>
      <c r="K789" s="33"/>
      <c r="L789" s="34">
        <f t="shared" ref="L789:L792" si="139">J789*K789</f>
        <v>0</v>
      </c>
      <c r="O789" s="44" t="s">
        <v>23</v>
      </c>
      <c r="P789" s="32">
        <v>5000</v>
      </c>
      <c r="Q789" s="33">
        <v>0.1</v>
      </c>
      <c r="R789" s="34">
        <f t="shared" ref="R789:R792" si="140">P789*Q789</f>
        <v>500</v>
      </c>
      <c r="U789" s="32"/>
      <c r="V789" s="32"/>
      <c r="W789" s="33"/>
      <c r="X789" s="34">
        <f t="shared" ref="X789:X792" si="141">V789*W789</f>
        <v>0</v>
      </c>
      <c r="AA789" s="32"/>
      <c r="AB789" s="32"/>
      <c r="AC789" s="33"/>
      <c r="AD789" s="34">
        <f t="shared" ref="AD789:AD792" si="142">AB789*AC789</f>
        <v>0</v>
      </c>
    </row>
    <row r="790" spans="2:30">
      <c r="B790" s="32" t="s">
        <v>24</v>
      </c>
      <c r="C790" s="32">
        <v>5000</v>
      </c>
      <c r="D790" s="33">
        <v>0.2</v>
      </c>
      <c r="E790" s="34">
        <f t="shared" si="138"/>
        <v>1000</v>
      </c>
      <c r="I790" s="44"/>
      <c r="J790" s="32"/>
      <c r="K790" s="33"/>
      <c r="L790" s="34">
        <f t="shared" si="139"/>
        <v>0</v>
      </c>
      <c r="O790" s="44" t="s">
        <v>24</v>
      </c>
      <c r="P790" s="32">
        <v>5000</v>
      </c>
      <c r="Q790" s="33">
        <v>0.2</v>
      </c>
      <c r="R790" s="34">
        <f t="shared" si="140"/>
        <v>1000</v>
      </c>
      <c r="U790" s="32" t="s">
        <v>24</v>
      </c>
      <c r="V790" s="32">
        <v>5000</v>
      </c>
      <c r="W790" s="33">
        <v>0.26</v>
      </c>
      <c r="X790" s="34">
        <f t="shared" si="141"/>
        <v>1300</v>
      </c>
      <c r="AA790" s="32" t="s">
        <v>24</v>
      </c>
      <c r="AB790" s="32">
        <v>5000</v>
      </c>
      <c r="AC790" s="33">
        <v>0.26</v>
      </c>
      <c r="AD790" s="34">
        <f t="shared" si="142"/>
        <v>1300</v>
      </c>
    </row>
    <row r="791" spans="2:30">
      <c r="B791" s="32"/>
      <c r="C791" s="32"/>
      <c r="D791" s="33"/>
      <c r="E791" s="34">
        <f t="shared" si="138"/>
        <v>0</v>
      </c>
      <c r="I791" s="44"/>
      <c r="J791" s="32"/>
      <c r="K791" s="33"/>
      <c r="L791" s="34">
        <f t="shared" si="139"/>
        <v>0</v>
      </c>
      <c r="O791" s="44"/>
      <c r="P791" s="32"/>
      <c r="Q791" s="33"/>
      <c r="R791" s="34">
        <f t="shared" si="140"/>
        <v>0</v>
      </c>
      <c r="U791" s="32"/>
      <c r="V791" s="32"/>
      <c r="W791" s="33"/>
      <c r="X791" s="34">
        <f t="shared" si="141"/>
        <v>0</v>
      </c>
      <c r="AA791" s="32" t="s">
        <v>358</v>
      </c>
      <c r="AB791" s="32">
        <v>5000</v>
      </c>
      <c r="AC791" s="33">
        <v>0.26</v>
      </c>
      <c r="AD791" s="34">
        <f t="shared" si="142"/>
        <v>1300</v>
      </c>
    </row>
    <row r="792" spans="2:30">
      <c r="B792" s="322"/>
      <c r="C792" s="323"/>
      <c r="D792" s="26"/>
      <c r="E792" s="27">
        <f t="shared" si="138"/>
        <v>0</v>
      </c>
      <c r="I792" s="322"/>
      <c r="J792" s="323"/>
      <c r="K792" s="26"/>
      <c r="L792" s="27">
        <f t="shared" si="139"/>
        <v>0</v>
      </c>
      <c r="O792" s="45"/>
      <c r="P792" s="323"/>
      <c r="Q792" s="26"/>
      <c r="R792" s="27">
        <f t="shared" si="140"/>
        <v>0</v>
      </c>
      <c r="U792" s="322"/>
      <c r="V792" s="323"/>
      <c r="W792" s="26"/>
      <c r="X792" s="27">
        <f t="shared" si="141"/>
        <v>0</v>
      </c>
      <c r="AA792" s="322"/>
      <c r="AB792" s="323"/>
      <c r="AC792" s="26"/>
      <c r="AD792" s="27">
        <f t="shared" si="142"/>
        <v>0</v>
      </c>
    </row>
    <row r="793" spans="2:30">
      <c r="B793" s="17" t="s">
        <v>10</v>
      </c>
      <c r="C793" s="35"/>
      <c r="D793" s="18"/>
      <c r="E793" s="19">
        <f>ROUNDUP(SUM(E789:E792),0)</f>
        <v>1500</v>
      </c>
      <c r="I793" s="17" t="s">
        <v>10</v>
      </c>
      <c r="J793" s="35"/>
      <c r="K793" s="18"/>
      <c r="L793" s="19">
        <f>ROUNDUP(SUM(L789:L792),0)</f>
        <v>0</v>
      </c>
      <c r="O793" s="17" t="s">
        <v>10</v>
      </c>
      <c r="P793" s="35"/>
      <c r="Q793" s="18"/>
      <c r="R793" s="19">
        <f>ROUNDUP(SUM(R789:R792),0)</f>
        <v>1500</v>
      </c>
      <c r="U793" s="17" t="s">
        <v>10</v>
      </c>
      <c r="V793" s="35"/>
      <c r="W793" s="18"/>
      <c r="X793" s="19">
        <f>ROUNDUP(SUM(X789:X792),0)</f>
        <v>1300</v>
      </c>
      <c r="AA793" s="17" t="s">
        <v>10</v>
      </c>
      <c r="AB793" s="35"/>
      <c r="AC793" s="18"/>
      <c r="AD793" s="19">
        <f>ROUNDUP(SUM(AD789:AD792),0)</f>
        <v>2600</v>
      </c>
    </row>
    <row r="794" spans="2:30">
      <c r="B794" s="20" t="s">
        <v>328</v>
      </c>
      <c r="C794" s="270">
        <v>0.1</v>
      </c>
      <c r="D794" s="21"/>
      <c r="E794" s="22">
        <f>ROUNDUP(E793*C794,0)</f>
        <v>150</v>
      </c>
      <c r="I794" s="20" t="s">
        <v>328</v>
      </c>
      <c r="J794" s="270">
        <v>0.1</v>
      </c>
      <c r="K794" s="21"/>
      <c r="L794" s="22">
        <f>ROUNDUP(L793*J794,0)</f>
        <v>0</v>
      </c>
      <c r="O794" s="20" t="s">
        <v>328</v>
      </c>
      <c r="P794" s="270">
        <v>0.1</v>
      </c>
      <c r="Q794" s="21"/>
      <c r="R794" s="22">
        <f>ROUNDUP(R793*P794,0)</f>
        <v>150</v>
      </c>
      <c r="U794" s="20" t="s">
        <v>328</v>
      </c>
      <c r="V794" s="270">
        <v>0.1</v>
      </c>
      <c r="W794" s="21"/>
      <c r="X794" s="22">
        <f>ROUNDUP(X793*V794,0)</f>
        <v>130</v>
      </c>
      <c r="AA794" s="20" t="s">
        <v>328</v>
      </c>
      <c r="AB794" s="270">
        <v>0.1</v>
      </c>
      <c r="AC794" s="21"/>
      <c r="AD794" s="22">
        <f>ROUNDUP(AD793*AB794,0)</f>
        <v>260</v>
      </c>
    </row>
    <row r="795" spans="2:30">
      <c r="B795" s="10" t="s">
        <v>3</v>
      </c>
      <c r="C795" s="36"/>
      <c r="D795" s="13"/>
      <c r="E795" s="16">
        <f>SUM(E793:E794)</f>
        <v>1650</v>
      </c>
      <c r="I795" s="10" t="s">
        <v>3</v>
      </c>
      <c r="J795" s="36"/>
      <c r="K795" s="13"/>
      <c r="L795" s="16">
        <f>SUM(L793:L794)</f>
        <v>0</v>
      </c>
      <c r="O795" s="10" t="s">
        <v>3</v>
      </c>
      <c r="P795" s="36"/>
      <c r="Q795" s="13"/>
      <c r="R795" s="16">
        <f>SUM(R793:R794)</f>
        <v>1650</v>
      </c>
      <c r="U795" s="10" t="s">
        <v>3</v>
      </c>
      <c r="V795" s="36"/>
      <c r="W795" s="13"/>
      <c r="X795" s="16">
        <f>SUM(X793:X794)</f>
        <v>1430</v>
      </c>
      <c r="AA795" s="10" t="s">
        <v>3</v>
      </c>
      <c r="AB795" s="36"/>
      <c r="AC795" s="13"/>
      <c r="AD795" s="16">
        <f>SUM(AD793:AD794)</f>
        <v>2860</v>
      </c>
    </row>
    <row r="796" spans="2:30">
      <c r="B796" s="39" t="s">
        <v>16</v>
      </c>
      <c r="C796" s="40">
        <v>0</v>
      </c>
      <c r="D796" s="41"/>
      <c r="E796" s="42">
        <f>ROUNDUP(E793*C796,0)</f>
        <v>0</v>
      </c>
      <c r="I796" s="39" t="s">
        <v>16</v>
      </c>
      <c r="J796" s="40">
        <v>0</v>
      </c>
      <c r="K796" s="41"/>
      <c r="L796" s="42">
        <f>ROUNDUP(L793*J796,0)</f>
        <v>0</v>
      </c>
      <c r="O796" s="39" t="s">
        <v>16</v>
      </c>
      <c r="P796" s="40">
        <v>0</v>
      </c>
      <c r="Q796" s="41"/>
      <c r="R796" s="42">
        <f>ROUNDUP(R793*P796,0)</f>
        <v>0</v>
      </c>
      <c r="U796" s="39" t="s">
        <v>16</v>
      </c>
      <c r="V796" s="40">
        <v>0</v>
      </c>
      <c r="W796" s="41"/>
      <c r="X796" s="42">
        <f>ROUNDUP(X793*V796,0)</f>
        <v>0</v>
      </c>
      <c r="AA796" s="39" t="s">
        <v>16</v>
      </c>
      <c r="AB796" s="40">
        <v>0</v>
      </c>
      <c r="AC796" s="41"/>
      <c r="AD796" s="42">
        <f>ROUNDUP(AD793*AB796,0)</f>
        <v>0</v>
      </c>
    </row>
    <row r="797" spans="2:30">
      <c r="B797" s="1"/>
      <c r="C797" s="32"/>
      <c r="D797" s="7"/>
      <c r="E797" s="7"/>
      <c r="I797" s="1"/>
      <c r="J797" s="32"/>
      <c r="K797" s="7"/>
      <c r="L797" s="7"/>
      <c r="O797" s="1"/>
      <c r="P797" s="32"/>
      <c r="Q797" s="7"/>
      <c r="R797" s="7"/>
      <c r="U797" s="1"/>
      <c r="V797" s="32"/>
      <c r="W797" s="7"/>
      <c r="X797" s="7"/>
      <c r="AA797" s="1"/>
      <c r="AB797" s="32"/>
      <c r="AC797" s="7"/>
      <c r="AD797" s="7"/>
    </row>
    <row r="798" spans="2:30">
      <c r="B798" s="5" t="s">
        <v>329</v>
      </c>
      <c r="C798" s="30" t="s">
        <v>11</v>
      </c>
      <c r="D798" s="11" t="s">
        <v>1</v>
      </c>
      <c r="E798" s="344" t="s">
        <v>2</v>
      </c>
      <c r="I798" s="5" t="s">
        <v>329</v>
      </c>
      <c r="J798" s="30" t="s">
        <v>11</v>
      </c>
      <c r="K798" s="11" t="s">
        <v>1</v>
      </c>
      <c r="L798" s="344" t="s">
        <v>2</v>
      </c>
      <c r="O798" s="5" t="s">
        <v>329</v>
      </c>
      <c r="P798" s="30" t="s">
        <v>11</v>
      </c>
      <c r="Q798" s="11" t="s">
        <v>1</v>
      </c>
      <c r="R798" s="344" t="s">
        <v>2</v>
      </c>
      <c r="U798" s="5" t="s">
        <v>329</v>
      </c>
      <c r="V798" s="30" t="s">
        <v>11</v>
      </c>
      <c r="W798" s="11" t="s">
        <v>1</v>
      </c>
      <c r="X798" s="344" t="s">
        <v>2</v>
      </c>
      <c r="AA798" s="5" t="s">
        <v>329</v>
      </c>
      <c r="AB798" s="30" t="s">
        <v>11</v>
      </c>
      <c r="AC798" s="11" t="s">
        <v>1</v>
      </c>
      <c r="AD798" s="344" t="s">
        <v>2</v>
      </c>
    </row>
    <row r="799" spans="2:30">
      <c r="B799" s="6" t="s">
        <v>359</v>
      </c>
      <c r="C799" s="37">
        <v>5000</v>
      </c>
      <c r="D799" s="7">
        <v>1.55</v>
      </c>
      <c r="E799" s="9">
        <f>ROUNDUP(C799*D799,0)</f>
        <v>7750</v>
      </c>
      <c r="I799" s="6" t="s">
        <v>360</v>
      </c>
      <c r="J799" s="37">
        <v>1000</v>
      </c>
      <c r="K799" s="7">
        <v>1.85</v>
      </c>
      <c r="L799" s="9">
        <f>ROUNDUP(J799*K799,0)</f>
        <v>1850</v>
      </c>
      <c r="O799" s="6" t="s">
        <v>359</v>
      </c>
      <c r="P799" s="37">
        <v>5000</v>
      </c>
      <c r="Q799" s="7">
        <v>1.55</v>
      </c>
      <c r="R799" s="9">
        <f>ROUNDUP(P799*Q799,0)</f>
        <v>7750</v>
      </c>
      <c r="U799" s="6" t="s">
        <v>359</v>
      </c>
      <c r="V799" s="37">
        <v>5000</v>
      </c>
      <c r="W799" s="7">
        <v>0.75</v>
      </c>
      <c r="X799" s="9">
        <f>ROUNDUP(V799*W799,0)</f>
        <v>3750</v>
      </c>
      <c r="AA799" s="6" t="s">
        <v>361</v>
      </c>
      <c r="AB799" s="37">
        <v>5000</v>
      </c>
      <c r="AC799" s="7">
        <v>1</v>
      </c>
      <c r="AD799" s="9">
        <f>ROUNDUP(AB799*AC799,0)</f>
        <v>5000</v>
      </c>
    </row>
    <row r="800" spans="2:30">
      <c r="B800" s="6"/>
      <c r="C800" s="37"/>
      <c r="D800" s="7"/>
      <c r="E800" s="9">
        <f t="shared" ref="E800:E801" si="143">ROUNDUP(C800*D800,0)</f>
        <v>0</v>
      </c>
      <c r="I800" s="6"/>
      <c r="J800" s="37"/>
      <c r="K800" s="7"/>
      <c r="L800" s="9">
        <f t="shared" ref="L800:L801" si="144">ROUNDUP(J800*K800,0)</f>
        <v>0</v>
      </c>
      <c r="O800" s="6" t="s">
        <v>360</v>
      </c>
      <c r="P800" s="37">
        <v>1000</v>
      </c>
      <c r="Q800" s="7">
        <v>1.85</v>
      </c>
      <c r="R800" s="9">
        <f>ROUNDUP(P800*Q800,0)</f>
        <v>1850</v>
      </c>
      <c r="U800" s="6"/>
      <c r="V800" s="37"/>
      <c r="W800" s="7"/>
      <c r="X800" s="9">
        <f t="shared" ref="X800:X801" si="145">ROUNDUP(V800*W800,0)</f>
        <v>0</v>
      </c>
      <c r="AA800" s="6"/>
      <c r="AB800" s="37"/>
      <c r="AC800" s="7"/>
      <c r="AD800" s="9">
        <f t="shared" ref="AD800:AD801" si="146">ROUNDUP(AB800*AC800,0)</f>
        <v>0</v>
      </c>
    </row>
    <row r="801" spans="2:30">
      <c r="B801" s="6"/>
      <c r="C801" s="37"/>
      <c r="D801" s="7"/>
      <c r="E801" s="9">
        <f t="shared" si="143"/>
        <v>0</v>
      </c>
      <c r="I801" s="6"/>
      <c r="J801" s="37"/>
      <c r="K801" s="7"/>
      <c r="L801" s="9">
        <f t="shared" si="144"/>
        <v>0</v>
      </c>
      <c r="O801" s="6"/>
      <c r="P801" s="37"/>
      <c r="Q801" s="7"/>
      <c r="R801" s="9">
        <f t="shared" ref="R801" si="147">ROUNDUP(P801*Q801,0)</f>
        <v>0</v>
      </c>
      <c r="U801" s="6"/>
      <c r="V801" s="37"/>
      <c r="W801" s="7"/>
      <c r="X801" s="9">
        <f t="shared" si="145"/>
        <v>0</v>
      </c>
      <c r="AA801" s="6"/>
      <c r="AB801" s="37"/>
      <c r="AC801" s="7"/>
      <c r="AD801" s="9">
        <f t="shared" si="146"/>
        <v>0</v>
      </c>
    </row>
    <row r="802" spans="2:30">
      <c r="B802" s="10" t="s">
        <v>4</v>
      </c>
      <c r="C802" s="36"/>
      <c r="D802" s="13"/>
      <c r="E802" s="16">
        <f>SUM(E799:E801)</f>
        <v>7750</v>
      </c>
      <c r="I802" s="10" t="s">
        <v>4</v>
      </c>
      <c r="J802" s="36"/>
      <c r="K802" s="13"/>
      <c r="L802" s="16">
        <f>SUM(L799:L801)</f>
        <v>1850</v>
      </c>
      <c r="O802" s="10" t="s">
        <v>4</v>
      </c>
      <c r="P802" s="36"/>
      <c r="Q802" s="13"/>
      <c r="R802" s="16">
        <f>SUM(R799:R801)</f>
        <v>9600</v>
      </c>
      <c r="U802" s="10" t="s">
        <v>4</v>
      </c>
      <c r="V802" s="36"/>
      <c r="W802" s="13"/>
      <c r="X802" s="16">
        <f>SUM(X799:X801)</f>
        <v>3750</v>
      </c>
      <c r="AA802" s="10" t="s">
        <v>4</v>
      </c>
      <c r="AB802" s="36"/>
      <c r="AC802" s="13"/>
      <c r="AD802" s="16">
        <f>SUM(AD799:AD801)</f>
        <v>5000</v>
      </c>
    </row>
    <row r="803" spans="2:30">
      <c r="B803" s="1"/>
      <c r="C803" s="32"/>
      <c r="D803" s="7"/>
      <c r="E803" s="7"/>
      <c r="I803" s="1"/>
      <c r="J803" s="32"/>
      <c r="K803" s="7"/>
      <c r="L803" s="7"/>
      <c r="O803" s="1"/>
      <c r="P803" s="32"/>
      <c r="Q803" s="7"/>
      <c r="R803" s="7"/>
      <c r="U803" s="1"/>
      <c r="V803" s="32"/>
      <c r="W803" s="7"/>
      <c r="X803" s="7"/>
      <c r="AA803" s="1"/>
      <c r="AB803" s="32"/>
      <c r="AC803" s="7"/>
      <c r="AD803" s="7"/>
    </row>
    <row r="804" spans="2:30">
      <c r="B804" s="1"/>
      <c r="C804" s="32"/>
      <c r="D804" s="7"/>
      <c r="E804" s="7"/>
      <c r="I804" s="1"/>
      <c r="J804" s="32"/>
      <c r="K804" s="7"/>
      <c r="L804" s="7"/>
      <c r="O804" s="1"/>
      <c r="P804" s="32"/>
      <c r="Q804" s="7"/>
      <c r="R804" s="7"/>
      <c r="U804" s="1"/>
      <c r="V804" s="32"/>
      <c r="W804" s="7"/>
      <c r="X804" s="7"/>
      <c r="AA804" s="1"/>
      <c r="AB804" s="32"/>
      <c r="AC804" s="7"/>
      <c r="AD804" s="7"/>
    </row>
    <row r="805" spans="2:30">
      <c r="B805" s="280" t="s">
        <v>9</v>
      </c>
      <c r="C805" s="281"/>
      <c r="D805" s="282"/>
      <c r="E805" s="283">
        <f>SUM(E795,E802,E796)</f>
        <v>9400</v>
      </c>
      <c r="I805" s="280" t="s">
        <v>9</v>
      </c>
      <c r="J805" s="281"/>
      <c r="K805" s="282"/>
      <c r="L805" s="283">
        <f>SUM(L795,L802,L796)</f>
        <v>1850</v>
      </c>
      <c r="O805" s="280" t="s">
        <v>9</v>
      </c>
      <c r="P805" s="281"/>
      <c r="Q805" s="282"/>
      <c r="R805" s="283">
        <f>SUM(R795,R802,R796)</f>
        <v>11250</v>
      </c>
      <c r="U805" s="280" t="s">
        <v>9</v>
      </c>
      <c r="V805" s="281"/>
      <c r="W805" s="282"/>
      <c r="X805" s="283">
        <f>SUM(X795,X802,X796)</f>
        <v>5180</v>
      </c>
      <c r="AA805" s="280" t="s">
        <v>9</v>
      </c>
      <c r="AB805" s="281"/>
      <c r="AC805" s="282"/>
      <c r="AD805" s="283">
        <f>SUM(AD795,AD802,AD796)</f>
        <v>7860</v>
      </c>
    </row>
    <row r="806" spans="2:30">
      <c r="B806" s="1"/>
      <c r="C806" s="32"/>
      <c r="D806" s="7"/>
      <c r="E806" s="7"/>
      <c r="I806" s="1"/>
      <c r="J806" s="32"/>
      <c r="K806" s="7"/>
      <c r="L806" s="7"/>
      <c r="O806" s="1"/>
      <c r="P806" s="32"/>
      <c r="Q806" s="7"/>
      <c r="R806" s="7"/>
      <c r="U806" s="1"/>
      <c r="V806" s="32"/>
      <c r="W806" s="7"/>
      <c r="X806" s="7"/>
      <c r="AA806" s="1"/>
      <c r="AB806" s="32"/>
      <c r="AC806" s="7"/>
      <c r="AD806" s="7"/>
    </row>
    <row r="807" spans="2:30">
      <c r="B807" s="5" t="s">
        <v>8</v>
      </c>
      <c r="C807" s="30" t="s">
        <v>7</v>
      </c>
      <c r="D807" s="14"/>
      <c r="E807" s="12"/>
      <c r="I807" s="5" t="s">
        <v>8</v>
      </c>
      <c r="J807" s="30" t="s">
        <v>7</v>
      </c>
      <c r="K807" s="14"/>
      <c r="L807" s="12"/>
      <c r="O807" s="5" t="s">
        <v>8</v>
      </c>
      <c r="P807" s="30" t="s">
        <v>7</v>
      </c>
      <c r="Q807" s="14"/>
      <c r="R807" s="12"/>
      <c r="U807" s="5" t="s">
        <v>8</v>
      </c>
      <c r="V807" s="30" t="s">
        <v>7</v>
      </c>
      <c r="W807" s="14"/>
      <c r="X807" s="12"/>
      <c r="AA807" s="5" t="s">
        <v>8</v>
      </c>
      <c r="AB807" s="30" t="s">
        <v>7</v>
      </c>
      <c r="AC807" s="14"/>
      <c r="AD807" s="12"/>
    </row>
    <row r="808" spans="2:30">
      <c r="B808" s="6" t="s">
        <v>15</v>
      </c>
      <c r="C808" s="241">
        <v>9.0999999999999998E-2</v>
      </c>
      <c r="D808" s="209"/>
      <c r="E808" s="9">
        <f>ROUNDUP((SUM(E795:E796)*C808),0)</f>
        <v>151</v>
      </c>
      <c r="I808" s="6" t="s">
        <v>15</v>
      </c>
      <c r="J808" s="241">
        <v>9.0999999999999998E-2</v>
      </c>
      <c r="K808" s="209"/>
      <c r="L808" s="9">
        <f>ROUNDUP((SUM(L795:L796)*J808),0)</f>
        <v>0</v>
      </c>
      <c r="O808" s="6" t="s">
        <v>15</v>
      </c>
      <c r="P808" s="241">
        <v>9.0999999999999998E-2</v>
      </c>
      <c r="Q808" s="209"/>
      <c r="R808" s="9">
        <f>ROUNDUP((SUM(R795:R796)*P808),0)</f>
        <v>151</v>
      </c>
      <c r="U808" s="6" t="s">
        <v>15</v>
      </c>
      <c r="V808" s="241">
        <v>9.0999999999999998E-2</v>
      </c>
      <c r="W808" s="209"/>
      <c r="X808" s="9">
        <f>ROUNDUP((SUM(X795:X796)*V808),0)</f>
        <v>131</v>
      </c>
      <c r="AA808" s="6" t="s">
        <v>15</v>
      </c>
      <c r="AB808" s="241">
        <v>9.0999999999999998E-2</v>
      </c>
      <c r="AC808" s="209"/>
      <c r="AD808" s="9">
        <f>ROUNDUP((SUM(AD795:AD796)*AB808),0)</f>
        <v>261</v>
      </c>
    </row>
    <row r="809" spans="2:30">
      <c r="B809" s="6" t="s">
        <v>362</v>
      </c>
      <c r="C809" s="241">
        <v>0.03</v>
      </c>
      <c r="D809" s="209"/>
      <c r="E809" s="9">
        <f>ROUNDUP(SUM(E802)*C809,0)</f>
        <v>233</v>
      </c>
      <c r="I809" s="6" t="s">
        <v>362</v>
      </c>
      <c r="J809" s="241">
        <v>0.03</v>
      </c>
      <c r="K809" s="209"/>
      <c r="L809" s="9">
        <f>ROUNDUP(SUM(L802)*J809,0)</f>
        <v>56</v>
      </c>
      <c r="O809" s="6" t="s">
        <v>362</v>
      </c>
      <c r="P809" s="241">
        <v>0.03</v>
      </c>
      <c r="Q809" s="209"/>
      <c r="R809" s="9">
        <f>ROUNDUP(SUM(R802)*P809,0)</f>
        <v>288</v>
      </c>
      <c r="U809" s="6" t="s">
        <v>362</v>
      </c>
      <c r="V809" s="241">
        <v>0.03</v>
      </c>
      <c r="W809" s="209"/>
      <c r="X809" s="9">
        <f>ROUNDUP(SUM(X802)*V809,0)</f>
        <v>113</v>
      </c>
      <c r="AA809" s="6" t="s">
        <v>362</v>
      </c>
      <c r="AB809" s="241">
        <v>0.03</v>
      </c>
      <c r="AC809" s="209"/>
      <c r="AD809" s="9">
        <f>ROUNDUP(SUM(AD802)*AB809,0)</f>
        <v>150</v>
      </c>
    </row>
    <row r="810" spans="2:30">
      <c r="B810" s="6" t="s">
        <v>363</v>
      </c>
      <c r="C810" s="241">
        <v>0.01</v>
      </c>
      <c r="D810" s="209"/>
      <c r="E810" s="9">
        <f>ROUNDUP(SUM(E802)*C810,0)</f>
        <v>78</v>
      </c>
      <c r="I810" s="6" t="s">
        <v>363</v>
      </c>
      <c r="J810" s="241">
        <v>0.01</v>
      </c>
      <c r="K810" s="209"/>
      <c r="L810" s="9">
        <f>ROUNDUP(SUM(L802)*J810,0)</f>
        <v>19</v>
      </c>
      <c r="O810" s="6" t="s">
        <v>363</v>
      </c>
      <c r="P810" s="241">
        <v>0.01</v>
      </c>
      <c r="Q810" s="209"/>
      <c r="R810" s="9">
        <f>ROUNDUP(SUM(R802)*P810,0)</f>
        <v>96</v>
      </c>
      <c r="U810" s="6" t="s">
        <v>363</v>
      </c>
      <c r="V810" s="241">
        <v>0.01</v>
      </c>
      <c r="W810" s="209"/>
      <c r="X810" s="9">
        <f>ROUNDUP(SUM(X802)*V810,0)</f>
        <v>38</v>
      </c>
      <c r="AA810" s="6" t="s">
        <v>363</v>
      </c>
      <c r="AB810" s="241">
        <v>0.01</v>
      </c>
      <c r="AC810" s="209"/>
      <c r="AD810" s="9">
        <f>ROUNDUP(SUM(AD802)*AB810,0)</f>
        <v>50</v>
      </c>
    </row>
    <row r="811" spans="2:30">
      <c r="B811" s="6" t="s">
        <v>364</v>
      </c>
      <c r="C811" s="241">
        <v>0.03</v>
      </c>
      <c r="D811" s="209"/>
      <c r="E811" s="9">
        <f>ROUNDUP(SUM(E802)*C811,0)</f>
        <v>233</v>
      </c>
      <c r="I811" s="6" t="s">
        <v>364</v>
      </c>
      <c r="J811" s="241">
        <v>0.03</v>
      </c>
      <c r="K811" s="209"/>
      <c r="L811" s="9">
        <f>ROUNDUP(SUM(L802)*J811,0)</f>
        <v>56</v>
      </c>
      <c r="O811" s="6" t="s">
        <v>364</v>
      </c>
      <c r="P811" s="241">
        <v>0.03</v>
      </c>
      <c r="Q811" s="209"/>
      <c r="R811" s="9">
        <f>ROUNDUP(SUM(R802)*P811,0)</f>
        <v>288</v>
      </c>
      <c r="U811" s="6" t="s">
        <v>364</v>
      </c>
      <c r="V811" s="241">
        <v>0.03</v>
      </c>
      <c r="W811" s="209"/>
      <c r="X811" s="9">
        <f>ROUNDUP(SUM(X802)*V811,0)</f>
        <v>113</v>
      </c>
      <c r="AA811" s="6" t="s">
        <v>364</v>
      </c>
      <c r="AB811" s="241">
        <v>0.03</v>
      </c>
      <c r="AC811" s="209"/>
      <c r="AD811" s="9">
        <f>ROUNDUP(SUM(AD802)*AB811,0)</f>
        <v>150</v>
      </c>
    </row>
    <row r="812" spans="2:30">
      <c r="B812" s="6" t="s">
        <v>333</v>
      </c>
      <c r="C812" s="122">
        <v>0.4</v>
      </c>
      <c r="D812" s="7"/>
      <c r="E812" s="9">
        <f>ROUNDUP(SUM(E805:E811)*C812,0)</f>
        <v>4038</v>
      </c>
      <c r="I812" s="6" t="s">
        <v>333</v>
      </c>
      <c r="J812" s="122">
        <v>0.4</v>
      </c>
      <c r="K812" s="7"/>
      <c r="L812" s="9">
        <f>ROUNDUP(SUM(L805:L811)*J812,0)</f>
        <v>793</v>
      </c>
      <c r="O812" s="6" t="s">
        <v>333</v>
      </c>
      <c r="P812" s="122">
        <v>0.4</v>
      </c>
      <c r="Q812" s="7"/>
      <c r="R812" s="9">
        <f>ROUNDUP(SUM(R805:R811)*P812,0)</f>
        <v>4830</v>
      </c>
      <c r="U812" s="6" t="s">
        <v>333</v>
      </c>
      <c r="V812" s="122">
        <v>0.4</v>
      </c>
      <c r="W812" s="7"/>
      <c r="X812" s="9">
        <f>ROUNDUP(SUM(X805:X811)*V812,0)</f>
        <v>2230</v>
      </c>
      <c r="AA812" s="6" t="s">
        <v>333</v>
      </c>
      <c r="AB812" s="122">
        <v>0.4</v>
      </c>
      <c r="AC812" s="7"/>
      <c r="AD812" s="9">
        <f>ROUNDUP(SUM(AD805:AD811)*AB812,0)</f>
        <v>3389</v>
      </c>
    </row>
    <row r="813" spans="2:30">
      <c r="B813" s="6" t="s">
        <v>210</v>
      </c>
      <c r="C813" s="122">
        <v>0</v>
      </c>
      <c r="D813" s="7"/>
      <c r="E813" s="9">
        <f>ROUNDUP(SUM(E805:E812)*C813,0)</f>
        <v>0</v>
      </c>
      <c r="I813" s="6" t="s">
        <v>210</v>
      </c>
      <c r="J813" s="122">
        <v>0</v>
      </c>
      <c r="K813" s="7"/>
      <c r="L813" s="9">
        <f>ROUNDUP(SUM(L805:L812)*J813,0)</f>
        <v>0</v>
      </c>
      <c r="O813" s="6" t="s">
        <v>210</v>
      </c>
      <c r="P813" s="122">
        <v>0</v>
      </c>
      <c r="Q813" s="7"/>
      <c r="R813" s="9">
        <f>ROUNDUP(SUM(R805:R812)*P813,0)</f>
        <v>0</v>
      </c>
      <c r="U813" s="6" t="s">
        <v>210</v>
      </c>
      <c r="V813" s="122">
        <v>0.1</v>
      </c>
      <c r="W813" s="7"/>
      <c r="X813" s="9">
        <f>ROUNDUP(SUM(X805:X812)*V813,0)</f>
        <v>781</v>
      </c>
      <c r="AA813" s="6" t="s">
        <v>210</v>
      </c>
      <c r="AB813" s="122">
        <v>0.1</v>
      </c>
      <c r="AC813" s="7"/>
      <c r="AD813" s="9">
        <f>ROUNDUP(SUM(AD805:AD812)*AB813,0)</f>
        <v>1186</v>
      </c>
    </row>
    <row r="814" spans="2:30">
      <c r="B814" s="6" t="s">
        <v>0</v>
      </c>
      <c r="C814" s="241"/>
      <c r="D814" s="7"/>
      <c r="E814" s="9">
        <f>ROUNDUP(SUM(E802,E810:E813)*C814,0)</f>
        <v>0</v>
      </c>
      <c r="I814" s="6" t="s">
        <v>0</v>
      </c>
      <c r="J814" s="241"/>
      <c r="K814" s="7"/>
      <c r="L814" s="9">
        <f>ROUNDUP(SUM(L802,L810:L813)*J814,0)</f>
        <v>0</v>
      </c>
      <c r="O814" s="6" t="s">
        <v>0</v>
      </c>
      <c r="P814" s="241"/>
      <c r="Q814" s="7"/>
      <c r="R814" s="9">
        <f>ROUNDUP(SUM(R802,R810:R813)*P814,0)</f>
        <v>0</v>
      </c>
      <c r="U814" s="6" t="s">
        <v>0</v>
      </c>
      <c r="V814" s="241"/>
      <c r="W814" s="7"/>
      <c r="X814" s="9">
        <f>ROUNDUP(SUM(X802,X810:X813)*V814,0)</f>
        <v>0</v>
      </c>
      <c r="AA814" s="6" t="s">
        <v>0</v>
      </c>
      <c r="AB814" s="241"/>
      <c r="AC814" s="7"/>
      <c r="AD814" s="9">
        <f>ROUNDUP(SUM(AD802,AD810:AD813)*AB814,0)</f>
        <v>0</v>
      </c>
    </row>
    <row r="815" spans="2:30">
      <c r="B815" s="6" t="s">
        <v>261</v>
      </c>
      <c r="C815" s="241">
        <v>0.01</v>
      </c>
      <c r="D815" s="7"/>
      <c r="E815" s="9">
        <f>ROUNDUP(C815*SUM(E805:E814),0)</f>
        <v>142</v>
      </c>
      <c r="I815" s="6" t="s">
        <v>261</v>
      </c>
      <c r="J815" s="241">
        <v>0.01</v>
      </c>
      <c r="K815" s="7"/>
      <c r="L815" s="9">
        <f>ROUNDUP(J815*SUM(L805:L814),0)</f>
        <v>28</v>
      </c>
      <c r="O815" s="6" t="s">
        <v>261</v>
      </c>
      <c r="P815" s="241">
        <v>0.01</v>
      </c>
      <c r="Q815" s="7"/>
      <c r="R815" s="9">
        <f>ROUNDUP(P815*SUM(R805:R814),0)</f>
        <v>170</v>
      </c>
      <c r="U815" s="6" t="s">
        <v>261</v>
      </c>
      <c r="V815" s="241">
        <v>0.01</v>
      </c>
      <c r="W815" s="7"/>
      <c r="X815" s="9">
        <f>ROUNDUP(V815*SUM(X805:X814),0)</f>
        <v>86</v>
      </c>
      <c r="AA815" s="6" t="s">
        <v>261</v>
      </c>
      <c r="AB815" s="241">
        <v>0.01</v>
      </c>
      <c r="AC815" s="7"/>
      <c r="AD815" s="9">
        <f>ROUNDUP(AB815*SUM(AD805:AD814),0)</f>
        <v>131</v>
      </c>
    </row>
    <row r="816" spans="2:30">
      <c r="B816" s="45" t="s">
        <v>20</v>
      </c>
      <c r="C816" s="46"/>
      <c r="D816" s="15"/>
      <c r="E816" s="210">
        <f>ROUNDUP(SUM(E805:E815)*C816,0)</f>
        <v>0</v>
      </c>
      <c r="I816" s="45" t="s">
        <v>20</v>
      </c>
      <c r="J816" s="46"/>
      <c r="K816" s="15"/>
      <c r="L816" s="210">
        <f>ROUNDUP(SUM(L805:L815)*J816,0)</f>
        <v>0</v>
      </c>
      <c r="O816" s="45" t="s">
        <v>20</v>
      </c>
      <c r="P816" s="46"/>
      <c r="Q816" s="15"/>
      <c r="R816" s="210">
        <f>ROUNDUP(SUM(R805:R815)*P816,0)</f>
        <v>0</v>
      </c>
      <c r="U816" s="45" t="s">
        <v>20</v>
      </c>
      <c r="V816" s="46"/>
      <c r="W816" s="15"/>
      <c r="X816" s="210">
        <f>ROUNDUP(SUM(X805:X815)*V816,0)</f>
        <v>0</v>
      </c>
      <c r="AA816" s="45" t="s">
        <v>20</v>
      </c>
      <c r="AB816" s="46"/>
      <c r="AC816" s="15"/>
      <c r="AD816" s="210">
        <f>ROUNDUP(SUM(AD805:AD815)*AB816,0)</f>
        <v>0</v>
      </c>
    </row>
    <row r="817" spans="2:31">
      <c r="B817" s="1"/>
      <c r="C817" s="8"/>
      <c r="D817" s="7"/>
      <c r="E817" s="7"/>
      <c r="I817" s="1"/>
      <c r="J817" s="8"/>
      <c r="K817" s="7"/>
      <c r="L817" s="7"/>
      <c r="O817" s="1"/>
      <c r="P817" s="8"/>
      <c r="Q817" s="7"/>
      <c r="R817" s="7"/>
      <c r="U817" s="1"/>
      <c r="V817" s="8"/>
      <c r="W817" s="7"/>
      <c r="X817" s="7"/>
      <c r="AA817" s="1"/>
      <c r="AB817" s="8"/>
      <c r="AC817" s="7"/>
      <c r="AD817" s="7"/>
    </row>
    <row r="818" spans="2:31" ht="16.2" thickBot="1">
      <c r="B818" s="1"/>
      <c r="C818" s="1"/>
      <c r="D818" s="7"/>
      <c r="E818" s="7"/>
      <c r="F818" s="51" t="s">
        <v>338</v>
      </c>
      <c r="I818" s="1"/>
      <c r="J818" s="1"/>
      <c r="K818" s="7"/>
      <c r="L818" s="7"/>
      <c r="M818" s="51" t="s">
        <v>338</v>
      </c>
      <c r="N818" s="51"/>
      <c r="O818" s="1"/>
      <c r="P818" s="1"/>
      <c r="Q818" s="7"/>
      <c r="R818" s="7"/>
      <c r="S818" s="51" t="s">
        <v>334</v>
      </c>
      <c r="U818" s="1"/>
      <c r="V818" s="1"/>
      <c r="W818" s="7"/>
      <c r="X818" s="7"/>
      <c r="Y818" s="51" t="s">
        <v>334</v>
      </c>
      <c r="AA818" s="1"/>
      <c r="AB818" s="1"/>
      <c r="AC818" s="7"/>
      <c r="AD818" s="7"/>
      <c r="AE818" s="51" t="s">
        <v>334</v>
      </c>
    </row>
    <row r="819" spans="2:31" ht="16.2" thickBot="1">
      <c r="B819" s="289" t="s">
        <v>6</v>
      </c>
      <c r="C819" s="290"/>
      <c r="D819" s="291"/>
      <c r="E819" s="292">
        <f>SUM(E805:E816)</f>
        <v>14275</v>
      </c>
      <c r="F819" s="371">
        <f>E819/C799</f>
        <v>2.855</v>
      </c>
      <c r="I819" s="289" t="s">
        <v>6</v>
      </c>
      <c r="J819" s="290"/>
      <c r="K819" s="291"/>
      <c r="L819" s="292">
        <f>SUM(L805:L816)</f>
        <v>2802</v>
      </c>
      <c r="M819" s="371">
        <f>L819/J799</f>
        <v>2.802</v>
      </c>
      <c r="N819" s="371"/>
      <c r="O819" s="289" t="s">
        <v>6</v>
      </c>
      <c r="P819" s="290"/>
      <c r="Q819" s="291"/>
      <c r="R819" s="292">
        <f>SUM(R805:R816)</f>
        <v>17073</v>
      </c>
      <c r="S819" s="371">
        <f>R819/P799</f>
        <v>3.4146000000000001</v>
      </c>
      <c r="U819" s="289" t="s">
        <v>6</v>
      </c>
      <c r="V819" s="290"/>
      <c r="W819" s="291"/>
      <c r="X819" s="292">
        <f>SUM(X805:X816)</f>
        <v>8672</v>
      </c>
      <c r="Y819" s="371">
        <f>X819/V799</f>
        <v>1.7343999999999999</v>
      </c>
      <c r="AA819" s="289" t="s">
        <v>6</v>
      </c>
      <c r="AB819" s="290"/>
      <c r="AC819" s="291"/>
      <c r="AD819" s="292">
        <f>SUM(AD805:AD816)</f>
        <v>13177</v>
      </c>
      <c r="AE819" s="371">
        <f>AD819/AB799</f>
        <v>2.6354000000000002</v>
      </c>
    </row>
    <row r="821" spans="2:31">
      <c r="K821" t="s">
        <v>365</v>
      </c>
      <c r="M821" t="s">
        <v>366</v>
      </c>
    </row>
    <row r="822" spans="2:31">
      <c r="L822" s="28">
        <f>(L819/(J799/0.3))</f>
        <v>0.84060000000000001</v>
      </c>
      <c r="M822" s="28">
        <f>(L819/(J799/0.15))</f>
        <v>0.42030000000000001</v>
      </c>
      <c r="N822" s="28"/>
      <c r="O822" s="28"/>
      <c r="P822" s="28"/>
      <c r="Q822" s="28"/>
      <c r="R822" s="28"/>
      <c r="S822" s="28"/>
    </row>
    <row r="825" spans="2:31">
      <c r="B825" s="1897" t="s">
        <v>367</v>
      </c>
      <c r="C825" s="1898"/>
      <c r="D825" s="1898"/>
      <c r="E825" s="1899"/>
      <c r="I825" s="1897" t="s">
        <v>368</v>
      </c>
      <c r="J825" s="1898"/>
      <c r="K825" s="1898"/>
      <c r="L825" s="1899"/>
      <c r="O825" s="1897" t="s">
        <v>369</v>
      </c>
      <c r="P825" s="1898"/>
      <c r="Q825" s="1898"/>
      <c r="R825" s="1899"/>
      <c r="U825" s="1897" t="s">
        <v>356</v>
      </c>
      <c r="V825" s="1898"/>
      <c r="W825" s="1898"/>
      <c r="X825" s="1899"/>
      <c r="AA825" s="1897" t="s">
        <v>357</v>
      </c>
      <c r="AB825" s="1898"/>
      <c r="AC825" s="1898"/>
      <c r="AD825" s="1899"/>
    </row>
    <row r="826" spans="2:31">
      <c r="B826" s="5" t="s">
        <v>327</v>
      </c>
      <c r="C826" s="30" t="s">
        <v>11</v>
      </c>
      <c r="D826" s="30" t="s">
        <v>1</v>
      </c>
      <c r="E826" s="31" t="s">
        <v>2</v>
      </c>
      <c r="I826" s="5" t="s">
        <v>327</v>
      </c>
      <c r="J826" s="30" t="s">
        <v>11</v>
      </c>
      <c r="K826" s="30" t="s">
        <v>1</v>
      </c>
      <c r="L826" s="31" t="s">
        <v>2</v>
      </c>
      <c r="O826" s="5" t="s">
        <v>327</v>
      </c>
      <c r="P826" s="30" t="s">
        <v>11</v>
      </c>
      <c r="Q826" s="30" t="s">
        <v>1</v>
      </c>
      <c r="R826" s="31" t="s">
        <v>2</v>
      </c>
      <c r="U826" s="5" t="s">
        <v>327</v>
      </c>
      <c r="V826" s="30" t="s">
        <v>11</v>
      </c>
      <c r="W826" s="30" t="s">
        <v>1</v>
      </c>
      <c r="X826" s="31" t="s">
        <v>2</v>
      </c>
      <c r="AA826" s="5" t="s">
        <v>327</v>
      </c>
      <c r="AB826" s="30" t="s">
        <v>11</v>
      </c>
      <c r="AC826" s="30" t="s">
        <v>1</v>
      </c>
      <c r="AD826" s="31" t="s">
        <v>2</v>
      </c>
    </row>
    <row r="827" spans="2:31">
      <c r="B827" s="32" t="s">
        <v>23</v>
      </c>
      <c r="C827" s="32">
        <v>1000</v>
      </c>
      <c r="D827" s="33">
        <v>0.1</v>
      </c>
      <c r="E827" s="34">
        <f t="shared" ref="E827:E830" si="148">C827*D827</f>
        <v>100</v>
      </c>
      <c r="I827" s="44"/>
      <c r="J827" s="32"/>
      <c r="K827" s="33"/>
      <c r="L827" s="34">
        <f t="shared" ref="L827:L830" si="149">J827*K827</f>
        <v>0</v>
      </c>
      <c r="O827" s="44" t="s">
        <v>23</v>
      </c>
      <c r="P827" s="32">
        <v>1000</v>
      </c>
      <c r="Q827" s="33">
        <v>0.1</v>
      </c>
      <c r="R827" s="34">
        <f t="shared" ref="R827:R830" si="150">P827*Q827</f>
        <v>100</v>
      </c>
      <c r="U827" s="32"/>
      <c r="V827" s="32"/>
      <c r="W827" s="33"/>
      <c r="X827" s="34">
        <f t="shared" ref="X827:X830" si="151">V827*W827</f>
        <v>0</v>
      </c>
      <c r="AA827" s="32"/>
      <c r="AB827" s="32"/>
      <c r="AC827" s="33"/>
      <c r="AD827" s="34">
        <f t="shared" ref="AD827:AD830" si="152">AB827*AC827</f>
        <v>0</v>
      </c>
    </row>
    <row r="828" spans="2:31">
      <c r="B828" s="32" t="s">
        <v>24</v>
      </c>
      <c r="C828" s="32">
        <v>1000</v>
      </c>
      <c r="D828" s="33">
        <v>0.2</v>
      </c>
      <c r="E828" s="34">
        <f t="shared" si="148"/>
        <v>200</v>
      </c>
      <c r="I828" s="44"/>
      <c r="J828" s="32"/>
      <c r="K828" s="33"/>
      <c r="L828" s="34">
        <f t="shared" si="149"/>
        <v>0</v>
      </c>
      <c r="O828" s="44" t="s">
        <v>24</v>
      </c>
      <c r="P828" s="32">
        <v>1000</v>
      </c>
      <c r="Q828" s="33">
        <v>0.2</v>
      </c>
      <c r="R828" s="34">
        <f t="shared" si="150"/>
        <v>200</v>
      </c>
      <c r="U828" s="32" t="s">
        <v>24</v>
      </c>
      <c r="V828" s="32">
        <v>1000</v>
      </c>
      <c r="W828" s="33">
        <v>0.26</v>
      </c>
      <c r="X828" s="34">
        <f t="shared" si="151"/>
        <v>260</v>
      </c>
      <c r="AA828" s="32" t="s">
        <v>24</v>
      </c>
      <c r="AB828" s="32">
        <v>1000</v>
      </c>
      <c r="AC828" s="33">
        <v>0.26</v>
      </c>
      <c r="AD828" s="34">
        <f t="shared" si="152"/>
        <v>260</v>
      </c>
    </row>
    <row r="829" spans="2:31">
      <c r="B829" s="32"/>
      <c r="C829" s="32"/>
      <c r="D829" s="33"/>
      <c r="E829" s="34">
        <f t="shared" si="148"/>
        <v>0</v>
      </c>
      <c r="I829" s="44"/>
      <c r="J829" s="32"/>
      <c r="K829" s="33"/>
      <c r="L829" s="34">
        <f t="shared" si="149"/>
        <v>0</v>
      </c>
      <c r="O829" s="44"/>
      <c r="P829" s="32"/>
      <c r="Q829" s="33"/>
      <c r="R829" s="34">
        <f t="shared" si="150"/>
        <v>0</v>
      </c>
      <c r="U829" s="32"/>
      <c r="V829" s="32"/>
      <c r="W829" s="33"/>
      <c r="X829" s="34">
        <f t="shared" si="151"/>
        <v>0</v>
      </c>
      <c r="AA829" s="32" t="s">
        <v>358</v>
      </c>
      <c r="AB829" s="32">
        <v>1000</v>
      </c>
      <c r="AC829" s="33">
        <v>0.26</v>
      </c>
      <c r="AD829" s="34">
        <f t="shared" si="152"/>
        <v>260</v>
      </c>
    </row>
    <row r="830" spans="2:31">
      <c r="B830" s="322"/>
      <c r="C830" s="323"/>
      <c r="D830" s="26"/>
      <c r="E830" s="27">
        <f t="shared" si="148"/>
        <v>0</v>
      </c>
      <c r="I830" s="322"/>
      <c r="J830" s="323"/>
      <c r="K830" s="26"/>
      <c r="L830" s="27">
        <f t="shared" si="149"/>
        <v>0</v>
      </c>
      <c r="O830" s="45"/>
      <c r="P830" s="323"/>
      <c r="Q830" s="26"/>
      <c r="R830" s="27">
        <f t="shared" si="150"/>
        <v>0</v>
      </c>
      <c r="U830" s="322"/>
      <c r="V830" s="323"/>
      <c r="W830" s="26"/>
      <c r="X830" s="27">
        <f t="shared" si="151"/>
        <v>0</v>
      </c>
      <c r="AA830" s="322"/>
      <c r="AB830" s="323"/>
      <c r="AC830" s="26"/>
      <c r="AD830" s="27">
        <f t="shared" si="152"/>
        <v>0</v>
      </c>
    </row>
    <row r="831" spans="2:31">
      <c r="B831" s="17" t="s">
        <v>10</v>
      </c>
      <c r="C831" s="35"/>
      <c r="D831" s="18"/>
      <c r="E831" s="19">
        <f>ROUNDUP(SUM(E827:E830),0)</f>
        <v>300</v>
      </c>
      <c r="I831" s="17" t="s">
        <v>10</v>
      </c>
      <c r="J831" s="35"/>
      <c r="K831" s="18"/>
      <c r="L831" s="19">
        <f>ROUNDUP(SUM(L827:L830),0)</f>
        <v>0</v>
      </c>
      <c r="O831" s="17" t="s">
        <v>10</v>
      </c>
      <c r="P831" s="35"/>
      <c r="Q831" s="18"/>
      <c r="R831" s="19">
        <f>ROUNDUP(SUM(R827:R830),0)</f>
        <v>300</v>
      </c>
      <c r="U831" s="17" t="s">
        <v>10</v>
      </c>
      <c r="V831" s="35"/>
      <c r="W831" s="18"/>
      <c r="X831" s="19">
        <f>ROUNDUP(SUM(X827:X830),0)</f>
        <v>260</v>
      </c>
      <c r="AA831" s="17" t="s">
        <v>10</v>
      </c>
      <c r="AB831" s="35"/>
      <c r="AC831" s="18"/>
      <c r="AD831" s="19">
        <f>ROUNDUP(SUM(AD827:AD830),0)</f>
        <v>520</v>
      </c>
    </row>
    <row r="832" spans="2:31">
      <c r="B832" s="20" t="s">
        <v>328</v>
      </c>
      <c r="C832" s="270">
        <v>0.1</v>
      </c>
      <c r="D832" s="21"/>
      <c r="E832" s="22">
        <f>ROUNDUP(E831*C832,0)</f>
        <v>30</v>
      </c>
      <c r="I832" s="20" t="s">
        <v>328</v>
      </c>
      <c r="J832" s="270">
        <v>0.1</v>
      </c>
      <c r="K832" s="21"/>
      <c r="L832" s="22">
        <f>ROUNDUP(L831*J832,0)</f>
        <v>0</v>
      </c>
      <c r="O832" s="20" t="s">
        <v>328</v>
      </c>
      <c r="P832" s="270">
        <v>0.1</v>
      </c>
      <c r="Q832" s="21"/>
      <c r="R832" s="22">
        <f>ROUNDUP(R831*P832,0)</f>
        <v>30</v>
      </c>
      <c r="U832" s="20" t="s">
        <v>328</v>
      </c>
      <c r="V832" s="270">
        <v>0.1</v>
      </c>
      <c r="W832" s="21"/>
      <c r="X832" s="22">
        <f>ROUNDUP(X831*V832,0)</f>
        <v>26</v>
      </c>
      <c r="AA832" s="20" t="s">
        <v>328</v>
      </c>
      <c r="AB832" s="270">
        <v>0.1</v>
      </c>
      <c r="AC832" s="21"/>
      <c r="AD832" s="22">
        <f>ROUNDUP(AD831*AB832,0)</f>
        <v>52</v>
      </c>
    </row>
    <row r="833" spans="2:30">
      <c r="B833" s="10" t="s">
        <v>3</v>
      </c>
      <c r="C833" s="36"/>
      <c r="D833" s="13"/>
      <c r="E833" s="16">
        <f>SUM(E831:E832)</f>
        <v>330</v>
      </c>
      <c r="I833" s="10" t="s">
        <v>3</v>
      </c>
      <c r="J833" s="36"/>
      <c r="K833" s="13"/>
      <c r="L833" s="16">
        <f>SUM(L831:L832)</f>
        <v>0</v>
      </c>
      <c r="O833" s="10" t="s">
        <v>3</v>
      </c>
      <c r="P833" s="36"/>
      <c r="Q833" s="13"/>
      <c r="R833" s="16">
        <f>SUM(R831:R832)</f>
        <v>330</v>
      </c>
      <c r="U833" s="10" t="s">
        <v>3</v>
      </c>
      <c r="V833" s="36"/>
      <c r="W833" s="13"/>
      <c r="X833" s="16">
        <f>SUM(X831:X832)</f>
        <v>286</v>
      </c>
      <c r="AA833" s="10" t="s">
        <v>3</v>
      </c>
      <c r="AB833" s="36"/>
      <c r="AC833" s="13"/>
      <c r="AD833" s="16">
        <f>SUM(AD831:AD832)</f>
        <v>572</v>
      </c>
    </row>
    <row r="834" spans="2:30">
      <c r="B834" s="39" t="s">
        <v>16</v>
      </c>
      <c r="C834" s="40">
        <v>0</v>
      </c>
      <c r="D834" s="41"/>
      <c r="E834" s="42">
        <f>ROUNDUP(E831*C834,0)</f>
        <v>0</v>
      </c>
      <c r="I834" s="39" t="s">
        <v>16</v>
      </c>
      <c r="J834" s="40">
        <v>0</v>
      </c>
      <c r="K834" s="41"/>
      <c r="L834" s="42">
        <f>ROUNDUP(L831*J834,0)</f>
        <v>0</v>
      </c>
      <c r="O834" s="39" t="s">
        <v>16</v>
      </c>
      <c r="P834" s="40">
        <v>0</v>
      </c>
      <c r="Q834" s="41"/>
      <c r="R834" s="42">
        <f>ROUNDUP(R831*P834,0)</f>
        <v>0</v>
      </c>
      <c r="U834" s="39" t="s">
        <v>16</v>
      </c>
      <c r="V834" s="40">
        <v>0</v>
      </c>
      <c r="W834" s="41"/>
      <c r="X834" s="42">
        <f>ROUNDUP(X831*V834,0)</f>
        <v>0</v>
      </c>
      <c r="AA834" s="39" t="s">
        <v>16</v>
      </c>
      <c r="AB834" s="40">
        <v>0</v>
      </c>
      <c r="AC834" s="41"/>
      <c r="AD834" s="42">
        <f>ROUNDUP(AD831*AB834,0)</f>
        <v>0</v>
      </c>
    </row>
    <row r="835" spans="2:30">
      <c r="B835" s="1"/>
      <c r="C835" s="32"/>
      <c r="D835" s="7"/>
      <c r="E835" s="7"/>
      <c r="I835" s="1"/>
      <c r="J835" s="32"/>
      <c r="K835" s="7"/>
      <c r="L835" s="7"/>
      <c r="O835" s="1"/>
      <c r="P835" s="32"/>
      <c r="Q835" s="7"/>
      <c r="R835" s="7"/>
      <c r="U835" s="1"/>
      <c r="V835" s="32"/>
      <c r="W835" s="7"/>
      <c r="X835" s="7"/>
      <c r="AA835" s="1"/>
      <c r="AB835" s="32"/>
      <c r="AC835" s="7"/>
      <c r="AD835" s="7"/>
    </row>
    <row r="836" spans="2:30">
      <c r="B836" s="5" t="s">
        <v>329</v>
      </c>
      <c r="C836" s="30" t="s">
        <v>11</v>
      </c>
      <c r="D836" s="11" t="s">
        <v>1</v>
      </c>
      <c r="E836" s="344" t="s">
        <v>2</v>
      </c>
      <c r="I836" s="5" t="s">
        <v>329</v>
      </c>
      <c r="J836" s="30" t="s">
        <v>11</v>
      </c>
      <c r="K836" s="11" t="s">
        <v>1</v>
      </c>
      <c r="L836" s="344" t="s">
        <v>2</v>
      </c>
      <c r="O836" s="5" t="s">
        <v>329</v>
      </c>
      <c r="P836" s="30" t="s">
        <v>11</v>
      </c>
      <c r="Q836" s="11" t="s">
        <v>1</v>
      </c>
      <c r="R836" s="344" t="s">
        <v>2</v>
      </c>
      <c r="U836" s="5" t="s">
        <v>329</v>
      </c>
      <c r="V836" s="30" t="s">
        <v>11</v>
      </c>
      <c r="W836" s="11" t="s">
        <v>1</v>
      </c>
      <c r="X836" s="344" t="s">
        <v>2</v>
      </c>
      <c r="AA836" s="5" t="s">
        <v>329</v>
      </c>
      <c r="AB836" s="30" t="s">
        <v>11</v>
      </c>
      <c r="AC836" s="11" t="s">
        <v>1</v>
      </c>
      <c r="AD836" s="344" t="s">
        <v>2</v>
      </c>
    </row>
    <row r="837" spans="2:30">
      <c r="B837" s="6" t="s">
        <v>359</v>
      </c>
      <c r="C837" s="37">
        <v>1000</v>
      </c>
      <c r="D837" s="7">
        <v>2.15</v>
      </c>
      <c r="E837" s="9">
        <f>ROUNDUP(C837*D837,0)</f>
        <v>2150</v>
      </c>
      <c r="I837" s="6" t="s">
        <v>360</v>
      </c>
      <c r="J837" s="37">
        <v>200</v>
      </c>
      <c r="K837" s="7">
        <v>2.5499999999999998</v>
      </c>
      <c r="L837" s="9">
        <f>ROUNDUP(J837*K837,0)</f>
        <v>510</v>
      </c>
      <c r="O837" s="6" t="s">
        <v>359</v>
      </c>
      <c r="P837" s="37">
        <f>C837</f>
        <v>1000</v>
      </c>
      <c r="Q837" s="7">
        <f>D837</f>
        <v>2.15</v>
      </c>
      <c r="R837" s="9">
        <f>ROUNDUP(P837*Q837,0)</f>
        <v>2150</v>
      </c>
      <c r="U837" s="6" t="s">
        <v>359</v>
      </c>
      <c r="V837" s="37">
        <v>1000</v>
      </c>
      <c r="W837" s="7">
        <v>1</v>
      </c>
      <c r="X837" s="9">
        <f>ROUNDUP(V837*W837,0)</f>
        <v>1000</v>
      </c>
      <c r="AA837" s="6" t="s">
        <v>361</v>
      </c>
      <c r="AB837" s="37">
        <v>1000</v>
      </c>
      <c r="AC837" s="7">
        <v>1.5</v>
      </c>
      <c r="AD837" s="9">
        <f>ROUNDUP(AB837*AC837,0)</f>
        <v>1500</v>
      </c>
    </row>
    <row r="838" spans="2:30">
      <c r="B838" s="6"/>
      <c r="C838" s="37"/>
      <c r="D838" s="7"/>
      <c r="E838" s="9">
        <f t="shared" ref="E838:E839" si="153">ROUNDUP(C838*D838,0)</f>
        <v>0</v>
      </c>
      <c r="I838" s="6"/>
      <c r="J838" s="37"/>
      <c r="K838" s="7"/>
      <c r="L838" s="9">
        <f t="shared" ref="L838:L839" si="154">ROUNDUP(J838*K838,0)</f>
        <v>0</v>
      </c>
      <c r="O838" s="6" t="s">
        <v>360</v>
      </c>
      <c r="P838" s="37">
        <f>J837</f>
        <v>200</v>
      </c>
      <c r="Q838" s="7">
        <f>K837</f>
        <v>2.5499999999999998</v>
      </c>
      <c r="R838" s="9">
        <f>ROUNDUP(P838*Q838,0)</f>
        <v>510</v>
      </c>
      <c r="U838" s="6"/>
      <c r="V838" s="37"/>
      <c r="W838" s="7"/>
      <c r="X838" s="9">
        <f t="shared" ref="X838:X839" si="155">ROUNDUP(V838*W838,0)</f>
        <v>0</v>
      </c>
      <c r="AA838" s="6"/>
      <c r="AB838" s="37"/>
      <c r="AC838" s="7"/>
      <c r="AD838" s="9">
        <f t="shared" ref="AD838:AD839" si="156">ROUNDUP(AB838*AC838,0)</f>
        <v>0</v>
      </c>
    </row>
    <row r="839" spans="2:30">
      <c r="B839" s="6"/>
      <c r="C839" s="37"/>
      <c r="D839" s="7"/>
      <c r="E839" s="9">
        <f t="shared" si="153"/>
        <v>0</v>
      </c>
      <c r="I839" s="6"/>
      <c r="J839" s="37"/>
      <c r="K839" s="7"/>
      <c r="L839" s="9">
        <f t="shared" si="154"/>
        <v>0</v>
      </c>
      <c r="O839" s="6"/>
      <c r="P839" s="37"/>
      <c r="Q839" s="7"/>
      <c r="R839" s="9">
        <f t="shared" ref="R839" si="157">ROUNDUP(P839*Q839,0)</f>
        <v>0</v>
      </c>
      <c r="U839" s="6"/>
      <c r="V839" s="37"/>
      <c r="W839" s="7"/>
      <c r="X839" s="9">
        <f t="shared" si="155"/>
        <v>0</v>
      </c>
      <c r="AA839" s="6"/>
      <c r="AB839" s="37"/>
      <c r="AC839" s="7"/>
      <c r="AD839" s="9">
        <f t="shared" si="156"/>
        <v>0</v>
      </c>
    </row>
    <row r="840" spans="2:30">
      <c r="B840" s="10" t="s">
        <v>4</v>
      </c>
      <c r="C840" s="36"/>
      <c r="D840" s="13"/>
      <c r="E840" s="16">
        <f>SUM(E837:E839)</f>
        <v>2150</v>
      </c>
      <c r="I840" s="10" t="s">
        <v>4</v>
      </c>
      <c r="J840" s="36"/>
      <c r="K840" s="13"/>
      <c r="L840" s="16">
        <f>SUM(L837:L839)</f>
        <v>510</v>
      </c>
      <c r="O840" s="10" t="s">
        <v>4</v>
      </c>
      <c r="P840" s="36"/>
      <c r="Q840" s="13"/>
      <c r="R840" s="16">
        <f>SUM(R837:R839)</f>
        <v>2660</v>
      </c>
      <c r="U840" s="10" t="s">
        <v>4</v>
      </c>
      <c r="V840" s="36"/>
      <c r="W840" s="13"/>
      <c r="X840" s="16">
        <f>SUM(X837:X839)</f>
        <v>1000</v>
      </c>
      <c r="AA840" s="10" t="s">
        <v>4</v>
      </c>
      <c r="AB840" s="36"/>
      <c r="AC840" s="13"/>
      <c r="AD840" s="16">
        <f>SUM(AD837:AD839)</f>
        <v>1500</v>
      </c>
    </row>
    <row r="841" spans="2:30">
      <c r="B841" s="1"/>
      <c r="C841" s="32"/>
      <c r="D841" s="7"/>
      <c r="E841" s="7"/>
      <c r="I841" s="1"/>
      <c r="J841" s="32"/>
      <c r="K841" s="7"/>
      <c r="L841" s="7"/>
      <c r="O841" s="1"/>
      <c r="P841" s="32"/>
      <c r="Q841" s="7"/>
      <c r="R841" s="7"/>
      <c r="U841" s="1"/>
      <c r="V841" s="32"/>
      <c r="W841" s="7"/>
      <c r="X841" s="7"/>
      <c r="AA841" s="1"/>
      <c r="AB841" s="32"/>
      <c r="AC841" s="7"/>
      <c r="AD841" s="7"/>
    </row>
    <row r="842" spans="2:30">
      <c r="B842" s="1"/>
      <c r="C842" s="32"/>
      <c r="D842" s="7"/>
      <c r="E842" s="7"/>
      <c r="I842" s="1"/>
      <c r="J842" s="32"/>
      <c r="K842" s="7"/>
      <c r="L842" s="7"/>
      <c r="O842" s="1"/>
      <c r="P842" s="32"/>
      <c r="Q842" s="7"/>
      <c r="R842" s="7"/>
      <c r="U842" s="1"/>
      <c r="V842" s="32"/>
      <c r="W842" s="7"/>
      <c r="X842" s="7"/>
      <c r="AA842" s="1"/>
      <c r="AB842" s="32"/>
      <c r="AC842" s="7"/>
      <c r="AD842" s="7"/>
    </row>
    <row r="843" spans="2:30">
      <c r="B843" s="280" t="s">
        <v>9</v>
      </c>
      <c r="C843" s="281"/>
      <c r="D843" s="282"/>
      <c r="E843" s="283">
        <f>SUM(E833,E840,E834)</f>
        <v>2480</v>
      </c>
      <c r="I843" s="280" t="s">
        <v>9</v>
      </c>
      <c r="J843" s="281"/>
      <c r="K843" s="282"/>
      <c r="L843" s="283">
        <f>SUM(L833,L840,L834)</f>
        <v>510</v>
      </c>
      <c r="O843" s="280" t="s">
        <v>9</v>
      </c>
      <c r="P843" s="281"/>
      <c r="Q843" s="282"/>
      <c r="R843" s="283">
        <f>SUM(R833,R840,R834)</f>
        <v>2990</v>
      </c>
      <c r="U843" s="280" t="s">
        <v>9</v>
      </c>
      <c r="V843" s="281"/>
      <c r="W843" s="282"/>
      <c r="X843" s="283">
        <f>SUM(X833,X840,X834)</f>
        <v>1286</v>
      </c>
      <c r="AA843" s="280" t="s">
        <v>9</v>
      </c>
      <c r="AB843" s="281"/>
      <c r="AC843" s="282"/>
      <c r="AD843" s="283">
        <f>SUM(AD833,AD840,AD834)</f>
        <v>2072</v>
      </c>
    </row>
    <row r="844" spans="2:30">
      <c r="B844" s="1"/>
      <c r="C844" s="32"/>
      <c r="D844" s="7"/>
      <c r="E844" s="7"/>
      <c r="I844" s="1"/>
      <c r="J844" s="32"/>
      <c r="K844" s="7"/>
      <c r="L844" s="7"/>
      <c r="O844" s="1"/>
      <c r="P844" s="32"/>
      <c r="Q844" s="7"/>
      <c r="R844" s="7"/>
      <c r="U844" s="1"/>
      <c r="V844" s="32"/>
      <c r="W844" s="7"/>
      <c r="X844" s="7"/>
      <c r="AA844" s="1"/>
      <c r="AB844" s="32"/>
      <c r="AC844" s="7"/>
      <c r="AD844" s="7"/>
    </row>
    <row r="845" spans="2:30">
      <c r="B845" s="5" t="s">
        <v>8</v>
      </c>
      <c r="C845" s="30" t="s">
        <v>7</v>
      </c>
      <c r="D845" s="14"/>
      <c r="E845" s="12"/>
      <c r="I845" s="5" t="s">
        <v>8</v>
      </c>
      <c r="J845" s="30" t="s">
        <v>7</v>
      </c>
      <c r="K845" s="14"/>
      <c r="L845" s="12"/>
      <c r="O845" s="5" t="s">
        <v>8</v>
      </c>
      <c r="P845" s="30" t="s">
        <v>7</v>
      </c>
      <c r="Q845" s="14"/>
      <c r="R845" s="12"/>
      <c r="U845" s="5" t="s">
        <v>8</v>
      </c>
      <c r="V845" s="30" t="s">
        <v>7</v>
      </c>
      <c r="W845" s="14"/>
      <c r="X845" s="12"/>
      <c r="AA845" s="5" t="s">
        <v>8</v>
      </c>
      <c r="AB845" s="30" t="s">
        <v>7</v>
      </c>
      <c r="AC845" s="14"/>
      <c r="AD845" s="12"/>
    </row>
    <row r="846" spans="2:30">
      <c r="B846" s="6" t="s">
        <v>15</v>
      </c>
      <c r="C846" s="241">
        <v>9.0999999999999998E-2</v>
      </c>
      <c r="D846" s="209"/>
      <c r="E846" s="9">
        <f>ROUNDUP((SUM(E833:E834)*C846),0)</f>
        <v>31</v>
      </c>
      <c r="I846" s="6" t="s">
        <v>15</v>
      </c>
      <c r="J846" s="241">
        <v>9.0999999999999998E-2</v>
      </c>
      <c r="K846" s="209"/>
      <c r="L846" s="9">
        <f>ROUNDUP((SUM(L833:L834)*J846),0)</f>
        <v>0</v>
      </c>
      <c r="O846" s="6" t="s">
        <v>15</v>
      </c>
      <c r="P846" s="241">
        <v>9.0999999999999998E-2</v>
      </c>
      <c r="Q846" s="209"/>
      <c r="R846" s="9">
        <f>ROUNDUP((SUM(R833:R834)*P846),0)</f>
        <v>31</v>
      </c>
      <c r="U846" s="6" t="s">
        <v>15</v>
      </c>
      <c r="V846" s="241">
        <v>9.0999999999999998E-2</v>
      </c>
      <c r="W846" s="209"/>
      <c r="X846" s="9">
        <f>ROUNDUP((SUM(X833:X834)*V846),0)</f>
        <v>27</v>
      </c>
      <c r="AA846" s="6" t="s">
        <v>15</v>
      </c>
      <c r="AB846" s="241">
        <v>9.0999999999999998E-2</v>
      </c>
      <c r="AC846" s="209"/>
      <c r="AD846" s="9">
        <f>ROUNDUP((SUM(AD833:AD834)*AB846),0)</f>
        <v>53</v>
      </c>
    </row>
    <row r="847" spans="2:30">
      <c r="B847" s="6" t="s">
        <v>362</v>
      </c>
      <c r="C847" s="241">
        <v>0.03</v>
      </c>
      <c r="D847" s="209"/>
      <c r="E847" s="9">
        <f>ROUNDUP(SUM(E840)*C847,0)</f>
        <v>65</v>
      </c>
      <c r="I847" s="6" t="s">
        <v>362</v>
      </c>
      <c r="J847" s="241">
        <v>0.03</v>
      </c>
      <c r="K847" s="209"/>
      <c r="L847" s="9">
        <f>ROUNDUP(SUM(L840)*J847,0)</f>
        <v>16</v>
      </c>
      <c r="O847" s="6" t="s">
        <v>362</v>
      </c>
      <c r="P847" s="241">
        <v>0.03</v>
      </c>
      <c r="Q847" s="209"/>
      <c r="R847" s="9">
        <f>ROUNDUP(SUM(R840)*P847,0)</f>
        <v>80</v>
      </c>
      <c r="U847" s="6" t="s">
        <v>362</v>
      </c>
      <c r="V847" s="241">
        <v>0.03</v>
      </c>
      <c r="W847" s="209"/>
      <c r="X847" s="9">
        <f>ROUNDUP(SUM(X840)*V847,0)</f>
        <v>30</v>
      </c>
      <c r="AA847" s="6" t="s">
        <v>362</v>
      </c>
      <c r="AB847" s="241">
        <v>0.03</v>
      </c>
      <c r="AC847" s="209"/>
      <c r="AD847" s="9">
        <f>ROUNDUP(SUM(AD840)*AB847,0)</f>
        <v>45</v>
      </c>
    </row>
    <row r="848" spans="2:30">
      <c r="B848" s="6" t="s">
        <v>363</v>
      </c>
      <c r="C848" s="241">
        <v>0.01</v>
      </c>
      <c r="D848" s="209"/>
      <c r="E848" s="9">
        <f>ROUNDUP(SUM(E840)*C848,0)</f>
        <v>22</v>
      </c>
      <c r="I848" s="6" t="s">
        <v>363</v>
      </c>
      <c r="J848" s="241">
        <v>0.01</v>
      </c>
      <c r="K848" s="209"/>
      <c r="L848" s="9">
        <f>ROUNDUP(SUM(L840)*J848,0)</f>
        <v>6</v>
      </c>
      <c r="O848" s="6" t="s">
        <v>363</v>
      </c>
      <c r="P848" s="241">
        <v>0.01</v>
      </c>
      <c r="Q848" s="209"/>
      <c r="R848" s="9">
        <f>ROUNDUP(SUM(R840)*P848,0)</f>
        <v>27</v>
      </c>
      <c r="U848" s="6" t="s">
        <v>363</v>
      </c>
      <c r="V848" s="241">
        <v>0.01</v>
      </c>
      <c r="W848" s="209"/>
      <c r="X848" s="9">
        <f>ROUNDUP(SUM(X840)*V848,0)</f>
        <v>10</v>
      </c>
      <c r="AA848" s="6" t="s">
        <v>363</v>
      </c>
      <c r="AB848" s="241">
        <v>0.01</v>
      </c>
      <c r="AC848" s="209"/>
      <c r="AD848" s="9">
        <f>ROUNDUP(SUM(AD840)*AB848,0)</f>
        <v>15</v>
      </c>
    </row>
    <row r="849" spans="2:31">
      <c r="B849" s="6" t="s">
        <v>364</v>
      </c>
      <c r="C849" s="241">
        <v>0.03</v>
      </c>
      <c r="D849" s="209"/>
      <c r="E849" s="9">
        <f>ROUNDUP(SUM(E840)*C849,0)</f>
        <v>65</v>
      </c>
      <c r="I849" s="6" t="s">
        <v>364</v>
      </c>
      <c r="J849" s="241">
        <v>0.03</v>
      </c>
      <c r="K849" s="209"/>
      <c r="L849" s="9">
        <f>ROUNDUP(SUM(L840)*J849,0)</f>
        <v>16</v>
      </c>
      <c r="O849" s="6" t="s">
        <v>364</v>
      </c>
      <c r="P849" s="241">
        <v>0.03</v>
      </c>
      <c r="Q849" s="209"/>
      <c r="R849" s="9">
        <f>ROUNDUP(SUM(R840)*P849,0)</f>
        <v>80</v>
      </c>
      <c r="U849" s="6" t="s">
        <v>364</v>
      </c>
      <c r="V849" s="241">
        <v>0.03</v>
      </c>
      <c r="W849" s="209"/>
      <c r="X849" s="9">
        <f>ROUNDUP(SUM(X840)*V849,0)</f>
        <v>30</v>
      </c>
      <c r="AA849" s="6" t="s">
        <v>364</v>
      </c>
      <c r="AB849" s="241">
        <v>0.03</v>
      </c>
      <c r="AC849" s="209"/>
      <c r="AD849" s="9">
        <f>ROUNDUP(SUM(AD840)*AB849,0)</f>
        <v>45</v>
      </c>
    </row>
    <row r="850" spans="2:31">
      <c r="B850" s="6" t="s">
        <v>333</v>
      </c>
      <c r="C850" s="122">
        <v>0.4</v>
      </c>
      <c r="D850" s="7"/>
      <c r="E850" s="9">
        <f>ROUNDUP(SUM(E843:E849)*C850,0)</f>
        <v>1066</v>
      </c>
      <c r="I850" s="6" t="s">
        <v>333</v>
      </c>
      <c r="J850" s="122">
        <v>0.4</v>
      </c>
      <c r="K850" s="7"/>
      <c r="L850" s="9">
        <f>ROUNDUP(SUM(L843:L849)*J850,0)</f>
        <v>220</v>
      </c>
      <c r="O850" s="6" t="s">
        <v>333</v>
      </c>
      <c r="P850" s="122">
        <v>0.4</v>
      </c>
      <c r="Q850" s="7"/>
      <c r="R850" s="9">
        <f>ROUNDUP(SUM(R843:R849)*P850,0)</f>
        <v>1284</v>
      </c>
      <c r="U850" s="6" t="s">
        <v>333</v>
      </c>
      <c r="V850" s="122">
        <v>0.4</v>
      </c>
      <c r="W850" s="7"/>
      <c r="X850" s="9">
        <f>ROUNDUP(SUM(X843:X849)*V850,0)</f>
        <v>554</v>
      </c>
      <c r="AA850" s="6" t="s">
        <v>333</v>
      </c>
      <c r="AB850" s="122">
        <v>0.4</v>
      </c>
      <c r="AC850" s="7"/>
      <c r="AD850" s="9">
        <f>ROUNDUP(SUM(AD843:AD849)*AB850,0)</f>
        <v>892</v>
      </c>
    </row>
    <row r="851" spans="2:31">
      <c r="B851" s="6" t="s">
        <v>210</v>
      </c>
      <c r="C851" s="122">
        <v>0.1</v>
      </c>
      <c r="D851" s="7"/>
      <c r="E851" s="9">
        <f>ROUNDUP(SUM(E843:E850)*C851,0)</f>
        <v>373</v>
      </c>
      <c r="I851" s="6" t="s">
        <v>210</v>
      </c>
      <c r="J851" s="122">
        <v>0.1</v>
      </c>
      <c r="K851" s="7"/>
      <c r="L851" s="9">
        <f>ROUNDUP(SUM(L843:L850)*J851,0)</f>
        <v>77</v>
      </c>
      <c r="O851" s="6" t="s">
        <v>210</v>
      </c>
      <c r="P851" s="122">
        <v>0.1</v>
      </c>
      <c r="Q851" s="7"/>
      <c r="R851" s="9">
        <f>ROUNDUP(SUM(R843:R850)*P851,0)</f>
        <v>450</v>
      </c>
      <c r="U851" s="6" t="s">
        <v>210</v>
      </c>
      <c r="V851" s="122">
        <v>0.1</v>
      </c>
      <c r="W851" s="7"/>
      <c r="X851" s="9">
        <f>ROUNDUP(SUM(X843:X850)*V851,0)</f>
        <v>194</v>
      </c>
      <c r="AA851" s="6" t="s">
        <v>210</v>
      </c>
      <c r="AB851" s="122">
        <v>0.1</v>
      </c>
      <c r="AC851" s="7"/>
      <c r="AD851" s="9">
        <f>ROUNDUP(SUM(AD843:AD850)*AB851,0)</f>
        <v>313</v>
      </c>
    </row>
    <row r="852" spans="2:31">
      <c r="B852" s="6" t="s">
        <v>0</v>
      </c>
      <c r="C852" s="241"/>
      <c r="D852" s="7"/>
      <c r="E852" s="9">
        <f>ROUNDUP(SUM(E840,E848:E851)*C852,0)</f>
        <v>0</v>
      </c>
      <c r="I852" s="6" t="s">
        <v>0</v>
      </c>
      <c r="J852" s="241"/>
      <c r="K852" s="7"/>
      <c r="L852" s="9">
        <f>ROUNDUP(SUM(L840,L848:L851)*J852,0)</f>
        <v>0</v>
      </c>
      <c r="O852" s="6" t="s">
        <v>0</v>
      </c>
      <c r="P852" s="241"/>
      <c r="Q852" s="7"/>
      <c r="R852" s="9">
        <f>ROUNDUP(SUM(R840,R848:R851)*P852,0)</f>
        <v>0</v>
      </c>
      <c r="U852" s="6" t="s">
        <v>0</v>
      </c>
      <c r="V852" s="241"/>
      <c r="W852" s="7"/>
      <c r="X852" s="9">
        <f>ROUNDUP(SUM(X840,X848:X851)*V852,0)</f>
        <v>0</v>
      </c>
      <c r="AA852" s="6" t="s">
        <v>0</v>
      </c>
      <c r="AB852" s="241"/>
      <c r="AC852" s="7"/>
      <c r="AD852" s="9">
        <f>ROUNDUP(SUM(AD840,AD848:AD851)*AB852,0)</f>
        <v>0</v>
      </c>
    </row>
    <row r="853" spans="2:31">
      <c r="B853" s="6" t="s">
        <v>261</v>
      </c>
      <c r="C853" s="241">
        <v>0.01</v>
      </c>
      <c r="D853" s="7"/>
      <c r="E853" s="9">
        <f>ROUNDUP(C853*SUM(E843:E852),0)</f>
        <v>42</v>
      </c>
      <c r="I853" s="6" t="s">
        <v>261</v>
      </c>
      <c r="J853" s="241">
        <v>0.01</v>
      </c>
      <c r="K853" s="7"/>
      <c r="L853" s="9">
        <f>ROUNDUP(J853*SUM(L843:L852),0)</f>
        <v>9</v>
      </c>
      <c r="O853" s="6" t="s">
        <v>261</v>
      </c>
      <c r="P853" s="241">
        <v>0.01</v>
      </c>
      <c r="Q853" s="7"/>
      <c r="R853" s="9">
        <f>ROUNDUP(P853*SUM(R843:R852),0)</f>
        <v>50</v>
      </c>
      <c r="U853" s="6" t="s">
        <v>261</v>
      </c>
      <c r="V853" s="241">
        <v>0.01</v>
      </c>
      <c r="W853" s="7"/>
      <c r="X853" s="9">
        <f>ROUNDUP(V853*SUM(X843:X852),0)</f>
        <v>22</v>
      </c>
      <c r="AA853" s="6" t="s">
        <v>261</v>
      </c>
      <c r="AB853" s="241">
        <v>0.01</v>
      </c>
      <c r="AC853" s="7"/>
      <c r="AD853" s="9">
        <f>ROUNDUP(AB853*SUM(AD843:AD852),0)</f>
        <v>35</v>
      </c>
    </row>
    <row r="854" spans="2:31">
      <c r="B854" s="45" t="s">
        <v>20</v>
      </c>
      <c r="C854" s="46"/>
      <c r="D854" s="15"/>
      <c r="E854" s="210">
        <f>ROUNDUP(SUM(E843:E853)*C854,0)</f>
        <v>0</v>
      </c>
      <c r="I854" s="45" t="s">
        <v>20</v>
      </c>
      <c r="J854" s="46"/>
      <c r="K854" s="15"/>
      <c r="L854" s="210">
        <f>ROUNDUP(SUM(L843:L853)*J854,0)</f>
        <v>0</v>
      </c>
      <c r="O854" s="45" t="s">
        <v>20</v>
      </c>
      <c r="P854" s="46"/>
      <c r="Q854" s="15"/>
      <c r="R854" s="210">
        <f>ROUNDUP(SUM(R843:R853)*P854,0)</f>
        <v>0</v>
      </c>
      <c r="U854" s="45" t="s">
        <v>20</v>
      </c>
      <c r="V854" s="46"/>
      <c r="W854" s="15"/>
      <c r="X854" s="210">
        <f>ROUNDUP(SUM(X843:X853)*V854,0)</f>
        <v>0</v>
      </c>
      <c r="AA854" s="45" t="s">
        <v>20</v>
      </c>
      <c r="AB854" s="46"/>
      <c r="AC854" s="15"/>
      <c r="AD854" s="210">
        <f>ROUNDUP(SUM(AD843:AD853)*AB854,0)</f>
        <v>0</v>
      </c>
    </row>
    <row r="855" spans="2:31">
      <c r="B855" s="1"/>
      <c r="C855" s="8"/>
      <c r="D855" s="7"/>
      <c r="E855" s="7"/>
      <c r="I855" s="1"/>
      <c r="J855" s="8"/>
      <c r="K855" s="7"/>
      <c r="L855" s="7"/>
      <c r="O855" s="1"/>
      <c r="P855" s="8"/>
      <c r="Q855" s="7"/>
      <c r="R855" s="7"/>
      <c r="U855" s="1"/>
      <c r="V855" s="8"/>
      <c r="W855" s="7"/>
      <c r="X855" s="7"/>
      <c r="AA855" s="1"/>
      <c r="AB855" s="8"/>
      <c r="AC855" s="7"/>
      <c r="AD855" s="7"/>
    </row>
    <row r="856" spans="2:31" ht="16.2" thickBot="1">
      <c r="B856" s="1"/>
      <c r="C856" s="1"/>
      <c r="D856" s="7"/>
      <c r="E856" s="7"/>
      <c r="F856" s="51" t="s">
        <v>338</v>
      </c>
      <c r="I856" s="1"/>
      <c r="J856" s="1"/>
      <c r="K856" s="7"/>
      <c r="L856" s="7"/>
      <c r="M856" s="51" t="s">
        <v>338</v>
      </c>
      <c r="N856" s="51"/>
      <c r="O856" s="1"/>
      <c r="P856" s="1"/>
      <c r="Q856" s="7"/>
      <c r="R856" s="7"/>
      <c r="S856" s="51" t="s">
        <v>334</v>
      </c>
      <c r="U856" s="1"/>
      <c r="V856" s="1"/>
      <c r="W856" s="7"/>
      <c r="X856" s="7"/>
      <c r="Y856" s="51" t="s">
        <v>334</v>
      </c>
      <c r="AA856" s="1"/>
      <c r="AB856" s="1"/>
      <c r="AC856" s="7"/>
      <c r="AD856" s="7"/>
      <c r="AE856" s="51" t="s">
        <v>334</v>
      </c>
    </row>
    <row r="857" spans="2:31" ht="16.2" thickBot="1">
      <c r="B857" s="289" t="s">
        <v>6</v>
      </c>
      <c r="C857" s="290"/>
      <c r="D857" s="291"/>
      <c r="E857" s="292">
        <f>SUM(E843:E854)</f>
        <v>4144</v>
      </c>
      <c r="F857" s="371">
        <f>E857/C837</f>
        <v>4.1440000000000001</v>
      </c>
      <c r="I857" s="289" t="s">
        <v>6</v>
      </c>
      <c r="J857" s="290"/>
      <c r="K857" s="291"/>
      <c r="L857" s="292">
        <f>SUM(L843:L854)</f>
        <v>854</v>
      </c>
      <c r="M857" s="371">
        <f>L857/J837</f>
        <v>4.2699999999999996</v>
      </c>
      <c r="N857" s="371"/>
      <c r="O857" s="289" t="s">
        <v>6</v>
      </c>
      <c r="P857" s="290"/>
      <c r="Q857" s="291"/>
      <c r="R857" s="292">
        <f>SUM(R843:R854)</f>
        <v>4992</v>
      </c>
      <c r="S857" s="371">
        <f>R857/P837</f>
        <v>4.992</v>
      </c>
      <c r="U857" s="289" t="s">
        <v>6</v>
      </c>
      <c r="V857" s="290"/>
      <c r="W857" s="291"/>
      <c r="X857" s="292">
        <f>SUM(X843:X854)</f>
        <v>2153</v>
      </c>
      <c r="Y857" s="371">
        <f>X857/V837</f>
        <v>2.153</v>
      </c>
      <c r="AA857" s="289" t="s">
        <v>6</v>
      </c>
      <c r="AB857" s="290"/>
      <c r="AC857" s="291"/>
      <c r="AD857" s="292">
        <f>SUM(AD843:AD854)</f>
        <v>3470</v>
      </c>
      <c r="AE857" s="371">
        <f>AD857/AB837</f>
        <v>3.47</v>
      </c>
    </row>
    <row r="859" spans="2:31">
      <c r="K859" t="s">
        <v>365</v>
      </c>
      <c r="M859" t="s">
        <v>366</v>
      </c>
    </row>
    <row r="860" spans="2:31">
      <c r="L860" s="28">
        <f>(L857/(J837/0.3))</f>
        <v>1.2809999999999999</v>
      </c>
      <c r="M860" s="28">
        <f>(L857/(J837/0.15))</f>
        <v>0.64049999999999996</v>
      </c>
      <c r="N860" s="28"/>
      <c r="O860" s="28"/>
      <c r="P860" s="28"/>
      <c r="Q860" s="28"/>
      <c r="R860" s="28"/>
      <c r="S860" s="28"/>
    </row>
    <row r="861" spans="2:31">
      <c r="B861" s="1897" t="s">
        <v>370</v>
      </c>
      <c r="C861" s="1898"/>
      <c r="D861" s="1898"/>
      <c r="E861" s="1899"/>
      <c r="I861" s="1897" t="s">
        <v>371</v>
      </c>
      <c r="J861" s="1898"/>
      <c r="K861" s="1898"/>
      <c r="L861" s="1899"/>
      <c r="O861" s="1897" t="s">
        <v>372</v>
      </c>
      <c r="P861" s="1898"/>
      <c r="Q861" s="1898"/>
      <c r="R861" s="1899"/>
    </row>
    <row r="862" spans="2:31">
      <c r="B862" s="5" t="s">
        <v>327</v>
      </c>
      <c r="C862" s="30" t="s">
        <v>11</v>
      </c>
      <c r="D862" s="30" t="s">
        <v>1</v>
      </c>
      <c r="E862" s="31" t="s">
        <v>2</v>
      </c>
      <c r="I862" s="5" t="s">
        <v>327</v>
      </c>
      <c r="J862" s="30" t="s">
        <v>11</v>
      </c>
      <c r="K862" s="30" t="s">
        <v>1</v>
      </c>
      <c r="L862" s="31" t="s">
        <v>2</v>
      </c>
      <c r="O862" s="5" t="s">
        <v>327</v>
      </c>
      <c r="P862" s="30" t="s">
        <v>11</v>
      </c>
      <c r="Q862" s="30" t="s">
        <v>1</v>
      </c>
      <c r="R862" s="31" t="s">
        <v>2</v>
      </c>
    </row>
    <row r="863" spans="2:31">
      <c r="B863" s="32" t="s">
        <v>373</v>
      </c>
      <c r="C863" s="32">
        <v>10</v>
      </c>
      <c r="D863" s="33">
        <v>88</v>
      </c>
      <c r="E863" s="34">
        <f t="shared" ref="E863:E866" si="158">C863*D863</f>
        <v>880</v>
      </c>
      <c r="I863" s="32" t="s">
        <v>373</v>
      </c>
      <c r="J863" s="32">
        <f>(12/1600)*1000</f>
        <v>7.5</v>
      </c>
      <c r="K863" s="33">
        <v>88</v>
      </c>
      <c r="L863" s="34">
        <f t="shared" ref="L863:L866" si="159">J863*K863</f>
        <v>660</v>
      </c>
      <c r="O863" s="32" t="s">
        <v>374</v>
      </c>
      <c r="P863" s="32">
        <v>18</v>
      </c>
      <c r="Q863" s="33">
        <v>88</v>
      </c>
      <c r="R863" s="34">
        <f t="shared" ref="R863:R866" si="160">P863*Q863</f>
        <v>1584</v>
      </c>
    </row>
    <row r="864" spans="2:31">
      <c r="B864" s="32"/>
      <c r="C864" s="32"/>
      <c r="D864" s="33"/>
      <c r="E864" s="34">
        <f t="shared" si="158"/>
        <v>0</v>
      </c>
      <c r="I864" s="32"/>
      <c r="J864" s="32"/>
      <c r="K864" s="33"/>
      <c r="L864" s="34">
        <f t="shared" si="159"/>
        <v>0</v>
      </c>
      <c r="O864" s="32"/>
      <c r="P864" s="32"/>
      <c r="Q864" s="33"/>
      <c r="R864" s="34">
        <f t="shared" si="160"/>
        <v>0</v>
      </c>
    </row>
    <row r="865" spans="2:18">
      <c r="B865" s="32"/>
      <c r="C865" s="32"/>
      <c r="D865" s="33"/>
      <c r="E865" s="34">
        <f t="shared" si="158"/>
        <v>0</v>
      </c>
      <c r="I865" s="32"/>
      <c r="J865" s="32"/>
      <c r="K865" s="33"/>
      <c r="L865" s="34">
        <f t="shared" si="159"/>
        <v>0</v>
      </c>
      <c r="O865" s="32"/>
      <c r="P865" s="32"/>
      <c r="Q865" s="33"/>
      <c r="R865" s="34">
        <f t="shared" si="160"/>
        <v>0</v>
      </c>
    </row>
    <row r="866" spans="2:18">
      <c r="B866" s="322"/>
      <c r="C866" s="323"/>
      <c r="D866" s="26"/>
      <c r="E866" s="27">
        <f t="shared" si="158"/>
        <v>0</v>
      </c>
      <c r="I866" s="322"/>
      <c r="J866" s="323"/>
      <c r="K866" s="26"/>
      <c r="L866" s="27">
        <f t="shared" si="159"/>
        <v>0</v>
      </c>
      <c r="O866" s="322"/>
      <c r="P866" s="323"/>
      <c r="Q866" s="26"/>
      <c r="R866" s="27">
        <f t="shared" si="160"/>
        <v>0</v>
      </c>
    </row>
    <row r="867" spans="2:18">
      <c r="B867" s="17" t="s">
        <v>10</v>
      </c>
      <c r="C867" s="35"/>
      <c r="D867" s="18"/>
      <c r="E867" s="19">
        <f>ROUNDUP(SUM(E863:E866),0)</f>
        <v>880</v>
      </c>
      <c r="I867" s="17" t="s">
        <v>10</v>
      </c>
      <c r="J867" s="35"/>
      <c r="K867" s="18"/>
      <c r="L867" s="19">
        <f>ROUNDUP(SUM(L863:L866),0)</f>
        <v>660</v>
      </c>
      <c r="O867" s="17" t="s">
        <v>10</v>
      </c>
      <c r="P867" s="35"/>
      <c r="Q867" s="18"/>
      <c r="R867" s="19">
        <f>ROUNDUP(SUM(R863:R866),0)</f>
        <v>1584</v>
      </c>
    </row>
    <row r="868" spans="2:18">
      <c r="B868" s="20" t="s">
        <v>328</v>
      </c>
      <c r="C868" s="270">
        <v>0</v>
      </c>
      <c r="D868" s="21"/>
      <c r="E868" s="22">
        <f>ROUNDUP(E867*C868,0)</f>
        <v>0</v>
      </c>
      <c r="I868" s="20" t="s">
        <v>328</v>
      </c>
      <c r="J868" s="270">
        <v>0</v>
      </c>
      <c r="K868" s="21"/>
      <c r="L868" s="22">
        <f>ROUNDUP(L867*J868,0)</f>
        <v>0</v>
      </c>
      <c r="O868" s="20" t="s">
        <v>328</v>
      </c>
      <c r="P868" s="270">
        <v>0</v>
      </c>
      <c r="Q868" s="21"/>
      <c r="R868" s="22">
        <f>ROUNDUP(R867*P868,0)</f>
        <v>0</v>
      </c>
    </row>
    <row r="869" spans="2:18">
      <c r="B869" s="10" t="s">
        <v>3</v>
      </c>
      <c r="C869" s="36"/>
      <c r="D869" s="13"/>
      <c r="E869" s="16">
        <f>SUM(E867:E868)</f>
        <v>880</v>
      </c>
      <c r="I869" s="10" t="s">
        <v>3</v>
      </c>
      <c r="J869" s="36"/>
      <c r="K869" s="13"/>
      <c r="L869" s="16">
        <f>SUM(L867:L868)</f>
        <v>660</v>
      </c>
      <c r="O869" s="10" t="s">
        <v>3</v>
      </c>
      <c r="P869" s="36"/>
      <c r="Q869" s="13"/>
      <c r="R869" s="16">
        <f>SUM(R867:R868)</f>
        <v>1584</v>
      </c>
    </row>
    <row r="870" spans="2:18">
      <c r="B870" s="39" t="s">
        <v>16</v>
      </c>
      <c r="C870" s="40">
        <v>0.1</v>
      </c>
      <c r="D870" s="41"/>
      <c r="E870" s="42">
        <f>ROUNDUP(E867*C870,0)</f>
        <v>88</v>
      </c>
      <c r="I870" s="39" t="s">
        <v>16</v>
      </c>
      <c r="J870" s="40">
        <v>0.1</v>
      </c>
      <c r="K870" s="41"/>
      <c r="L870" s="42">
        <f>ROUNDUP(L867*J870,0)</f>
        <v>66</v>
      </c>
      <c r="O870" s="39" t="s">
        <v>16</v>
      </c>
      <c r="P870" s="40">
        <v>0.1</v>
      </c>
      <c r="Q870" s="41"/>
      <c r="R870" s="42">
        <f>ROUNDUP(R867*P870,0)</f>
        <v>159</v>
      </c>
    </row>
    <row r="871" spans="2:18">
      <c r="B871" s="1"/>
      <c r="C871" s="32"/>
      <c r="D871" s="7"/>
      <c r="E871" s="7"/>
      <c r="I871" s="1"/>
      <c r="J871" s="32"/>
      <c r="K871" s="7"/>
      <c r="L871" s="7"/>
      <c r="O871" s="1"/>
      <c r="P871" s="32"/>
      <c r="Q871" s="7"/>
      <c r="R871" s="7"/>
    </row>
    <row r="872" spans="2:18">
      <c r="B872" s="5" t="s">
        <v>329</v>
      </c>
      <c r="C872" s="30" t="s">
        <v>11</v>
      </c>
      <c r="D872" s="11" t="s">
        <v>1</v>
      </c>
      <c r="E872" s="344" t="s">
        <v>2</v>
      </c>
      <c r="I872" s="5" t="s">
        <v>329</v>
      </c>
      <c r="J872" s="30" t="s">
        <v>11</v>
      </c>
      <c r="K872" s="11" t="s">
        <v>1</v>
      </c>
      <c r="L872" s="344" t="s">
        <v>2</v>
      </c>
      <c r="O872" s="5" t="s">
        <v>329</v>
      </c>
      <c r="P872" s="30" t="s">
        <v>11</v>
      </c>
      <c r="Q872" s="11" t="s">
        <v>1</v>
      </c>
      <c r="R872" s="344" t="s">
        <v>2</v>
      </c>
    </row>
    <row r="873" spans="2:18">
      <c r="B873" s="6"/>
      <c r="C873" s="37"/>
      <c r="D873" s="7"/>
      <c r="E873" s="9">
        <f>ROUNDUP(C873*D873,0)</f>
        <v>0</v>
      </c>
      <c r="I873" s="6"/>
      <c r="J873" s="37"/>
      <c r="K873" s="7"/>
      <c r="L873" s="9">
        <f>ROUNDUP(J873*K873,0)</f>
        <v>0</v>
      </c>
      <c r="O873" s="6"/>
      <c r="P873" s="37"/>
      <c r="Q873" s="7"/>
      <c r="R873" s="9">
        <f>ROUNDUP(P873*Q873,0)</f>
        <v>0</v>
      </c>
    </row>
    <row r="874" spans="2:18">
      <c r="B874" s="6"/>
      <c r="C874" s="37"/>
      <c r="D874" s="7"/>
      <c r="E874" s="9">
        <f t="shared" ref="E874:E875" si="161">ROUNDUP(C874*D874,0)</f>
        <v>0</v>
      </c>
      <c r="I874" s="6"/>
      <c r="J874" s="37"/>
      <c r="K874" s="7"/>
      <c r="L874" s="9">
        <f t="shared" ref="L874:L875" si="162">ROUNDUP(J874*K874,0)</f>
        <v>0</v>
      </c>
      <c r="O874" s="6"/>
      <c r="P874" s="37"/>
      <c r="Q874" s="7"/>
      <c r="R874" s="9">
        <f t="shared" ref="R874:R875" si="163">ROUNDUP(P874*Q874,0)</f>
        <v>0</v>
      </c>
    </row>
    <row r="875" spans="2:18">
      <c r="B875" s="6"/>
      <c r="C875" s="37"/>
      <c r="D875" s="7"/>
      <c r="E875" s="9">
        <f t="shared" si="161"/>
        <v>0</v>
      </c>
      <c r="I875" s="6"/>
      <c r="J875" s="37"/>
      <c r="K875" s="7"/>
      <c r="L875" s="9">
        <f t="shared" si="162"/>
        <v>0</v>
      </c>
      <c r="O875" s="6"/>
      <c r="P875" s="37"/>
      <c r="Q875" s="7"/>
      <c r="R875" s="9">
        <f t="shared" si="163"/>
        <v>0</v>
      </c>
    </row>
    <row r="876" spans="2:18">
      <c r="B876" s="10" t="s">
        <v>4</v>
      </c>
      <c r="C876" s="36"/>
      <c r="D876" s="13"/>
      <c r="E876" s="16">
        <f>SUM(E873:E875)</f>
        <v>0</v>
      </c>
      <c r="I876" s="10" t="s">
        <v>4</v>
      </c>
      <c r="J876" s="36"/>
      <c r="K876" s="13"/>
      <c r="L876" s="16">
        <f>SUM(L873:L875)</f>
        <v>0</v>
      </c>
      <c r="O876" s="10" t="s">
        <v>4</v>
      </c>
      <c r="P876" s="36"/>
      <c r="Q876" s="13"/>
      <c r="R876" s="16">
        <f>SUM(R873:R875)</f>
        <v>0</v>
      </c>
    </row>
    <row r="877" spans="2:18">
      <c r="B877" s="1"/>
      <c r="C877" s="32"/>
      <c r="D877" s="7"/>
      <c r="E877" s="7"/>
      <c r="I877" s="1"/>
      <c r="J877" s="32"/>
      <c r="K877" s="7"/>
      <c r="L877" s="7"/>
      <c r="O877" s="1"/>
      <c r="P877" s="32"/>
      <c r="Q877" s="7"/>
      <c r="R877" s="7"/>
    </row>
    <row r="878" spans="2:18">
      <c r="B878" s="1"/>
      <c r="C878" s="32"/>
      <c r="D878" s="7"/>
      <c r="E878" s="7"/>
      <c r="I878" s="1"/>
      <c r="J878" s="32"/>
      <c r="K878" s="7"/>
      <c r="L878" s="7"/>
      <c r="O878" s="1"/>
      <c r="P878" s="32"/>
      <c r="Q878" s="7"/>
      <c r="R878" s="7"/>
    </row>
    <row r="879" spans="2:18">
      <c r="B879" s="280" t="s">
        <v>9</v>
      </c>
      <c r="C879" s="281"/>
      <c r="D879" s="282"/>
      <c r="E879" s="283">
        <f>SUM(E869,E876,E870)</f>
        <v>968</v>
      </c>
      <c r="I879" s="280" t="s">
        <v>9</v>
      </c>
      <c r="J879" s="281"/>
      <c r="K879" s="282"/>
      <c r="L879" s="283">
        <f>SUM(L869,L876,L870)</f>
        <v>726</v>
      </c>
      <c r="O879" s="280" t="s">
        <v>9</v>
      </c>
      <c r="P879" s="281"/>
      <c r="Q879" s="282"/>
      <c r="R879" s="283">
        <f>SUM(R869,R876,R870)</f>
        <v>1743</v>
      </c>
    </row>
    <row r="880" spans="2:18">
      <c r="B880" s="1"/>
      <c r="C880" s="32"/>
      <c r="D880" s="7"/>
      <c r="E880" s="7"/>
      <c r="I880" s="1"/>
      <c r="J880" s="32"/>
      <c r="K880" s="7"/>
      <c r="L880" s="7"/>
      <c r="O880" s="1"/>
      <c r="P880" s="32"/>
      <c r="Q880" s="7"/>
      <c r="R880" s="7"/>
    </row>
    <row r="881" spans="2:19">
      <c r="B881" s="5" t="s">
        <v>8</v>
      </c>
      <c r="C881" s="30" t="s">
        <v>7</v>
      </c>
      <c r="D881" s="14"/>
      <c r="E881" s="12"/>
      <c r="I881" s="5" t="s">
        <v>8</v>
      </c>
      <c r="J881" s="30" t="s">
        <v>7</v>
      </c>
      <c r="K881" s="14"/>
      <c r="L881" s="12"/>
      <c r="O881" s="5" t="s">
        <v>8</v>
      </c>
      <c r="P881" s="30" t="s">
        <v>7</v>
      </c>
      <c r="Q881" s="14"/>
      <c r="R881" s="12"/>
    </row>
    <row r="882" spans="2:19">
      <c r="B882" s="6" t="s">
        <v>15</v>
      </c>
      <c r="C882" s="241">
        <v>9.0999999999999998E-2</v>
      </c>
      <c r="D882" s="209"/>
      <c r="E882" s="9">
        <f>ROUNDUP((SUM(E869:E870)*C882),0)</f>
        <v>89</v>
      </c>
      <c r="I882" s="6" t="s">
        <v>15</v>
      </c>
      <c r="J882" s="241">
        <v>9.0999999999999998E-2</v>
      </c>
      <c r="K882" s="209"/>
      <c r="L882" s="9">
        <f>ROUNDUP((SUM(L869:L870)*J882),0)</f>
        <v>67</v>
      </c>
      <c r="O882" s="6" t="s">
        <v>15</v>
      </c>
      <c r="P882" s="241">
        <v>9.0999999999999998E-2</v>
      </c>
      <c r="Q882" s="209"/>
      <c r="R882" s="9">
        <f>ROUNDUP((SUM(R869:R870)*P882),0)</f>
        <v>159</v>
      </c>
    </row>
    <row r="883" spans="2:19">
      <c r="B883" s="6" t="s">
        <v>362</v>
      </c>
      <c r="C883" s="241">
        <v>0.03</v>
      </c>
      <c r="D883" s="209"/>
      <c r="E883" s="9">
        <f>ROUNDUP(SUM(E876)*C883,0)</f>
        <v>0</v>
      </c>
      <c r="I883" s="6" t="s">
        <v>362</v>
      </c>
      <c r="J883" s="241">
        <v>0.03</v>
      </c>
      <c r="K883" s="209"/>
      <c r="L883" s="9">
        <f>ROUNDUP(SUM(L876)*J883,0)</f>
        <v>0</v>
      </c>
      <c r="O883" s="6" t="s">
        <v>362</v>
      </c>
      <c r="P883" s="241">
        <v>0.03</v>
      </c>
      <c r="Q883" s="209"/>
      <c r="R883" s="9">
        <f>ROUNDUP(SUM(R876)*P883,0)</f>
        <v>0</v>
      </c>
    </row>
    <row r="884" spans="2:19">
      <c r="B884" s="6" t="s">
        <v>363</v>
      </c>
      <c r="C884" s="241">
        <v>0.01</v>
      </c>
      <c r="D884" s="209"/>
      <c r="E884" s="9">
        <f>ROUNDUP(SUM(E876)*C884,0)</f>
        <v>0</v>
      </c>
      <c r="I884" s="6" t="s">
        <v>363</v>
      </c>
      <c r="J884" s="241">
        <v>0.01</v>
      </c>
      <c r="K884" s="209"/>
      <c r="L884" s="9">
        <f>ROUNDUP(SUM(L876)*J884,0)</f>
        <v>0</v>
      </c>
      <c r="O884" s="6" t="s">
        <v>363</v>
      </c>
      <c r="P884" s="241">
        <v>0.01</v>
      </c>
      <c r="Q884" s="209"/>
      <c r="R884" s="9">
        <f>ROUNDUP(SUM(R876)*P884,0)</f>
        <v>0</v>
      </c>
    </row>
    <row r="885" spans="2:19">
      <c r="B885" s="6" t="s">
        <v>364</v>
      </c>
      <c r="C885" s="241">
        <v>0.03</v>
      </c>
      <c r="D885" s="209"/>
      <c r="E885" s="9">
        <f>ROUNDUP(SUM(E876)*C885,0)</f>
        <v>0</v>
      </c>
      <c r="I885" s="6" t="s">
        <v>364</v>
      </c>
      <c r="J885" s="241">
        <v>0.03</v>
      </c>
      <c r="K885" s="209"/>
      <c r="L885" s="9">
        <f>ROUNDUP(SUM(L876)*J885,0)</f>
        <v>0</v>
      </c>
      <c r="O885" s="6" t="s">
        <v>364</v>
      </c>
      <c r="P885" s="241">
        <v>0.03</v>
      </c>
      <c r="Q885" s="209"/>
      <c r="R885" s="9">
        <f>ROUNDUP(SUM(R876)*P885,0)</f>
        <v>0</v>
      </c>
    </row>
    <row r="886" spans="2:19">
      <c r="B886" s="6" t="s">
        <v>333</v>
      </c>
      <c r="C886" s="122">
        <v>0.32</v>
      </c>
      <c r="D886" s="7"/>
      <c r="E886" s="9">
        <f>ROUNDUP(SUM(E879:E885)*C886,0)</f>
        <v>339</v>
      </c>
      <c r="I886" s="6" t="s">
        <v>333</v>
      </c>
      <c r="J886" s="122">
        <v>0.32</v>
      </c>
      <c r="K886" s="7"/>
      <c r="L886" s="9">
        <f>ROUNDUP(SUM(L879:L885)*J886,0)</f>
        <v>254</v>
      </c>
      <c r="O886" s="6" t="s">
        <v>333</v>
      </c>
      <c r="P886" s="122">
        <v>0.32</v>
      </c>
      <c r="Q886" s="7"/>
      <c r="R886" s="9">
        <f>ROUNDUP(SUM(R879:R885)*P886,0)</f>
        <v>609</v>
      </c>
    </row>
    <row r="887" spans="2:19">
      <c r="B887" s="6" t="s">
        <v>210</v>
      </c>
      <c r="C887" s="122">
        <v>0</v>
      </c>
      <c r="D887" s="7"/>
      <c r="E887" s="9">
        <f>ROUNDUP(SUM(E879:E886)*C887,0)</f>
        <v>0</v>
      </c>
      <c r="I887" s="6" t="s">
        <v>210</v>
      </c>
      <c r="J887" s="122">
        <v>0</v>
      </c>
      <c r="K887" s="7"/>
      <c r="L887" s="9">
        <f>ROUNDUP(SUM(L879:L886)*J887,0)</f>
        <v>0</v>
      </c>
      <c r="O887" s="6" t="s">
        <v>210</v>
      </c>
      <c r="P887" s="122">
        <v>0</v>
      </c>
      <c r="Q887" s="7"/>
      <c r="R887" s="9">
        <f>ROUNDUP(SUM(R879:R886)*P887,0)</f>
        <v>0</v>
      </c>
    </row>
    <row r="888" spans="2:19">
      <c r="B888" s="6" t="s">
        <v>0</v>
      </c>
      <c r="C888" s="241"/>
      <c r="D888" s="7"/>
      <c r="E888" s="9">
        <f>ROUNDUP(SUM(E876,E884:E887)*C888,0)</f>
        <v>0</v>
      </c>
      <c r="I888" s="6" t="s">
        <v>0</v>
      </c>
      <c r="J888" s="241"/>
      <c r="K888" s="7"/>
      <c r="L888" s="9">
        <f>ROUNDUP(SUM(L876,L884:L887)*J888,0)</f>
        <v>0</v>
      </c>
      <c r="O888" s="6" t="s">
        <v>0</v>
      </c>
      <c r="P888" s="241"/>
      <c r="Q888" s="7"/>
      <c r="R888" s="9">
        <f>ROUNDUP(SUM(R876,R884:R887)*P888,0)</f>
        <v>0</v>
      </c>
    </row>
    <row r="889" spans="2:19">
      <c r="B889" s="6" t="s">
        <v>261</v>
      </c>
      <c r="C889" s="241">
        <v>0.01</v>
      </c>
      <c r="D889" s="7"/>
      <c r="E889" s="9">
        <f>ROUNDUP(C889*SUM(E879:E888),0)</f>
        <v>14</v>
      </c>
      <c r="I889" s="6" t="s">
        <v>261</v>
      </c>
      <c r="J889" s="241">
        <v>0.01</v>
      </c>
      <c r="K889" s="7"/>
      <c r="L889" s="9">
        <f>ROUNDUP(J889*SUM(L879:L888),0)</f>
        <v>11</v>
      </c>
      <c r="O889" s="6" t="s">
        <v>261</v>
      </c>
      <c r="P889" s="241">
        <v>0.01</v>
      </c>
      <c r="Q889" s="7"/>
      <c r="R889" s="9">
        <f>ROUNDUP(P889*SUM(R879:R888),0)</f>
        <v>26</v>
      </c>
    </row>
    <row r="890" spans="2:19">
      <c r="B890" s="45" t="s">
        <v>20</v>
      </c>
      <c r="C890" s="46"/>
      <c r="D890" s="15"/>
      <c r="E890" s="210">
        <f>ROUNDUP(SUM(E879:E889)*C890,0)</f>
        <v>0</v>
      </c>
      <c r="I890" s="45" t="s">
        <v>20</v>
      </c>
      <c r="J890" s="46"/>
      <c r="K890" s="15"/>
      <c r="L890" s="210">
        <f>ROUNDUP(SUM(L879:L889)*J890,0)</f>
        <v>0</v>
      </c>
      <c r="O890" s="45" t="s">
        <v>20</v>
      </c>
      <c r="P890" s="46"/>
      <c r="Q890" s="15"/>
      <c r="R890" s="210">
        <f>ROUNDUP(SUM(R879:R889)*P890,0)</f>
        <v>0</v>
      </c>
    </row>
    <row r="891" spans="2:19">
      <c r="B891" s="1"/>
      <c r="C891" s="8"/>
      <c r="D891" s="7"/>
      <c r="E891" s="7"/>
      <c r="I891" s="1"/>
      <c r="J891" s="8"/>
      <c r="K891" s="7"/>
      <c r="L891" s="7"/>
      <c r="O891" s="1"/>
      <c r="P891" s="8"/>
      <c r="Q891" s="7"/>
      <c r="R891" s="7"/>
    </row>
    <row r="892" spans="2:19" ht="16.2" thickBot="1">
      <c r="B892" s="1"/>
      <c r="C892" s="1"/>
      <c r="D892" s="7"/>
      <c r="E892" s="7"/>
      <c r="F892" s="51" t="s">
        <v>334</v>
      </c>
      <c r="I892" s="1"/>
      <c r="J892" s="1"/>
      <c r="K892" s="7"/>
      <c r="L892" s="7"/>
      <c r="M892" s="51" t="s">
        <v>334</v>
      </c>
      <c r="O892" s="1"/>
      <c r="P892" s="1"/>
      <c r="Q892" s="7"/>
      <c r="R892" s="7"/>
      <c r="S892" s="51" t="s">
        <v>334</v>
      </c>
    </row>
    <row r="893" spans="2:19" ht="16.2" thickBot="1">
      <c r="B893" s="289" t="s">
        <v>6</v>
      </c>
      <c r="C893" s="290"/>
      <c r="D893" s="291"/>
      <c r="E893" s="292">
        <f>SUM(E879:E890)</f>
        <v>1410</v>
      </c>
      <c r="F893" s="371">
        <f>E893/1000</f>
        <v>1.41</v>
      </c>
      <c r="I893" s="289" t="s">
        <v>6</v>
      </c>
      <c r="J893" s="290"/>
      <c r="K893" s="291"/>
      <c r="L893" s="292">
        <f>SUM(L879:L890)</f>
        <v>1058</v>
      </c>
      <c r="M893" s="371">
        <f>L893/1000</f>
        <v>1.0580000000000001</v>
      </c>
      <c r="O893" s="289" t="s">
        <v>6</v>
      </c>
      <c r="P893" s="290"/>
      <c r="Q893" s="291"/>
      <c r="R893" s="292">
        <f>SUM(R879:R890)</f>
        <v>2537</v>
      </c>
      <c r="S893" s="371">
        <f>R893/1000</f>
        <v>2.5369999999999999</v>
      </c>
    </row>
    <row r="896" spans="2:19">
      <c r="B896" s="1897" t="s">
        <v>323</v>
      </c>
      <c r="C896" s="1898"/>
      <c r="D896" s="1898"/>
      <c r="E896" s="1899"/>
      <c r="I896" s="1897" t="s">
        <v>324</v>
      </c>
      <c r="J896" s="1898"/>
      <c r="K896" s="1898"/>
      <c r="L896" s="1899"/>
    </row>
    <row r="897" spans="2:12">
      <c r="B897" s="5" t="s">
        <v>327</v>
      </c>
      <c r="C897" s="30" t="s">
        <v>11</v>
      </c>
      <c r="D897" s="30" t="s">
        <v>1</v>
      </c>
      <c r="E897" s="31" t="s">
        <v>2</v>
      </c>
      <c r="I897" s="5" t="s">
        <v>327</v>
      </c>
      <c r="J897" s="30" t="s">
        <v>11</v>
      </c>
      <c r="K897" s="30" t="s">
        <v>1</v>
      </c>
      <c r="L897" s="31" t="s">
        <v>2</v>
      </c>
    </row>
    <row r="898" spans="2:12">
      <c r="B898" s="32"/>
      <c r="C898" s="32"/>
      <c r="D898" s="33"/>
      <c r="E898" s="34">
        <f t="shared" ref="E898:E901" si="164">C898*D898</f>
        <v>0</v>
      </c>
      <c r="I898" s="32"/>
      <c r="J898" s="32"/>
      <c r="K898" s="33"/>
      <c r="L898" s="34">
        <f t="shared" ref="L898:L901" si="165">J898*K898</f>
        <v>0</v>
      </c>
    </row>
    <row r="899" spans="2:12">
      <c r="B899" s="32"/>
      <c r="C899" s="32"/>
      <c r="D899" s="33"/>
      <c r="E899" s="34">
        <f t="shared" si="164"/>
        <v>0</v>
      </c>
      <c r="I899" s="32"/>
      <c r="J899" s="32"/>
      <c r="K899" s="33"/>
      <c r="L899" s="34">
        <f t="shared" si="165"/>
        <v>0</v>
      </c>
    </row>
    <row r="900" spans="2:12">
      <c r="B900" s="32"/>
      <c r="C900" s="32"/>
      <c r="D900" s="33"/>
      <c r="E900" s="34">
        <f t="shared" si="164"/>
        <v>0</v>
      </c>
      <c r="I900" s="32"/>
      <c r="J900" s="32"/>
      <c r="K900" s="33"/>
      <c r="L900" s="34">
        <f t="shared" si="165"/>
        <v>0</v>
      </c>
    </row>
    <row r="901" spans="2:12">
      <c r="B901" s="322"/>
      <c r="C901" s="323"/>
      <c r="D901" s="26"/>
      <c r="E901" s="27">
        <f t="shared" si="164"/>
        <v>0</v>
      </c>
      <c r="I901" s="322"/>
      <c r="J901" s="323"/>
      <c r="K901" s="26"/>
      <c r="L901" s="27">
        <f t="shared" si="165"/>
        <v>0</v>
      </c>
    </row>
    <row r="902" spans="2:12">
      <c r="B902" s="17" t="s">
        <v>10</v>
      </c>
      <c r="C902" s="35"/>
      <c r="D902" s="18"/>
      <c r="E902" s="19">
        <f>ROUNDUP(SUM(E898:E901),0)</f>
        <v>0</v>
      </c>
      <c r="I902" s="17" t="s">
        <v>10</v>
      </c>
      <c r="J902" s="35"/>
      <c r="K902" s="18"/>
      <c r="L902" s="19">
        <f>ROUNDUP(SUM(L898:L901),0)</f>
        <v>0</v>
      </c>
    </row>
    <row r="903" spans="2:12">
      <c r="B903" s="20" t="s">
        <v>328</v>
      </c>
      <c r="C903" s="270">
        <v>0</v>
      </c>
      <c r="D903" s="21"/>
      <c r="E903" s="22">
        <f>ROUNDUP(E902*C903,0)</f>
        <v>0</v>
      </c>
      <c r="I903" s="20" t="s">
        <v>328</v>
      </c>
      <c r="J903" s="270">
        <v>0</v>
      </c>
      <c r="K903" s="21"/>
      <c r="L903" s="22">
        <f>ROUNDUP(L902*J903,0)</f>
        <v>0</v>
      </c>
    </row>
    <row r="904" spans="2:12">
      <c r="B904" s="10" t="s">
        <v>3</v>
      </c>
      <c r="C904" s="36"/>
      <c r="D904" s="13"/>
      <c r="E904" s="16">
        <f>SUM(E902:E903)</f>
        <v>0</v>
      </c>
      <c r="I904" s="10" t="s">
        <v>3</v>
      </c>
      <c r="J904" s="36"/>
      <c r="K904" s="13"/>
      <c r="L904" s="16">
        <f>SUM(L902:L903)</f>
        <v>0</v>
      </c>
    </row>
    <row r="905" spans="2:12">
      <c r="B905" s="39" t="s">
        <v>16</v>
      </c>
      <c r="C905" s="40">
        <v>0.1</v>
      </c>
      <c r="D905" s="41"/>
      <c r="E905" s="42">
        <f>ROUNDUP(E902*C905,0)</f>
        <v>0</v>
      </c>
      <c r="I905" s="39" t="s">
        <v>16</v>
      </c>
      <c r="J905" s="40">
        <v>0.1</v>
      </c>
      <c r="K905" s="41"/>
      <c r="L905" s="42">
        <f>ROUNDUP(L902*J905,0)</f>
        <v>0</v>
      </c>
    </row>
    <row r="906" spans="2:12">
      <c r="B906" s="1"/>
      <c r="C906" s="32"/>
      <c r="D906" s="7"/>
      <c r="E906" s="7"/>
      <c r="I906" s="1"/>
      <c r="J906" s="32"/>
      <c r="K906" s="7"/>
      <c r="L906" s="7"/>
    </row>
    <row r="907" spans="2:12">
      <c r="B907" s="5" t="s">
        <v>329</v>
      </c>
      <c r="C907" s="30" t="s">
        <v>11</v>
      </c>
      <c r="D907" s="11" t="s">
        <v>1</v>
      </c>
      <c r="E907" s="344" t="s">
        <v>2</v>
      </c>
      <c r="I907" s="5" t="s">
        <v>329</v>
      </c>
      <c r="J907" s="30" t="s">
        <v>11</v>
      </c>
      <c r="K907" s="11" t="s">
        <v>1</v>
      </c>
      <c r="L907" s="344" t="s">
        <v>2</v>
      </c>
    </row>
    <row r="908" spans="2:12">
      <c r="B908" s="6" t="s">
        <v>375</v>
      </c>
      <c r="C908" s="37">
        <v>1</v>
      </c>
      <c r="D908" s="7">
        <v>100</v>
      </c>
      <c r="E908" s="9">
        <f>ROUNDUP(C908*D908,0)</f>
        <v>100</v>
      </c>
      <c r="I908" s="6" t="s">
        <v>375</v>
      </c>
      <c r="J908" s="37">
        <v>5</v>
      </c>
      <c r="K908" s="7">
        <v>100</v>
      </c>
      <c r="L908" s="9">
        <f>ROUNDUP(J908*K908,0)</f>
        <v>500</v>
      </c>
    </row>
    <row r="909" spans="2:12">
      <c r="B909" s="6" t="s">
        <v>376</v>
      </c>
      <c r="C909" s="381">
        <v>1</v>
      </c>
      <c r="D909" s="7">
        <v>50</v>
      </c>
      <c r="E909" s="9">
        <f t="shared" ref="E909:E910" si="166">ROUNDUP(C909*D909,0)</f>
        <v>50</v>
      </c>
      <c r="I909" s="6" t="s">
        <v>376</v>
      </c>
      <c r="J909" s="381">
        <v>5</v>
      </c>
      <c r="K909" s="7">
        <v>50</v>
      </c>
      <c r="L909" s="9">
        <f t="shared" ref="L909:L910" si="167">ROUNDUP(J909*K909,0)</f>
        <v>250</v>
      </c>
    </row>
    <row r="910" spans="2:12">
      <c r="B910" s="6"/>
      <c r="C910" s="37"/>
      <c r="D910" s="7"/>
      <c r="E910" s="9">
        <f t="shared" si="166"/>
        <v>0</v>
      </c>
      <c r="I910" s="6"/>
      <c r="J910" s="37"/>
      <c r="K910" s="7"/>
      <c r="L910" s="9">
        <f t="shared" si="167"/>
        <v>0</v>
      </c>
    </row>
    <row r="911" spans="2:12">
      <c r="B911" s="10" t="s">
        <v>4</v>
      </c>
      <c r="C911" s="36"/>
      <c r="D911" s="13"/>
      <c r="E911" s="16">
        <f>SUM(E908:E910)</f>
        <v>150</v>
      </c>
      <c r="I911" s="10" t="s">
        <v>4</v>
      </c>
      <c r="J911" s="36"/>
      <c r="K911" s="13"/>
      <c r="L911" s="16">
        <f>SUM(L908:L910)</f>
        <v>750</v>
      </c>
    </row>
    <row r="912" spans="2:12">
      <c r="B912" s="1"/>
      <c r="C912" s="32"/>
      <c r="D912" s="7"/>
      <c r="E912" s="7"/>
      <c r="I912" s="1"/>
      <c r="J912" s="32"/>
      <c r="K912" s="7"/>
      <c r="L912" s="7"/>
    </row>
    <row r="913" spans="2:12">
      <c r="B913" s="1"/>
      <c r="C913" s="32"/>
      <c r="D913" s="7"/>
      <c r="E913" s="7"/>
      <c r="I913" s="1"/>
      <c r="J913" s="32"/>
      <c r="K913" s="7"/>
      <c r="L913" s="7"/>
    </row>
    <row r="914" spans="2:12">
      <c r="B914" s="280" t="s">
        <v>9</v>
      </c>
      <c r="C914" s="281"/>
      <c r="D914" s="282"/>
      <c r="E914" s="283">
        <f>SUM(E904,E911,E905)</f>
        <v>150</v>
      </c>
      <c r="I914" s="280" t="s">
        <v>9</v>
      </c>
      <c r="J914" s="281"/>
      <c r="K914" s="282"/>
      <c r="L914" s="283">
        <f>SUM(L904,L911,L905)</f>
        <v>750</v>
      </c>
    </row>
    <row r="915" spans="2:12">
      <c r="B915" s="1"/>
      <c r="C915" s="32"/>
      <c r="D915" s="7"/>
      <c r="E915" s="7"/>
      <c r="I915" s="1"/>
      <c r="J915" s="32"/>
      <c r="K915" s="7"/>
      <c r="L915" s="7"/>
    </row>
    <row r="916" spans="2:12">
      <c r="B916" s="5" t="s">
        <v>8</v>
      </c>
      <c r="C916" s="30" t="s">
        <v>7</v>
      </c>
      <c r="D916" s="14"/>
      <c r="E916" s="12"/>
      <c r="I916" s="5" t="s">
        <v>8</v>
      </c>
      <c r="J916" s="30" t="s">
        <v>7</v>
      </c>
      <c r="K916" s="14"/>
      <c r="L916" s="12"/>
    </row>
    <row r="917" spans="2:12">
      <c r="B917" s="6" t="s">
        <v>15</v>
      </c>
      <c r="C917" s="241">
        <v>0</v>
      </c>
      <c r="D917" s="209"/>
      <c r="E917" s="9">
        <f>ROUNDUP((SUM(E904:E905)*C917),0)</f>
        <v>0</v>
      </c>
      <c r="I917" s="6" t="s">
        <v>15</v>
      </c>
      <c r="J917" s="241">
        <v>0</v>
      </c>
      <c r="K917" s="209"/>
      <c r="L917" s="9">
        <f>ROUNDUP((SUM(L904:L905)*J917),0)</f>
        <v>0</v>
      </c>
    </row>
    <row r="918" spans="2:12">
      <c r="B918" s="6" t="s">
        <v>362</v>
      </c>
      <c r="C918" s="241">
        <v>0</v>
      </c>
      <c r="D918" s="209"/>
      <c r="E918" s="9">
        <f>ROUNDUP(SUM(E911)*C918,0)</f>
        <v>0</v>
      </c>
      <c r="I918" s="6" t="s">
        <v>362</v>
      </c>
      <c r="J918" s="241">
        <v>0</v>
      </c>
      <c r="K918" s="209"/>
      <c r="L918" s="9">
        <f>ROUNDUP(SUM(L911)*J918,0)</f>
        <v>0</v>
      </c>
    </row>
    <row r="919" spans="2:12">
      <c r="B919" s="6" t="s">
        <v>363</v>
      </c>
      <c r="C919" s="241">
        <v>0</v>
      </c>
      <c r="D919" s="209"/>
      <c r="E919" s="9">
        <f>ROUNDUP(SUM(E911)*C919,0)</f>
        <v>0</v>
      </c>
      <c r="I919" s="6" t="s">
        <v>363</v>
      </c>
      <c r="J919" s="241">
        <v>0</v>
      </c>
      <c r="K919" s="209"/>
      <c r="L919" s="9">
        <f>ROUNDUP(SUM(L911)*J919,0)</f>
        <v>0</v>
      </c>
    </row>
    <row r="920" spans="2:12">
      <c r="B920" s="6" t="s">
        <v>364</v>
      </c>
      <c r="C920" s="241">
        <v>0</v>
      </c>
      <c r="D920" s="209"/>
      <c r="E920" s="9">
        <f>ROUNDUP(SUM(E911)*C920,0)</f>
        <v>0</v>
      </c>
      <c r="I920" s="6" t="s">
        <v>364</v>
      </c>
      <c r="J920" s="241">
        <v>0</v>
      </c>
      <c r="K920" s="209"/>
      <c r="L920" s="9">
        <f>ROUNDUP(SUM(L911)*J920,0)</f>
        <v>0</v>
      </c>
    </row>
    <row r="921" spans="2:12">
      <c r="B921" s="6" t="s">
        <v>333</v>
      </c>
      <c r="C921" s="122">
        <v>1.33</v>
      </c>
      <c r="D921" s="7"/>
      <c r="E921" s="9">
        <f>ROUNDUP(SUM(E914:E920)*C921,0)</f>
        <v>200</v>
      </c>
      <c r="I921" s="6" t="s">
        <v>333</v>
      </c>
      <c r="J921" s="122">
        <v>1</v>
      </c>
      <c r="K921" s="7"/>
      <c r="L921" s="9">
        <f>ROUNDUP(SUM(L914:L920)*J921,0)</f>
        <v>750</v>
      </c>
    </row>
    <row r="922" spans="2:12">
      <c r="B922" s="6" t="s">
        <v>210</v>
      </c>
      <c r="C922" s="122">
        <v>0</v>
      </c>
      <c r="D922" s="7"/>
      <c r="E922" s="9">
        <v>0</v>
      </c>
      <c r="I922" s="6" t="s">
        <v>210</v>
      </c>
      <c r="J922" s="122">
        <v>0</v>
      </c>
      <c r="K922" s="7"/>
      <c r="L922" s="9">
        <v>0</v>
      </c>
    </row>
    <row r="923" spans="2:12">
      <c r="B923" s="6" t="s">
        <v>0</v>
      </c>
      <c r="C923" s="241"/>
      <c r="D923" s="7"/>
      <c r="E923" s="9">
        <f>ROUNDUP(SUM(E911,E919:E922)*C923,0)</f>
        <v>0</v>
      </c>
      <c r="I923" s="6" t="s">
        <v>0</v>
      </c>
      <c r="J923" s="241"/>
      <c r="K923" s="7"/>
      <c r="L923" s="9">
        <f>ROUNDUP(SUM(L911,L919:L922)*J923,0)</f>
        <v>0</v>
      </c>
    </row>
    <row r="924" spans="2:12">
      <c r="B924" s="6" t="s">
        <v>261</v>
      </c>
      <c r="C924" s="241">
        <v>0</v>
      </c>
      <c r="D924" s="7"/>
      <c r="E924" s="9">
        <v>0</v>
      </c>
      <c r="I924" s="6" t="s">
        <v>261</v>
      </c>
      <c r="J924" s="241">
        <v>0</v>
      </c>
      <c r="K924" s="7"/>
      <c r="L924" s="9">
        <v>0</v>
      </c>
    </row>
    <row r="925" spans="2:12">
      <c r="B925" s="45" t="s">
        <v>20</v>
      </c>
      <c r="C925" s="46"/>
      <c r="D925" s="15"/>
      <c r="E925" s="210">
        <f>ROUNDUP(SUM(E914:E924)*C925,0)</f>
        <v>0</v>
      </c>
      <c r="I925" s="45" t="s">
        <v>20</v>
      </c>
      <c r="J925" s="46"/>
      <c r="K925" s="15"/>
      <c r="L925" s="210">
        <f>ROUNDUP(SUM(L914:L924)*J925,0)</f>
        <v>0</v>
      </c>
    </row>
    <row r="926" spans="2:12">
      <c r="B926" s="1"/>
      <c r="C926" s="8"/>
      <c r="D926" s="7"/>
      <c r="E926" s="7"/>
      <c r="I926" s="1"/>
      <c r="J926" s="8"/>
      <c r="K926" s="7"/>
      <c r="L926" s="7"/>
    </row>
    <row r="927" spans="2:12" ht="16.2" thickBot="1">
      <c r="B927" s="1"/>
      <c r="C927" s="1"/>
      <c r="D927" s="7"/>
      <c r="E927" s="7"/>
      <c r="I927" s="1"/>
      <c r="J927" s="1"/>
      <c r="K927" s="7"/>
      <c r="L927" s="7"/>
    </row>
    <row r="928" spans="2:12" ht="16.2" thickBot="1">
      <c r="B928" s="289" t="s">
        <v>6</v>
      </c>
      <c r="C928" s="290"/>
      <c r="D928" s="291"/>
      <c r="E928" s="292">
        <f>SUM(E914:E925)</f>
        <v>350</v>
      </c>
      <c r="I928" s="289" t="s">
        <v>6</v>
      </c>
      <c r="J928" s="290"/>
      <c r="K928" s="291"/>
      <c r="L928" s="292">
        <f>SUM(L914:L925)</f>
        <v>1500</v>
      </c>
    </row>
  </sheetData>
  <mergeCells count="74">
    <mergeCell ref="B247:E247"/>
    <mergeCell ref="I247:L247"/>
    <mergeCell ref="P247:S247"/>
    <mergeCell ref="W198:Z198"/>
    <mergeCell ref="W207:Z207"/>
    <mergeCell ref="W215:Z215"/>
    <mergeCell ref="W224:Z224"/>
    <mergeCell ref="W232:Z232"/>
    <mergeCell ref="AK296:AN296"/>
    <mergeCell ref="B296:E296"/>
    <mergeCell ref="I296:L296"/>
    <mergeCell ref="P296:S296"/>
    <mergeCell ref="W296:Z296"/>
    <mergeCell ref="AD296:AG296"/>
    <mergeCell ref="B2:E2"/>
    <mergeCell ref="I2:L2"/>
    <mergeCell ref="B51:E51"/>
    <mergeCell ref="I51:L51"/>
    <mergeCell ref="B100:E100"/>
    <mergeCell ref="I100:L100"/>
    <mergeCell ref="P100:S100"/>
    <mergeCell ref="B149:E149"/>
    <mergeCell ref="I149:L149"/>
    <mergeCell ref="P149:S149"/>
    <mergeCell ref="B198:E198"/>
    <mergeCell ref="I198:L198"/>
    <mergeCell ref="P198:S198"/>
    <mergeCell ref="B345:E345"/>
    <mergeCell ref="I345:L345"/>
    <mergeCell ref="B394:E394"/>
    <mergeCell ref="I394:L394"/>
    <mergeCell ref="B443:E443"/>
    <mergeCell ref="I443:L443"/>
    <mergeCell ref="Q443:T443"/>
    <mergeCell ref="Q451:T451"/>
    <mergeCell ref="Q459:T459"/>
    <mergeCell ref="Q467:T467"/>
    <mergeCell ref="B492:E492"/>
    <mergeCell ref="I492:L492"/>
    <mergeCell ref="Q492:T492"/>
    <mergeCell ref="B686:E686"/>
    <mergeCell ref="I686:L686"/>
    <mergeCell ref="Q500:T500"/>
    <mergeCell ref="Q508:T508"/>
    <mergeCell ref="Q516:T516"/>
    <mergeCell ref="B542:E542"/>
    <mergeCell ref="I542:L542"/>
    <mergeCell ref="P542:S542"/>
    <mergeCell ref="W542:Z542"/>
    <mergeCell ref="B592:E592"/>
    <mergeCell ref="I592:L592"/>
    <mergeCell ref="B651:E651"/>
    <mergeCell ref="I651:L651"/>
    <mergeCell ref="B720:E720"/>
    <mergeCell ref="I720:L720"/>
    <mergeCell ref="O720:R720"/>
    <mergeCell ref="B754:E754"/>
    <mergeCell ref="I754:L754"/>
    <mergeCell ref="O754:R754"/>
    <mergeCell ref="B825:E825"/>
    <mergeCell ref="I825:L825"/>
    <mergeCell ref="O825:R825"/>
    <mergeCell ref="U825:X825"/>
    <mergeCell ref="AA825:AD825"/>
    <mergeCell ref="B787:E787"/>
    <mergeCell ref="I787:L787"/>
    <mergeCell ref="O787:R787"/>
    <mergeCell ref="U787:X787"/>
    <mergeCell ref="AA787:AD787"/>
    <mergeCell ref="B861:E861"/>
    <mergeCell ref="I861:L861"/>
    <mergeCell ref="O861:R861"/>
    <mergeCell ref="B896:E896"/>
    <mergeCell ref="I896:L896"/>
  </mergeCells>
  <conditionalFormatting sqref="G15">
    <cfRule type="cellIs" dxfId="174" priority="109" operator="lessThan">
      <formula>0.15</formula>
    </cfRule>
    <cfRule type="cellIs" dxfId="173" priority="108" operator="greaterThan">
      <formula>0.25</formula>
    </cfRule>
  </conditionalFormatting>
  <conditionalFormatting sqref="G64">
    <cfRule type="cellIs" dxfId="172" priority="103" operator="lessThan">
      <formula>0.15</formula>
    </cfRule>
    <cfRule type="cellIs" dxfId="171" priority="102" operator="greaterThan">
      <formula>0.25</formula>
    </cfRule>
  </conditionalFormatting>
  <conditionalFormatting sqref="G113">
    <cfRule type="cellIs" dxfId="170" priority="52" operator="lessThan">
      <formula>0.15</formula>
    </cfRule>
    <cfRule type="cellIs" dxfId="169" priority="51" operator="greaterThan">
      <formula>0.25</formula>
    </cfRule>
  </conditionalFormatting>
  <conditionalFormatting sqref="G162">
    <cfRule type="cellIs" dxfId="168" priority="96" operator="greaterThan">
      <formula>0.25</formula>
    </cfRule>
    <cfRule type="cellIs" dxfId="167" priority="97" operator="lessThan">
      <formula>0.15</formula>
    </cfRule>
  </conditionalFormatting>
  <conditionalFormatting sqref="G211">
    <cfRule type="cellIs" dxfId="166" priority="88" operator="lessThan">
      <formula>0.15</formula>
    </cfRule>
    <cfRule type="cellIs" dxfId="165" priority="87" operator="greaterThan">
      <formula>0.25</formula>
    </cfRule>
  </conditionalFormatting>
  <conditionalFormatting sqref="G260">
    <cfRule type="cellIs" dxfId="164" priority="7" operator="greaterThan">
      <formula>0.25</formula>
    </cfRule>
    <cfRule type="cellIs" dxfId="163" priority="8" operator="lessThan">
      <formula>0.15</formula>
    </cfRule>
  </conditionalFormatting>
  <conditionalFormatting sqref="G309">
    <cfRule type="cellIs" dxfId="162" priority="22" operator="greaterThan">
      <formula>0.25</formula>
    </cfRule>
    <cfRule type="cellIs" dxfId="161" priority="23" operator="lessThan">
      <formula>0.15</formula>
    </cfRule>
  </conditionalFormatting>
  <conditionalFormatting sqref="G358">
    <cfRule type="cellIs" dxfId="160" priority="79" operator="lessThan">
      <formula>0.15</formula>
    </cfRule>
    <cfRule type="cellIs" dxfId="159" priority="78" operator="greaterThan">
      <formula>0.25</formula>
    </cfRule>
  </conditionalFormatting>
  <conditionalFormatting sqref="G407">
    <cfRule type="cellIs" dxfId="158" priority="39" operator="greaterThan">
      <formula>0.25</formula>
    </cfRule>
    <cfRule type="cellIs" dxfId="157" priority="40" operator="lessThan">
      <formula>0.15</formula>
    </cfRule>
  </conditionalFormatting>
  <conditionalFormatting sqref="G456">
    <cfRule type="cellIs" dxfId="156" priority="72" operator="greaterThan">
      <formula>0.25</formula>
    </cfRule>
    <cfRule type="cellIs" dxfId="155" priority="73" operator="lessThan">
      <formula>0.15</formula>
    </cfRule>
  </conditionalFormatting>
  <conditionalFormatting sqref="G505">
    <cfRule type="cellIs" dxfId="154" priority="33" operator="greaterThan">
      <formula>0.25</formula>
    </cfRule>
    <cfRule type="cellIs" dxfId="153" priority="34" operator="lessThan">
      <formula>0.15</formula>
    </cfRule>
  </conditionalFormatting>
  <conditionalFormatting sqref="G555">
    <cfRule type="cellIs" dxfId="152" priority="66" operator="greaterThan">
      <formula>0.25</formula>
    </cfRule>
    <cfRule type="cellIs" dxfId="151" priority="67" operator="lessThan">
      <formula>0.15</formula>
    </cfRule>
  </conditionalFormatting>
  <conditionalFormatting sqref="G605">
    <cfRule type="cellIs" dxfId="150" priority="58" operator="lessThan">
      <formula>0.15</formula>
    </cfRule>
    <cfRule type="cellIs" dxfId="149" priority="57" operator="greaterThan">
      <formula>0.25</formula>
    </cfRule>
  </conditionalFormatting>
  <conditionalFormatting sqref="G48:H48">
    <cfRule type="containsText" dxfId="148" priority="110" operator="containsText" text="owner">
      <formula>NOT(ISERROR(SEARCH("owner",G48)))</formula>
    </cfRule>
  </conditionalFormatting>
  <conditionalFormatting sqref="G97:H97">
    <cfRule type="containsText" dxfId="147" priority="104" operator="containsText" text="owner">
      <formula>NOT(ISERROR(SEARCH("owner",G97)))</formula>
    </cfRule>
  </conditionalFormatting>
  <conditionalFormatting sqref="G146:H146">
    <cfRule type="containsText" dxfId="146" priority="53" operator="containsText" text="owner">
      <formula>NOT(ISERROR(SEARCH("owner",G146)))</formula>
    </cfRule>
  </conditionalFormatting>
  <conditionalFormatting sqref="G195:H195">
    <cfRule type="containsText" dxfId="145" priority="98" operator="containsText" text="owner">
      <formula>NOT(ISERROR(SEARCH("owner",G195)))</formula>
    </cfRule>
  </conditionalFormatting>
  <conditionalFormatting sqref="G244:H244">
    <cfRule type="containsText" dxfId="144" priority="89" operator="containsText" text="owner">
      <formula>NOT(ISERROR(SEARCH("owner",G244)))</formula>
    </cfRule>
  </conditionalFormatting>
  <conditionalFormatting sqref="G293:H293">
    <cfRule type="containsText" dxfId="143" priority="9" operator="containsText" text="owner">
      <formula>NOT(ISERROR(SEARCH("owner",G293)))</formula>
    </cfRule>
  </conditionalFormatting>
  <conditionalFormatting sqref="G342:H342">
    <cfRule type="containsText" dxfId="142" priority="29" operator="containsText" text="owner">
      <formula>NOT(ISERROR(SEARCH("owner",G342)))</formula>
    </cfRule>
  </conditionalFormatting>
  <conditionalFormatting sqref="G391:H391">
    <cfRule type="containsText" dxfId="141" priority="80" operator="containsText" text="owner">
      <formula>NOT(ISERROR(SEARCH("owner",G391)))</formula>
    </cfRule>
  </conditionalFormatting>
  <conditionalFormatting sqref="G440:H440">
    <cfRule type="containsText" dxfId="140" priority="41" operator="containsText" text="owner">
      <formula>NOT(ISERROR(SEARCH("owner",G440)))</formula>
    </cfRule>
  </conditionalFormatting>
  <conditionalFormatting sqref="G489:H489">
    <cfRule type="containsText" dxfId="139" priority="74" operator="containsText" text="owner">
      <formula>NOT(ISERROR(SEARCH("owner",G489)))</formula>
    </cfRule>
  </conditionalFormatting>
  <conditionalFormatting sqref="G538:H538">
    <cfRule type="containsText" dxfId="138" priority="35" operator="containsText" text="owner">
      <formula>NOT(ISERROR(SEARCH("owner",G538)))</formula>
    </cfRule>
  </conditionalFormatting>
  <conditionalFormatting sqref="G588:H588">
    <cfRule type="containsText" dxfId="137" priority="68" operator="containsText" text="owner">
      <formula>NOT(ISERROR(SEARCH("owner",G588)))</formula>
    </cfRule>
  </conditionalFormatting>
  <conditionalFormatting sqref="G638:H638">
    <cfRule type="containsText" dxfId="136" priority="59" operator="containsText" text="owner">
      <formula>NOT(ISERROR(SEARCH("owner",G638)))</formula>
    </cfRule>
  </conditionalFormatting>
  <conditionalFormatting sqref="N15">
    <cfRule type="cellIs" dxfId="135" priority="105" operator="greaterThan">
      <formula>0.25</formula>
    </cfRule>
    <cfRule type="cellIs" dxfId="134" priority="106" operator="lessThan">
      <formula>0.15</formula>
    </cfRule>
  </conditionalFormatting>
  <conditionalFormatting sqref="N48">
    <cfRule type="containsText" dxfId="133" priority="107" operator="containsText" text="owner">
      <formula>NOT(ISERROR(SEARCH("owner",N48)))</formula>
    </cfRule>
  </conditionalFormatting>
  <conditionalFormatting sqref="N64">
    <cfRule type="cellIs" dxfId="132" priority="100" operator="lessThan">
      <formula>0.15</formula>
    </cfRule>
    <cfRule type="cellIs" dxfId="131" priority="99" operator="greaterThan">
      <formula>0.25</formula>
    </cfRule>
  </conditionalFormatting>
  <conditionalFormatting sqref="N97">
    <cfRule type="containsText" dxfId="130" priority="101" operator="containsText" text="owner">
      <formula>NOT(ISERROR(SEARCH("owner",N97)))</formula>
    </cfRule>
  </conditionalFormatting>
  <conditionalFormatting sqref="N113">
    <cfRule type="cellIs" dxfId="129" priority="48" operator="greaterThan">
      <formula>0.25</formula>
    </cfRule>
    <cfRule type="cellIs" dxfId="128" priority="49" operator="lessThan">
      <formula>0.15</formula>
    </cfRule>
  </conditionalFormatting>
  <conditionalFormatting sqref="N146">
    <cfRule type="containsText" dxfId="127" priority="50" operator="containsText" text="owner">
      <formula>NOT(ISERROR(SEARCH("owner",N146)))</formula>
    </cfRule>
  </conditionalFormatting>
  <conditionalFormatting sqref="N162">
    <cfRule type="cellIs" dxfId="126" priority="94" operator="lessThan">
      <formula>0.15</formula>
    </cfRule>
    <cfRule type="cellIs" dxfId="125" priority="93" operator="greaterThan">
      <formula>0.25</formula>
    </cfRule>
  </conditionalFormatting>
  <conditionalFormatting sqref="N195">
    <cfRule type="containsText" dxfId="124" priority="95" operator="containsText" text="owner">
      <formula>NOT(ISERROR(SEARCH("owner",N195)))</formula>
    </cfRule>
  </conditionalFormatting>
  <conditionalFormatting sqref="N211">
    <cfRule type="cellIs" dxfId="123" priority="84" operator="greaterThan">
      <formula>0.25</formula>
    </cfRule>
    <cfRule type="cellIs" dxfId="122" priority="85" operator="lessThan">
      <formula>0.15</formula>
    </cfRule>
  </conditionalFormatting>
  <conditionalFormatting sqref="N244">
    <cfRule type="containsText" dxfId="121" priority="86" operator="containsText" text="owner">
      <formula>NOT(ISERROR(SEARCH("owner",N244)))</formula>
    </cfRule>
  </conditionalFormatting>
  <conditionalFormatting sqref="N260">
    <cfRule type="cellIs" dxfId="120" priority="5" operator="lessThan">
      <formula>0.15</formula>
    </cfRule>
    <cfRule type="cellIs" dxfId="119" priority="4" operator="greaterThan">
      <formula>0.25</formula>
    </cfRule>
  </conditionalFormatting>
  <conditionalFormatting sqref="N293">
    <cfRule type="containsText" dxfId="118" priority="6" operator="containsText" text="owner">
      <formula>NOT(ISERROR(SEARCH("owner",N293)))</formula>
    </cfRule>
  </conditionalFormatting>
  <conditionalFormatting sqref="N309">
    <cfRule type="cellIs" dxfId="117" priority="25" operator="lessThan">
      <formula>0.15</formula>
    </cfRule>
    <cfRule type="cellIs" dxfId="116" priority="24" operator="greaterThan">
      <formula>0.25</formula>
    </cfRule>
  </conditionalFormatting>
  <conditionalFormatting sqref="N342">
    <cfRule type="containsText" dxfId="115" priority="26" operator="containsText" text="owner">
      <formula>NOT(ISERROR(SEARCH("owner",N342)))</formula>
    </cfRule>
  </conditionalFormatting>
  <conditionalFormatting sqref="N358">
    <cfRule type="cellIs" dxfId="114" priority="76" operator="lessThan">
      <formula>0.15</formula>
    </cfRule>
    <cfRule type="cellIs" dxfId="113" priority="75" operator="greaterThan">
      <formula>0.25</formula>
    </cfRule>
  </conditionalFormatting>
  <conditionalFormatting sqref="N391">
    <cfRule type="containsText" dxfId="112" priority="77" operator="containsText" text="owner">
      <formula>NOT(ISERROR(SEARCH("owner",N391)))</formula>
    </cfRule>
  </conditionalFormatting>
  <conditionalFormatting sqref="N407">
    <cfRule type="cellIs" dxfId="111" priority="36" operator="greaterThan">
      <formula>0.25</formula>
    </cfRule>
    <cfRule type="cellIs" dxfId="110" priority="37" operator="lessThan">
      <formula>0.15</formula>
    </cfRule>
  </conditionalFormatting>
  <conditionalFormatting sqref="N440">
    <cfRule type="containsText" dxfId="109" priority="38" operator="containsText" text="owner">
      <formula>NOT(ISERROR(SEARCH("owner",N440)))</formula>
    </cfRule>
  </conditionalFormatting>
  <conditionalFormatting sqref="N456">
    <cfRule type="cellIs" dxfId="108" priority="70" operator="lessThan">
      <formula>0.15</formula>
    </cfRule>
    <cfRule type="cellIs" dxfId="107" priority="69" operator="greaterThan">
      <formula>0.25</formula>
    </cfRule>
  </conditionalFormatting>
  <conditionalFormatting sqref="N489">
    <cfRule type="containsText" dxfId="106" priority="71" operator="containsText" text="owner">
      <formula>NOT(ISERROR(SEARCH("owner",N489)))</formula>
    </cfRule>
  </conditionalFormatting>
  <conditionalFormatting sqref="N505">
    <cfRule type="cellIs" dxfId="105" priority="31" operator="lessThan">
      <formula>0.15</formula>
    </cfRule>
    <cfRule type="cellIs" dxfId="104" priority="30" operator="greaterThan">
      <formula>0.25</formula>
    </cfRule>
  </conditionalFormatting>
  <conditionalFormatting sqref="N538">
    <cfRule type="containsText" dxfId="103" priority="32" operator="containsText" text="owner">
      <formula>NOT(ISERROR(SEARCH("owner",N538)))</formula>
    </cfRule>
  </conditionalFormatting>
  <conditionalFormatting sqref="N555">
    <cfRule type="cellIs" dxfId="102" priority="64" operator="lessThan">
      <formula>0.15</formula>
    </cfRule>
    <cfRule type="cellIs" dxfId="101" priority="63" operator="greaterThan">
      <formula>0.25</formula>
    </cfRule>
  </conditionalFormatting>
  <conditionalFormatting sqref="N588">
    <cfRule type="containsText" dxfId="100" priority="65" operator="containsText" text="owner">
      <formula>NOT(ISERROR(SEARCH("owner",N588)))</formula>
    </cfRule>
  </conditionalFormatting>
  <conditionalFormatting sqref="N605">
    <cfRule type="cellIs" dxfId="99" priority="54" operator="greaterThan">
      <formula>0.25</formula>
    </cfRule>
    <cfRule type="cellIs" dxfId="98" priority="55" operator="lessThan">
      <formula>0.15</formula>
    </cfRule>
  </conditionalFormatting>
  <conditionalFormatting sqref="N638">
    <cfRule type="containsText" dxfId="97" priority="56" operator="containsText" text="owner">
      <formula>NOT(ISERROR(SEARCH("owner",N638)))</formula>
    </cfRule>
  </conditionalFormatting>
  <conditionalFormatting sqref="U113">
    <cfRule type="cellIs" dxfId="96" priority="45" operator="greaterThan">
      <formula>0.25</formula>
    </cfRule>
    <cfRule type="cellIs" dxfId="95" priority="46" operator="lessThan">
      <formula>0.15</formula>
    </cfRule>
  </conditionalFormatting>
  <conditionalFormatting sqref="U146">
    <cfRule type="containsText" dxfId="94" priority="47" operator="containsText" text="owner">
      <formula>NOT(ISERROR(SEARCH("owner",U146)))</formula>
    </cfRule>
  </conditionalFormatting>
  <conditionalFormatting sqref="U162">
    <cfRule type="cellIs" dxfId="93" priority="90" operator="greaterThan">
      <formula>0.25</formula>
    </cfRule>
    <cfRule type="cellIs" dxfId="92" priority="91" operator="lessThan">
      <formula>0.15</formula>
    </cfRule>
  </conditionalFormatting>
  <conditionalFormatting sqref="U195">
    <cfRule type="containsText" dxfId="91" priority="92" operator="containsText" text="owner">
      <formula>NOT(ISERROR(SEARCH("owner",U195)))</formula>
    </cfRule>
  </conditionalFormatting>
  <conditionalFormatting sqref="U211">
    <cfRule type="cellIs" dxfId="90" priority="81" operator="greaterThan">
      <formula>0.25</formula>
    </cfRule>
    <cfRule type="cellIs" dxfId="89" priority="82" operator="lessThan">
      <formula>0.15</formula>
    </cfRule>
  </conditionalFormatting>
  <conditionalFormatting sqref="U244">
    <cfRule type="containsText" dxfId="88" priority="83" operator="containsText" text="owner">
      <formula>NOT(ISERROR(SEARCH("owner",U244)))</formula>
    </cfRule>
  </conditionalFormatting>
  <conditionalFormatting sqref="U260">
    <cfRule type="cellIs" dxfId="87" priority="1" operator="greaterThan">
      <formula>0.25</formula>
    </cfRule>
    <cfRule type="cellIs" dxfId="86" priority="2" operator="lessThan">
      <formula>0.15</formula>
    </cfRule>
  </conditionalFormatting>
  <conditionalFormatting sqref="U293">
    <cfRule type="containsText" dxfId="85" priority="3" operator="containsText" text="owner">
      <formula>NOT(ISERROR(SEARCH("owner",U293)))</formula>
    </cfRule>
  </conditionalFormatting>
  <conditionalFormatting sqref="U309">
    <cfRule type="cellIs" dxfId="84" priority="16" operator="greaterThan">
      <formula>0.25</formula>
    </cfRule>
    <cfRule type="cellIs" dxfId="83" priority="17" operator="lessThan">
      <formula>0.15</formula>
    </cfRule>
  </conditionalFormatting>
  <conditionalFormatting sqref="U555">
    <cfRule type="cellIs" dxfId="82" priority="60" operator="greaterThan">
      <formula>0.25</formula>
    </cfRule>
    <cfRule type="cellIs" dxfId="81" priority="61" operator="lessThan">
      <formula>0.15</formula>
    </cfRule>
  </conditionalFormatting>
  <conditionalFormatting sqref="U588">
    <cfRule type="containsText" dxfId="80" priority="62" operator="containsText" text="owner">
      <formula>NOT(ISERROR(SEARCH("owner",U588)))</formula>
    </cfRule>
  </conditionalFormatting>
  <conditionalFormatting sqref="U342:V342">
    <cfRule type="containsText" dxfId="79" priority="21" operator="containsText" text="owner">
      <formula>NOT(ISERROR(SEARCH("owner",U342)))</formula>
    </cfRule>
  </conditionalFormatting>
  <conditionalFormatting sqref="AB309">
    <cfRule type="cellIs" dxfId="78" priority="18" operator="greaterThan">
      <formula>0.25</formula>
    </cfRule>
    <cfRule type="cellIs" dxfId="77" priority="19" operator="lessThan">
      <formula>0.15</formula>
    </cfRule>
  </conditionalFormatting>
  <conditionalFormatting sqref="AB342">
    <cfRule type="containsText" dxfId="76" priority="20" operator="containsText" text="owner">
      <formula>NOT(ISERROR(SEARCH("owner",AB342)))</formula>
    </cfRule>
  </conditionalFormatting>
  <conditionalFormatting sqref="AB555">
    <cfRule type="cellIs" dxfId="75" priority="43" operator="lessThan">
      <formula>0.15</formula>
    </cfRule>
    <cfRule type="cellIs" dxfId="74" priority="42" operator="greaterThan">
      <formula>0.25</formula>
    </cfRule>
  </conditionalFormatting>
  <conditionalFormatting sqref="AB588">
    <cfRule type="containsText" dxfId="73" priority="44" operator="containsText" text="owner">
      <formula>NOT(ISERROR(SEARCH("owner",AB588)))</formula>
    </cfRule>
  </conditionalFormatting>
  <conditionalFormatting sqref="AI309">
    <cfRule type="cellIs" dxfId="72" priority="14" operator="lessThan">
      <formula>0.15</formula>
    </cfRule>
    <cfRule type="cellIs" dxfId="71" priority="13" operator="greaterThan">
      <formula>0.25</formula>
    </cfRule>
  </conditionalFormatting>
  <conditionalFormatting sqref="AI342">
    <cfRule type="containsText" dxfId="70" priority="15" operator="containsText" text="owner">
      <formula>NOT(ISERROR(SEARCH("owner",AI342)))</formula>
    </cfRule>
  </conditionalFormatting>
  <conditionalFormatting sqref="AP309">
    <cfRule type="cellIs" dxfId="69" priority="11" operator="lessThan">
      <formula>0.15</formula>
    </cfRule>
    <cfRule type="cellIs" dxfId="68" priority="10" operator="greaterThan">
      <formula>0.25</formula>
    </cfRule>
  </conditionalFormatting>
  <conditionalFormatting sqref="AP342">
    <cfRule type="containsText" dxfId="67" priority="12" operator="containsText" text="owner">
      <formula>NOT(ISERROR(SEARCH("owner",AP342)))</formula>
    </cfRule>
  </conditionalFormatting>
  <hyperlinks>
    <hyperlink ref="B42" r:id="rId1" display="Kansas Remodel Tax" xr:uid="{7D9E723F-1939-7640-90E8-79A79898DFE9}"/>
    <hyperlink ref="B238" r:id="rId2" display="Kansas Remodel Tax" xr:uid="{03142D6E-4174-3B41-964D-FE44425D91FE}"/>
    <hyperlink ref="I238" r:id="rId3" display="Kansas Remodel Tax" xr:uid="{EC73C98E-C065-ED4E-B518-E8BD74CF04C3}"/>
    <hyperlink ref="P238" r:id="rId4" display="Kansas Remodel Tax" xr:uid="{6E6053CE-DD45-9B4D-B11A-57652D6C565F}"/>
    <hyperlink ref="B385" r:id="rId5" display="Kansas Remodel Tax" xr:uid="{F2E6EA14-903F-4A4F-9672-47616F4CB05D}"/>
    <hyperlink ref="I385" r:id="rId6" display="Kansas Remodel Tax" xr:uid="{9819E057-E3BC-A645-B339-2FDEF74840A4}"/>
    <hyperlink ref="B434" r:id="rId7" display="Kansas Remodel Tax" xr:uid="{DFA26592-D68B-0A4F-A08D-ADB994AB8E7F}"/>
    <hyperlink ref="I434" r:id="rId8" display="Kansas Remodel Tax" xr:uid="{07FF76A6-B82A-4043-A3D0-B6DB38030A77}"/>
    <hyperlink ref="B483" r:id="rId9" display="Kansas Remodel Tax" xr:uid="{3FCD8AE3-AC4E-A54B-A1B6-0CB7A22F017C}"/>
    <hyperlink ref="I483" r:id="rId10" display="Kansas Remodel Tax" xr:uid="{66138838-C7E7-EB4B-BDBD-54872A91B070}"/>
    <hyperlink ref="B532" r:id="rId11" display="Kansas Remodel Tax" xr:uid="{8B8C9388-B475-6C4A-8549-CD286738DF5E}"/>
    <hyperlink ref="I532" r:id="rId12" display="Kansas Remodel Tax" xr:uid="{66D69653-F105-E442-836A-A3B6CB43A734}"/>
    <hyperlink ref="B582" r:id="rId13" display="Kansas Remodel Tax" xr:uid="{2D8A65D6-50F1-2545-BDAC-83BF4C97F9B0}"/>
    <hyperlink ref="I582" r:id="rId14" display="Kansas Remodel Tax" xr:uid="{848DCCCA-76D7-CE4C-A879-3ED3C7D8DD51}"/>
    <hyperlink ref="P582" r:id="rId15" display="Kansas Remodel Tax" xr:uid="{9BFB051F-6B12-A641-A016-EA2CA141B223}"/>
    <hyperlink ref="W582" r:id="rId16" display="Kansas Remodel Tax" xr:uid="{E0627993-2632-234C-B594-D6E7C19D825F}"/>
    <hyperlink ref="I632" r:id="rId17" display="Kansas Remodel Tax" xr:uid="{86368075-CE5F-8449-AEBC-158F644167FB}"/>
    <hyperlink ref="B632" r:id="rId18" display="Kansas Remodel Tax" xr:uid="{2DC441C2-805D-BC45-8430-4FBE7C649ED7}"/>
    <hyperlink ref="B189" r:id="rId19" display="Kansas Remodel Tax" xr:uid="{57EF5D66-7CFC-0047-8BBC-85B9104DE0BD}"/>
    <hyperlink ref="I189" r:id="rId20" display="Kansas Remodel Tax" xr:uid="{DF9AAFE8-8C21-EB4A-BF9E-90EB377B3F03}"/>
    <hyperlink ref="P189" r:id="rId21" display="Kansas Remodel Tax" xr:uid="{1FBD666C-AAF8-994B-A2AB-DDB29D4CF130}"/>
    <hyperlink ref="P140" r:id="rId22" display="Kansas Remodel Tax" xr:uid="{0A0A02F6-D1C3-2442-9CF3-3C07D57996B2}"/>
    <hyperlink ref="I140" r:id="rId23" display="Kansas Remodel Tax" xr:uid="{1E7BEDC8-6760-AD4F-B808-F539554036FD}"/>
    <hyperlink ref="B140" r:id="rId24" display="Kansas Remodel Tax" xr:uid="{A95BE9D4-CC0B-9D45-A125-F9F334A1D98C}"/>
    <hyperlink ref="B91" r:id="rId25" display="Kansas Remodel Tax" xr:uid="{763B0B0F-DBF5-3547-9E60-029AD4175564}"/>
    <hyperlink ref="I91" r:id="rId26" display="Kansas Remodel Tax" xr:uid="{2C7407A0-D7F3-FE44-A330-4DAF3248C5A5}"/>
    <hyperlink ref="I42" r:id="rId27" display="Kansas Remodel Tax" xr:uid="{1B14CB5E-367B-1A41-951A-10066FB25BFB}"/>
    <hyperlink ref="I336" r:id="rId28" display="Kansas Remodel Tax" xr:uid="{C0BC450C-8738-CB4A-AEAB-0BEEE5931D7E}"/>
    <hyperlink ref="B336" r:id="rId29" display="Kansas Remodel Tax" xr:uid="{42B2EEBC-00FC-C541-9211-3B436DE54A4D}"/>
    <hyperlink ref="W336" r:id="rId30" display="Kansas Remodel Tax" xr:uid="{57DAA83E-D81B-3646-B62E-FA551AB1F4E7}"/>
    <hyperlink ref="P336" r:id="rId31" display="Kansas Remodel Tax" xr:uid="{1BB16031-06F4-784F-AEB1-5C4EBBDAC99B}"/>
    <hyperlink ref="AD336" r:id="rId32" display="Kansas Remodel Tax" xr:uid="{DFD868C1-0C14-CB4E-B8CB-AEB0337B970C}"/>
    <hyperlink ref="AK336" r:id="rId33" display="Kansas Remodel Tax" xr:uid="{BCBBCD5D-93FD-C748-B7B2-3A46B7F14626}"/>
    <hyperlink ref="B287" r:id="rId34" display="Kansas Remodel Tax" xr:uid="{8C7B5F3B-5F98-CA46-AA08-B204961AEBC4}"/>
    <hyperlink ref="I287" r:id="rId35" display="Kansas Remodel Tax" xr:uid="{1EB01DF4-A7C0-3B4B-91BF-DB8E02164EEF}"/>
    <hyperlink ref="P287" r:id="rId36" display="Kansas Remodel Tax" xr:uid="{9BD96838-EF0C-484F-BCC6-49F6F4ADF797}"/>
  </hyperlinks>
  <pageMargins left="0.75" right="0.75" top="1" bottom="1" header="0.5" footer="0.5"/>
  <pageSetup orientation="portrait" horizontalDpi="4294967292" verticalDpi="4294967292"/>
  <legacyDrawing r:id="rId3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E877-B704-1F46-B7A1-48B9E306D534}">
  <sheetPr>
    <pageSetUpPr fitToPage="1"/>
  </sheetPr>
  <dimension ref="A1:DL581"/>
  <sheetViews>
    <sheetView zoomScaleNormal="100" workbookViewId="0">
      <selection activeCell="B1" sqref="B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19921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20" width="13.796875" customWidth="1"/>
    <col min="21" max="21" width="19" bestFit="1" customWidth="1"/>
    <col min="22" max="22" width="2.69921875" customWidth="1"/>
    <col min="23" max="23" width="13.69921875" bestFit="1" customWidth="1"/>
    <col min="24" max="24" width="22.5" bestFit="1" customWidth="1"/>
    <col min="25" max="25" width="3.296875" customWidth="1"/>
    <col min="26" max="26" width="15.69921875" bestFit="1" customWidth="1"/>
    <col min="27" max="27" width="22.5" bestFit="1" customWidth="1"/>
    <col min="28" max="28" width="11.5" bestFit="1" customWidth="1"/>
    <col min="36" max="36" width="21.69921875" bestFit="1" customWidth="1"/>
    <col min="39" max="39" width="19" bestFit="1" customWidth="1"/>
    <col min="42" max="42" width="22.5" bestFit="1" customWidth="1"/>
    <col min="45" max="45" width="22.5" bestFit="1" customWidth="1"/>
    <col min="48" max="48" width="11.69921875" bestFit="1" customWidth="1"/>
    <col min="49" max="49" width="2.296875" customWidth="1"/>
    <col min="50" max="50" width="2.796875" customWidth="1"/>
    <col min="51" max="51" width="11.69921875" bestFit="1" customWidth="1"/>
    <col min="52" max="52" width="3" customWidth="1"/>
    <col min="53" max="53" width="3.296875" customWidth="1"/>
    <col min="54" max="54" width="11.69921875" bestFit="1" customWidth="1"/>
    <col min="55" max="56" width="2.19921875" customWidth="1"/>
    <col min="57" max="57" width="9" bestFit="1" customWidth="1"/>
    <col min="58" max="58" width="14.796875" bestFit="1" customWidth="1"/>
    <col min="59" max="59" width="9" bestFit="1" customWidth="1"/>
    <col min="60" max="60" width="2.796875" customWidth="1"/>
    <col min="61" max="61" width="12.5" bestFit="1" customWidth="1"/>
    <col min="62" max="62" width="7.69921875" bestFit="1" customWidth="1"/>
    <col min="63" max="63" width="3.296875" customWidth="1"/>
    <col min="64" max="64" width="13.69921875" bestFit="1" customWidth="1"/>
    <col min="65" max="65" width="9" bestFit="1" customWidth="1"/>
    <col min="66" max="66" width="3.296875" customWidth="1"/>
    <col min="67" max="67" width="15.69921875" bestFit="1" customWidth="1"/>
    <col min="78" max="78" width="21.69921875" bestFit="1" customWidth="1"/>
    <col min="81" max="81" width="19" bestFit="1" customWidth="1"/>
    <col min="84" max="84" width="22.5" bestFit="1" customWidth="1"/>
    <col min="87" max="87" width="22.5" bestFit="1" customWidth="1"/>
    <col min="90" max="90" width="11.69921875" bestFit="1" customWidth="1"/>
    <col min="91" max="91" width="2.296875" customWidth="1"/>
    <col min="92" max="92" width="2.796875" customWidth="1"/>
    <col min="93" max="93" width="11.69921875" bestFit="1" customWidth="1"/>
    <col min="94" max="94" width="3" customWidth="1"/>
    <col min="95" max="95" width="3.296875" customWidth="1"/>
    <col min="96" max="96" width="11.69921875" bestFit="1" customWidth="1"/>
    <col min="97" max="98" width="2.19921875" customWidth="1"/>
    <col min="99" max="99" width="9" bestFit="1" customWidth="1"/>
    <col min="100" max="100" width="14.796875" bestFit="1" customWidth="1"/>
    <col min="101" max="101" width="9" bestFit="1" customWidth="1"/>
    <col min="102" max="102" width="2.796875" customWidth="1"/>
    <col min="103" max="103" width="12.5" bestFit="1" customWidth="1"/>
    <col min="104" max="104" width="7.69921875" bestFit="1" customWidth="1"/>
    <col min="105" max="105" width="3.296875" customWidth="1"/>
    <col min="106" max="106" width="13.69921875" bestFit="1" customWidth="1"/>
    <col min="107" max="107" width="9" bestFit="1" customWidth="1"/>
    <col min="108" max="108" width="3.296875" customWidth="1"/>
    <col min="109" max="109" width="15.69921875" bestFit="1" customWidth="1"/>
  </cols>
  <sheetData>
    <row r="1" spans="1:104">
      <c r="A1" s="51" t="s">
        <v>221</v>
      </c>
      <c r="G1" s="514" t="s">
        <v>471</v>
      </c>
    </row>
    <row r="2" spans="1:104">
      <c r="A2" s="51" t="s">
        <v>220</v>
      </c>
      <c r="B2" s="250"/>
      <c r="C2" s="250"/>
      <c r="D2" s="250"/>
      <c r="G2" s="483"/>
    </row>
    <row r="3" spans="1:104">
      <c r="A3" s="51" t="s">
        <v>207</v>
      </c>
      <c r="G3" s="483"/>
    </row>
    <row r="4" spans="1:104">
      <c r="A4" s="1638" t="s">
        <v>76</v>
      </c>
      <c r="B4" t="s">
        <v>78</v>
      </c>
      <c r="C4" s="220" t="s">
        <v>202</v>
      </c>
      <c r="D4" s="4"/>
      <c r="E4" s="205"/>
      <c r="F4" s="72"/>
      <c r="G4" s="483"/>
      <c r="H4" s="53"/>
      <c r="I4" s="64"/>
      <c r="J4" s="64"/>
      <c r="K4" s="64"/>
      <c r="L4" s="64"/>
      <c r="M4" s="64"/>
      <c r="AJ4" s="193">
        <v>1000</v>
      </c>
      <c r="AK4" s="193"/>
      <c r="AL4" s="193"/>
      <c r="AM4" s="193">
        <f>AJ4</f>
        <v>1000</v>
      </c>
      <c r="AN4" s="193"/>
      <c r="AO4" s="193"/>
      <c r="AP4" s="193">
        <f>AJ4+AM4</f>
        <v>2000</v>
      </c>
      <c r="AQ4" s="193"/>
      <c r="AR4" s="193"/>
      <c r="AS4" s="193">
        <f>AP4</f>
        <v>2000</v>
      </c>
      <c r="AT4" s="192" t="e">
        <f>IF(AJ4&lt;=#REF!,#REF!,IF(AJ4&lt;=#REF!,#REF!,IF(AJ4&lt;=#REF!,#REF!,IF(AJ4&lt;=#REF!,#REF!,IF(AJ4&lt;=#REF!,#REF!,IF(AJ4&lt;=#REF!,#REF!,IF(AJ4&lt;=#REF!,#REF!,0.05)))))))</f>
        <v>#REF!</v>
      </c>
      <c r="AU4" s="193" t="e">
        <f>AT4*AJ4</f>
        <v>#REF!</v>
      </c>
      <c r="AV4" s="192"/>
      <c r="AW4" s="192" t="e">
        <f>IF(AM4&lt;=#REF!,#REF!,IF(AM4&lt;=#REF!,#REF!,IF(AM4&lt;=#REF!,#REF!,IF(AM4&lt;=#REF!,#REF!,IF(AM4&lt;=#REF!,#REF!,IF(AM4&lt;=#REF!,#REF!,IF(AM4&lt;=#REF!,#REF!,0.05)))))))</f>
        <v>#REF!</v>
      </c>
      <c r="AX4" s="193" t="e">
        <f>AW4*AM4</f>
        <v>#REF!</v>
      </c>
      <c r="AY4" s="192"/>
      <c r="AZ4" s="192" t="e">
        <f>IF(AP4&lt;=#REF!,#REF!,IF(AP4&lt;=#REF!,#REF!,IF(AP4&lt;=#REF!,#REF!,IF(AP4&lt;=#REF!,#REF!,IF(AP4&lt;=#REF!,#REF!,IF(AP4&lt;=#REF!,#REF!,IF(AP4&lt;=#REF!,#REF!,0.05)))))))</f>
        <v>#REF!</v>
      </c>
      <c r="BA4" s="193" t="e">
        <f>AZ4*SUM(AX4,AU4,AP4)</f>
        <v>#REF!</v>
      </c>
      <c r="BB4" s="192"/>
      <c r="BC4" s="196" t="e">
        <f>IF(AS4&lt;=#REF!,#REF!,IF(AS4&lt;=#REF!,#REF!,IF(AS4&lt;=#REF!,#REF!,IF(AS4&lt;=#REF!,#REF!,IF(AS4&lt;=#REF!,#REF!,IF(AS4&lt;=#REF!,#REF!,IF(AS4&lt;=#REF!,#REF!,0.05)))))))</f>
        <v>#REF!</v>
      </c>
      <c r="BD4" s="193" t="e">
        <f>BC4*AS4</f>
        <v>#REF!</v>
      </c>
      <c r="BF4" s="194" t="e">
        <f>0.07*SUM(AP4,AU4,AX4,BA4,BD4)</f>
        <v>#REF!</v>
      </c>
      <c r="BH4" s="194" t="e">
        <f>SUM(BF4,BD4,BA4,AX4,AU4,AP4)</f>
        <v>#REF!</v>
      </c>
      <c r="BI4" s="195" t="e">
        <f>SUM(BD4,BA4,AX4,AU4)</f>
        <v>#REF!</v>
      </c>
      <c r="BJ4" s="192" t="e">
        <f>BI4/BH4</f>
        <v>#REF!</v>
      </c>
      <c r="BM4" s="192">
        <v>0.1</v>
      </c>
      <c r="BN4" s="193">
        <v>5000</v>
      </c>
      <c r="BP4" s="192">
        <v>0.35</v>
      </c>
      <c r="BQ4" s="193">
        <v>2000</v>
      </c>
      <c r="BR4" s="193"/>
      <c r="BS4" s="192">
        <v>0.28000000000000003</v>
      </c>
      <c r="BT4" s="193">
        <v>9000</v>
      </c>
      <c r="BV4" s="196">
        <v>0</v>
      </c>
      <c r="BW4" s="193">
        <v>9000</v>
      </c>
      <c r="BZ4" s="193">
        <v>1000</v>
      </c>
      <c r="CA4" s="193"/>
      <c r="CB4" s="193"/>
      <c r="CC4" s="193">
        <f>BZ4</f>
        <v>1000</v>
      </c>
      <c r="CD4" s="193"/>
      <c r="CE4" s="193"/>
      <c r="CF4" s="193">
        <f>BZ4+CC4</f>
        <v>2000</v>
      </c>
      <c r="CG4" s="193"/>
      <c r="CH4" s="193"/>
      <c r="CI4" s="193">
        <f>CF4</f>
        <v>2000</v>
      </c>
      <c r="CJ4" s="192">
        <f t="shared" ref="CJ4:CJ26" si="0">IF(BZ4&lt;=BN$4,BM$4,IF(BZ4&lt;=BN$5,BM$5,IF(BZ4&lt;=BN$6,BM$6,IF(BZ4&lt;=BN$7,BM$7,IF(BZ4&lt;=BN$12,BM$12,IF(BZ4&lt;=BN$13,BM$13,IF(BZ4&lt;=BN$14,BM$14,0.05)))))))</f>
        <v>0.1</v>
      </c>
      <c r="CK4" s="193">
        <f>CJ4*BZ4</f>
        <v>100</v>
      </c>
      <c r="CL4" s="192"/>
      <c r="CM4" s="192">
        <f t="shared" ref="CM4:CM26" si="1">IF(CC4&lt;=BQ$4,BP$4,IF(CC4&lt;=BQ$5,BP$5,IF(CC4&lt;=BQ$6,BP$6,IF(CC4&lt;=BQ$7,BP$7,IF(CC4&lt;=BQ$12,BP$12,IF(CC4&lt;=BQ$13,BP$13,IF(CC4&lt;=BQ$14,BP$14,0.05)))))))</f>
        <v>0.35</v>
      </c>
      <c r="CN4" s="193">
        <f>CM4*CC4</f>
        <v>350</v>
      </c>
      <c r="CO4" s="192"/>
      <c r="CP4" s="192">
        <f t="shared" ref="CP4:CP26" si="2">IF(CF4&lt;=BT$4,BS$4,IF(CF4&lt;=BT$5,BS$5,IF(CF4&lt;=BT$6,BS$6,IF(CF4&lt;=BT$7,BS$7,IF(CF4&lt;=BT$12,BS$12,IF(CF4&lt;=BT$13,BS$13,IF(CF4&lt;=BT$14,BS$14,0.05)))))))</f>
        <v>0.28000000000000003</v>
      </c>
      <c r="CQ4" s="193">
        <f>CP4*SUM(CN4,CK4,CF4)</f>
        <v>686.00000000000011</v>
      </c>
      <c r="CR4" s="192"/>
      <c r="CS4" s="196">
        <f t="shared" ref="CS4:CS26" si="3">IF(CI4&lt;=BW$4,BV$4,IF(CI4&lt;=BW$5,BV$5,IF(CI4&lt;=BW$6,BV$6,IF(CI4&lt;=BW$7,BV$7,IF(CI4&lt;=BW$12,BV$12,IF(CI4&lt;=BW$13,BV$13,IF(CI4&lt;=BW$14,BV$14,0.05)))))))</f>
        <v>0</v>
      </c>
      <c r="CT4" s="193">
        <f>CS4*CI4</f>
        <v>0</v>
      </c>
      <c r="CV4" s="194">
        <f>0.07*SUM(CF4,CK4,CN4,CQ4,CT4)</f>
        <v>219.52</v>
      </c>
      <c r="CX4" s="194">
        <f>SUM(CV4,CT4,CQ4,CN4,CK4,CF4)</f>
        <v>3355.52</v>
      </c>
      <c r="CY4" s="195">
        <f>SUM(CT4,CQ4,CN4,CK4)</f>
        <v>1136</v>
      </c>
      <c r="CZ4" s="192">
        <f>CY4/CX4</f>
        <v>0.33854663360671372</v>
      </c>
    </row>
    <row r="5" spans="1:104">
      <c r="A5" s="2" t="s">
        <v>149</v>
      </c>
      <c r="B5" t="s">
        <v>71</v>
      </c>
      <c r="C5" s="1010" t="s">
        <v>1029</v>
      </c>
      <c r="D5" s="591" t="str">
        <f>Epoxy!D5</f>
        <v>No</v>
      </c>
      <c r="E5" s="1727">
        <f>Epoxy!E5</f>
        <v>0</v>
      </c>
      <c r="F5" s="72"/>
      <c r="G5" s="483"/>
      <c r="H5" s="53"/>
      <c r="I5" s="64"/>
      <c r="J5" s="64"/>
      <c r="K5" s="64"/>
      <c r="L5" s="64"/>
      <c r="M5" s="64"/>
      <c r="AJ5" s="193">
        <v>2000</v>
      </c>
      <c r="AK5" s="193"/>
      <c r="AL5" s="193"/>
      <c r="AM5" s="193">
        <f t="shared" ref="AM5:AY48" si="4">AJ5</f>
        <v>2000</v>
      </c>
      <c r="AN5" s="193"/>
      <c r="AO5" s="193"/>
      <c r="AP5" s="193">
        <f t="shared" ref="AP5:BB33" si="5">AJ5+AM5</f>
        <v>4000</v>
      </c>
      <c r="AQ5" s="193"/>
      <c r="AR5" s="193"/>
      <c r="AS5" s="193">
        <f t="shared" ref="AS5:BE33" si="6">AP5</f>
        <v>4000</v>
      </c>
      <c r="AT5" s="192" t="e">
        <f>IF(AJ5&lt;=#REF!,#REF!,IF(AJ5&lt;=#REF!,#REF!,IF(AJ5&lt;=#REF!,#REF!,IF(AJ5&lt;=#REF!,#REF!,IF(AJ5&lt;=#REF!,#REF!,IF(AJ5&lt;=#REF!,#REF!,IF(AJ5&lt;=#REF!,#REF!,0.05)))))))</f>
        <v>#REF!</v>
      </c>
      <c r="AU5" s="193" t="e">
        <f t="shared" ref="AU5:BG33" si="7">AT5*AJ5</f>
        <v>#REF!</v>
      </c>
      <c r="AV5" s="192"/>
      <c r="AW5" s="192" t="e">
        <f>IF(AM5&lt;=#REF!,#REF!,IF(AM5&lt;=#REF!,#REF!,IF(AM5&lt;=#REF!,#REF!,IF(AM5&lt;=#REF!,#REF!,IF(AM5&lt;=#REF!,#REF!,IF(AM5&lt;=#REF!,#REF!,IF(AM5&lt;=#REF!,#REF!,0.05)))))))</f>
        <v>#REF!</v>
      </c>
      <c r="AX5" s="193" t="e">
        <f t="shared" ref="AX5:BJ33" si="8">AW5*AM5</f>
        <v>#REF!</v>
      </c>
      <c r="AY5" s="192"/>
      <c r="AZ5" s="192" t="e">
        <f>IF(AP5&lt;=#REF!,#REF!,IF(AP5&lt;=#REF!,#REF!,IF(AP5&lt;=#REF!,#REF!,IF(AP5&lt;=#REF!,#REF!,IF(AP5&lt;=#REF!,#REF!,IF(AP5&lt;=#REF!,#REF!,IF(AP5&lt;=#REF!,#REF!,0.05)))))))</f>
        <v>#REF!</v>
      </c>
      <c r="BA5" s="193" t="e">
        <f t="shared" ref="BA5:BM33" si="9">AZ5*SUM(AX5,AU5,AP5)</f>
        <v>#REF!</v>
      </c>
      <c r="BB5" s="192"/>
      <c r="BC5" s="196" t="e">
        <f>IF(AS5&lt;=#REF!,#REF!,IF(AS5&lt;=#REF!,#REF!,IF(AS5&lt;=#REF!,#REF!,IF(AS5&lt;=#REF!,#REF!,IF(AS5&lt;=#REF!,#REF!,IF(AS5&lt;=#REF!,#REF!,IF(AS5&lt;=#REF!,#REF!,0.05)))))))</f>
        <v>#REF!</v>
      </c>
      <c r="BD5" s="193" t="e">
        <f t="shared" ref="BD5:BP33" si="10">BC5*AS5</f>
        <v>#REF!</v>
      </c>
      <c r="BF5" s="194" t="e">
        <f t="shared" ref="BF5:BR33" si="11">0.07*SUM(AP5,AU5,AX5,BA5,BD5)</f>
        <v>#REF!</v>
      </c>
      <c r="BH5" s="194" t="e">
        <f t="shared" ref="BH5:BT33" si="12">SUM(BF5,BD5,BA5,AX5,AU5,AP5)</f>
        <v>#REF!</v>
      </c>
      <c r="BI5" s="195" t="e">
        <f t="shared" ref="BI5:BU33" si="13">SUM(BD5,BA5,AX5,AU5)</f>
        <v>#REF!</v>
      </c>
      <c r="BJ5" s="192" t="e">
        <f t="shared" ref="BJ5:BV33" si="14">BI5/BH5</f>
        <v>#REF!</v>
      </c>
      <c r="BM5" s="192">
        <v>0.05</v>
      </c>
      <c r="BN5" s="193">
        <v>1000000000</v>
      </c>
      <c r="BP5" s="192">
        <v>0.3</v>
      </c>
      <c r="BQ5" s="193">
        <v>3000</v>
      </c>
      <c r="BR5" s="193"/>
      <c r="BS5" s="192">
        <v>0.24</v>
      </c>
      <c r="BT5" s="193">
        <v>14000</v>
      </c>
      <c r="BV5" s="196">
        <v>-0.04</v>
      </c>
      <c r="BW5" s="193">
        <v>14000</v>
      </c>
      <c r="BZ5" s="193">
        <v>2000</v>
      </c>
      <c r="CA5" s="193"/>
      <c r="CB5" s="193"/>
      <c r="CC5" s="193">
        <f t="shared" ref="CC5:CO48" si="15">BZ5</f>
        <v>2000</v>
      </c>
      <c r="CD5" s="193"/>
      <c r="CE5" s="193"/>
      <c r="CF5" s="193">
        <f t="shared" ref="CF5:CR48" si="16">BZ5+CC5</f>
        <v>4000</v>
      </c>
      <c r="CG5" s="193"/>
      <c r="CH5" s="193"/>
      <c r="CI5" s="193">
        <f t="shared" ref="CI5:CU48" si="17">CF5</f>
        <v>4000</v>
      </c>
      <c r="CJ5" s="192">
        <f t="shared" si="0"/>
        <v>0.1</v>
      </c>
      <c r="CK5" s="193">
        <f t="shared" ref="CK5:CW48" si="18">CJ5*BZ5</f>
        <v>200</v>
      </c>
      <c r="CL5" s="192"/>
      <c r="CM5" s="192">
        <f t="shared" si="1"/>
        <v>0.35</v>
      </c>
      <c r="CN5" s="193">
        <f t="shared" ref="CN5:CZ48" si="19">CM5*CC5</f>
        <v>700</v>
      </c>
      <c r="CO5" s="192"/>
      <c r="CP5" s="192">
        <f t="shared" si="2"/>
        <v>0.28000000000000003</v>
      </c>
      <c r="CQ5" s="193">
        <f t="shared" ref="CQ5:DC48" si="20">CP5*SUM(CN5,CK5,CF5)</f>
        <v>1372.0000000000002</v>
      </c>
      <c r="CR5" s="192"/>
      <c r="CS5" s="196">
        <f t="shared" si="3"/>
        <v>0</v>
      </c>
      <c r="CT5" s="193">
        <f t="shared" ref="CT5:DF48" si="21">CS5*CI5</f>
        <v>0</v>
      </c>
      <c r="CV5" s="194">
        <f t="shared" ref="CV5:DH48" si="22">0.07*SUM(CF5,CK5,CN5,CQ5,CT5)</f>
        <v>439.04</v>
      </c>
      <c r="CX5" s="194">
        <f t="shared" ref="CX5:DJ48" si="23">SUM(CV5,CT5,CQ5,CN5,CK5,CF5)</f>
        <v>6711.04</v>
      </c>
      <c r="CY5" s="195">
        <f t="shared" ref="CY5:DK48" si="24">SUM(CT5,CQ5,CN5,CK5)</f>
        <v>2272</v>
      </c>
      <c r="CZ5" s="192">
        <f t="shared" ref="CZ5:DL48" si="25">CY5/CX5</f>
        <v>0.33854663360671372</v>
      </c>
    </row>
    <row r="6" spans="1:104">
      <c r="A6" s="2" t="s">
        <v>79</v>
      </c>
      <c r="B6" t="s">
        <v>78</v>
      </c>
      <c r="C6" s="1539" t="s">
        <v>119</v>
      </c>
      <c r="D6" s="4" t="str">
        <f>Epoxy!D6</f>
        <v>No</v>
      </c>
      <c r="E6" s="1727">
        <f>Epoxy!E6</f>
        <v>0</v>
      </c>
      <c r="F6" s="72"/>
      <c r="G6" s="483"/>
      <c r="H6" s="593"/>
      <c r="I6" s="64"/>
      <c r="J6" s="64"/>
      <c r="K6" s="64"/>
      <c r="L6" s="64"/>
      <c r="M6" s="64"/>
      <c r="AJ6" s="193">
        <v>3000</v>
      </c>
      <c r="AK6" s="193"/>
      <c r="AL6" s="193"/>
      <c r="AM6" s="193">
        <f t="shared" si="4"/>
        <v>3000</v>
      </c>
      <c r="AN6" s="193"/>
      <c r="AO6" s="193"/>
      <c r="AP6" s="193">
        <f t="shared" si="5"/>
        <v>6000</v>
      </c>
      <c r="AQ6" s="193"/>
      <c r="AR6" s="193"/>
      <c r="AS6" s="193">
        <f t="shared" si="6"/>
        <v>6000</v>
      </c>
      <c r="AT6" s="192" t="e">
        <f>IF(AJ6&lt;=#REF!,#REF!,IF(AJ6&lt;=#REF!,#REF!,IF(AJ6&lt;=#REF!,#REF!,IF(AJ6&lt;=#REF!,#REF!,IF(AJ6&lt;=#REF!,#REF!,IF(AJ6&lt;=#REF!,#REF!,IF(AJ6&lt;=#REF!,#REF!,0.05)))))))</f>
        <v>#REF!</v>
      </c>
      <c r="AU6" s="193" t="e">
        <f t="shared" si="7"/>
        <v>#REF!</v>
      </c>
      <c r="AV6" s="192"/>
      <c r="AW6" s="192" t="e">
        <f>IF(AM6&lt;=#REF!,#REF!,IF(AM6&lt;=#REF!,#REF!,IF(AM6&lt;=#REF!,#REF!,IF(AM6&lt;=#REF!,#REF!,IF(AM6&lt;=#REF!,#REF!,IF(AM6&lt;=#REF!,#REF!,IF(AM6&lt;=#REF!,#REF!,0.05)))))))</f>
        <v>#REF!</v>
      </c>
      <c r="AX6" s="193" t="e">
        <f t="shared" si="8"/>
        <v>#REF!</v>
      </c>
      <c r="AY6" s="192"/>
      <c r="AZ6" s="192" t="e">
        <f>IF(AP6&lt;=#REF!,#REF!,IF(AP6&lt;=#REF!,#REF!,IF(AP6&lt;=#REF!,#REF!,IF(AP6&lt;=#REF!,#REF!,IF(AP6&lt;=#REF!,#REF!,IF(AP6&lt;=#REF!,#REF!,IF(AP6&lt;=#REF!,#REF!,0.05)))))))</f>
        <v>#REF!</v>
      </c>
      <c r="BA6" s="193" t="e">
        <f t="shared" si="9"/>
        <v>#REF!</v>
      </c>
      <c r="BB6" s="192"/>
      <c r="BC6" s="196" t="e">
        <f>IF(AS6&lt;=#REF!,#REF!,IF(AS6&lt;=#REF!,#REF!,IF(AS6&lt;=#REF!,#REF!,IF(AS6&lt;=#REF!,#REF!,IF(AS6&lt;=#REF!,#REF!,IF(AS6&lt;=#REF!,#REF!,IF(AS6&lt;=#REF!,#REF!,0.05)))))))</f>
        <v>#REF!</v>
      </c>
      <c r="BD6" s="193" t="e">
        <f t="shared" si="10"/>
        <v>#REF!</v>
      </c>
      <c r="BF6" s="194" t="e">
        <f t="shared" si="11"/>
        <v>#REF!</v>
      </c>
      <c r="BH6" s="194" t="e">
        <f t="shared" si="12"/>
        <v>#REF!</v>
      </c>
      <c r="BI6" s="195" t="e">
        <f t="shared" si="13"/>
        <v>#REF!</v>
      </c>
      <c r="BJ6" s="192" t="e">
        <f t="shared" si="14"/>
        <v>#REF!</v>
      </c>
      <c r="BM6" s="192">
        <v>0.05</v>
      </c>
      <c r="BN6" s="193">
        <v>1000000000</v>
      </c>
      <c r="BP6" s="192">
        <v>0.2</v>
      </c>
      <c r="BQ6" s="193">
        <v>4000</v>
      </c>
      <c r="BR6" s="193"/>
      <c r="BS6" s="192">
        <v>0.22</v>
      </c>
      <c r="BT6" s="193">
        <v>19000</v>
      </c>
      <c r="BV6" s="196">
        <v>-0.05</v>
      </c>
      <c r="BW6" s="193">
        <v>19000</v>
      </c>
      <c r="BZ6" s="193">
        <v>3000</v>
      </c>
      <c r="CA6" s="193"/>
      <c r="CB6" s="193"/>
      <c r="CC6" s="193">
        <f t="shared" si="15"/>
        <v>3000</v>
      </c>
      <c r="CD6" s="193"/>
      <c r="CE6" s="193"/>
      <c r="CF6" s="193">
        <f t="shared" si="16"/>
        <v>6000</v>
      </c>
      <c r="CG6" s="193"/>
      <c r="CH6" s="193"/>
      <c r="CI6" s="193">
        <f t="shared" si="17"/>
        <v>6000</v>
      </c>
      <c r="CJ6" s="192">
        <f t="shared" si="0"/>
        <v>0.1</v>
      </c>
      <c r="CK6" s="193">
        <f t="shared" si="18"/>
        <v>300</v>
      </c>
      <c r="CL6" s="192"/>
      <c r="CM6" s="192">
        <f t="shared" si="1"/>
        <v>0.3</v>
      </c>
      <c r="CN6" s="193">
        <f t="shared" si="19"/>
        <v>900</v>
      </c>
      <c r="CO6" s="192"/>
      <c r="CP6" s="192">
        <f t="shared" si="2"/>
        <v>0.28000000000000003</v>
      </c>
      <c r="CQ6" s="193">
        <f t="shared" si="20"/>
        <v>2016.0000000000002</v>
      </c>
      <c r="CR6" s="192"/>
      <c r="CS6" s="196">
        <f t="shared" si="3"/>
        <v>0</v>
      </c>
      <c r="CT6" s="193">
        <f t="shared" si="21"/>
        <v>0</v>
      </c>
      <c r="CV6" s="194">
        <f t="shared" si="22"/>
        <v>645.12000000000012</v>
      </c>
      <c r="CX6" s="194">
        <f t="shared" si="23"/>
        <v>9861.1200000000008</v>
      </c>
      <c r="CY6" s="195">
        <f t="shared" si="24"/>
        <v>3216</v>
      </c>
      <c r="CZ6" s="192">
        <f t="shared" si="25"/>
        <v>0.32612928348909653</v>
      </c>
    </row>
    <row r="7" spans="1:104">
      <c r="A7" s="2" t="s">
        <v>222</v>
      </c>
      <c r="B7" s="250"/>
      <c r="C7" s="4"/>
      <c r="D7" s="1"/>
      <c r="E7" s="206"/>
      <c r="F7" s="53"/>
      <c r="G7" s="483"/>
      <c r="H7" s="593"/>
      <c r="I7" s="64"/>
      <c r="J7" s="64"/>
      <c r="K7" s="64"/>
      <c r="L7" s="64"/>
      <c r="M7" s="64"/>
      <c r="AJ7" s="193">
        <v>4000</v>
      </c>
      <c r="AK7" s="193"/>
      <c r="AL7" s="193"/>
      <c r="AM7" s="193">
        <f t="shared" si="4"/>
        <v>4000</v>
      </c>
      <c r="AN7" s="193"/>
      <c r="AO7" s="193"/>
      <c r="AP7" s="193">
        <f t="shared" si="5"/>
        <v>8000</v>
      </c>
      <c r="AQ7" s="193"/>
      <c r="AR7" s="193"/>
      <c r="AS7" s="193">
        <f t="shared" si="6"/>
        <v>8000</v>
      </c>
      <c r="AT7" s="192" t="e">
        <f>IF(AJ7&lt;=#REF!,#REF!,IF(AJ7&lt;=#REF!,#REF!,IF(AJ7&lt;=#REF!,#REF!,IF(AJ7&lt;=#REF!,#REF!,IF(AJ7&lt;=#REF!,#REF!,IF(AJ7&lt;=#REF!,#REF!,IF(AJ7&lt;=#REF!,#REF!,0.05)))))))</f>
        <v>#REF!</v>
      </c>
      <c r="AU7" s="193" t="e">
        <f t="shared" si="7"/>
        <v>#REF!</v>
      </c>
      <c r="AV7" s="192"/>
      <c r="AW7" s="192" t="e">
        <f>IF(AM7&lt;=#REF!,#REF!,IF(AM7&lt;=#REF!,#REF!,IF(AM7&lt;=#REF!,#REF!,IF(AM7&lt;=#REF!,#REF!,IF(AM7&lt;=#REF!,#REF!,IF(AM7&lt;=#REF!,#REF!,IF(AM7&lt;=#REF!,#REF!,0.05)))))))</f>
        <v>#REF!</v>
      </c>
      <c r="AX7" s="193" t="e">
        <f t="shared" si="8"/>
        <v>#REF!</v>
      </c>
      <c r="AY7" s="192"/>
      <c r="AZ7" s="192" t="e">
        <f>IF(AP7&lt;=#REF!,#REF!,IF(AP7&lt;=#REF!,#REF!,IF(AP7&lt;=#REF!,#REF!,IF(AP7&lt;=#REF!,#REF!,IF(AP7&lt;=#REF!,#REF!,IF(AP7&lt;=#REF!,#REF!,IF(AP7&lt;=#REF!,#REF!,0.05)))))))</f>
        <v>#REF!</v>
      </c>
      <c r="BA7" s="193" t="e">
        <f t="shared" si="9"/>
        <v>#REF!</v>
      </c>
      <c r="BB7" s="192"/>
      <c r="BC7" s="196" t="e">
        <f>IF(AS7&lt;=#REF!,#REF!,IF(AS7&lt;=#REF!,#REF!,IF(AS7&lt;=#REF!,#REF!,IF(AS7&lt;=#REF!,#REF!,IF(AS7&lt;=#REF!,#REF!,IF(AS7&lt;=#REF!,#REF!,IF(AS7&lt;=#REF!,#REF!,0.05)))))))</f>
        <v>#REF!</v>
      </c>
      <c r="BD7" s="193" t="e">
        <f t="shared" si="10"/>
        <v>#REF!</v>
      </c>
      <c r="BF7" s="194" t="e">
        <f t="shared" si="11"/>
        <v>#REF!</v>
      </c>
      <c r="BH7" s="194" t="e">
        <f t="shared" si="12"/>
        <v>#REF!</v>
      </c>
      <c r="BI7" s="195" t="e">
        <f t="shared" si="13"/>
        <v>#REF!</v>
      </c>
      <c r="BJ7" s="192" t="e">
        <f t="shared" si="14"/>
        <v>#REF!</v>
      </c>
      <c r="BM7" s="192">
        <v>0.05</v>
      </c>
      <c r="BN7" s="193">
        <v>1000000000</v>
      </c>
      <c r="BP7" s="192">
        <v>0.1</v>
      </c>
      <c r="BQ7" s="193">
        <v>7000</v>
      </c>
      <c r="BR7" s="193"/>
      <c r="BS7" s="192">
        <v>0.2</v>
      </c>
      <c r="BT7" s="193">
        <v>24000</v>
      </c>
      <c r="BV7" s="196">
        <v>-0.05</v>
      </c>
      <c r="BW7" s="193">
        <v>34000</v>
      </c>
      <c r="BZ7" s="193">
        <v>4000</v>
      </c>
      <c r="CA7" s="193"/>
      <c r="CB7" s="193"/>
      <c r="CC7" s="193">
        <f t="shared" si="15"/>
        <v>4000</v>
      </c>
      <c r="CD7" s="193"/>
      <c r="CE7" s="193"/>
      <c r="CF7" s="193">
        <f t="shared" si="16"/>
        <v>8000</v>
      </c>
      <c r="CG7" s="193"/>
      <c r="CH7" s="193"/>
      <c r="CI7" s="193">
        <f t="shared" si="17"/>
        <v>8000</v>
      </c>
      <c r="CJ7" s="192">
        <f t="shared" si="0"/>
        <v>0.1</v>
      </c>
      <c r="CK7" s="193">
        <f t="shared" si="18"/>
        <v>400</v>
      </c>
      <c r="CL7" s="192"/>
      <c r="CM7" s="192">
        <f t="shared" si="1"/>
        <v>0.2</v>
      </c>
      <c r="CN7" s="193">
        <f t="shared" si="19"/>
        <v>800</v>
      </c>
      <c r="CO7" s="192"/>
      <c r="CP7" s="192">
        <f t="shared" si="2"/>
        <v>0.28000000000000003</v>
      </c>
      <c r="CQ7" s="193">
        <f t="shared" si="20"/>
        <v>2576.0000000000005</v>
      </c>
      <c r="CR7" s="192"/>
      <c r="CS7" s="196">
        <f t="shared" si="3"/>
        <v>0</v>
      </c>
      <c r="CT7" s="193">
        <f t="shared" si="21"/>
        <v>0</v>
      </c>
      <c r="CV7" s="194">
        <f t="shared" si="22"/>
        <v>824.32</v>
      </c>
      <c r="CX7" s="194">
        <f t="shared" si="23"/>
        <v>12600.32</v>
      </c>
      <c r="CY7" s="195">
        <f t="shared" si="24"/>
        <v>3776.0000000000005</v>
      </c>
      <c r="CZ7" s="192">
        <f t="shared" si="25"/>
        <v>0.29967492889069486</v>
      </c>
    </row>
    <row r="8" spans="1:104">
      <c r="A8" s="249" t="s">
        <v>223</v>
      </c>
      <c r="B8" s="3"/>
      <c r="C8" s="4"/>
      <c r="D8" s="1"/>
      <c r="E8" s="1471"/>
      <c r="F8" s="53"/>
      <c r="G8" s="483"/>
      <c r="H8" s="593"/>
      <c r="I8" s="64"/>
      <c r="J8" s="66"/>
      <c r="K8" s="66"/>
      <c r="L8" s="64"/>
      <c r="M8" s="64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2"/>
      <c r="AU8" s="193"/>
      <c r="AV8" s="192"/>
      <c r="AW8" s="192"/>
      <c r="AX8" s="193"/>
      <c r="AY8" s="192"/>
      <c r="AZ8" s="192"/>
      <c r="BA8" s="193"/>
      <c r="BB8" s="192"/>
      <c r="BC8" s="196"/>
      <c r="BD8" s="193"/>
      <c r="BF8" s="194"/>
      <c r="BH8" s="194"/>
      <c r="BI8" s="195"/>
      <c r="BJ8" s="192"/>
      <c r="BM8" s="192"/>
      <c r="BN8" s="193"/>
      <c r="BP8" s="192"/>
      <c r="BQ8" s="193"/>
      <c r="BR8" s="193"/>
      <c r="BS8" s="192"/>
      <c r="BT8" s="193"/>
      <c r="BV8" s="196"/>
      <c r="BW8" s="193"/>
      <c r="BZ8" s="193"/>
      <c r="CA8" s="193"/>
      <c r="CB8" s="193"/>
      <c r="CC8" s="193"/>
      <c r="CD8" s="193"/>
      <c r="CE8" s="193"/>
      <c r="CF8" s="193"/>
      <c r="CG8" s="193"/>
      <c r="CH8" s="193"/>
      <c r="CI8" s="193"/>
      <c r="CJ8" s="192"/>
      <c r="CK8" s="193"/>
      <c r="CL8" s="192"/>
      <c r="CM8" s="192"/>
      <c r="CN8" s="193"/>
      <c r="CO8" s="192"/>
      <c r="CP8" s="192"/>
      <c r="CQ8" s="193"/>
      <c r="CR8" s="192"/>
      <c r="CS8" s="196"/>
      <c r="CT8" s="193"/>
      <c r="CV8" s="194"/>
      <c r="CX8" s="194"/>
      <c r="CY8" s="195"/>
      <c r="CZ8" s="192"/>
    </row>
    <row r="9" spans="1:104">
      <c r="A9" s="249" t="s">
        <v>224</v>
      </c>
      <c r="B9" s="250"/>
      <c r="C9" s="4"/>
      <c r="D9" s="1"/>
      <c r="E9" s="206"/>
      <c r="F9" s="53"/>
      <c r="G9" s="79"/>
      <c r="H9" s="593"/>
      <c r="I9" s="66"/>
      <c r="J9" s="66"/>
      <c r="K9" s="66"/>
      <c r="L9" s="66"/>
      <c r="M9" s="6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2"/>
      <c r="AU9" s="193"/>
      <c r="AV9" s="192"/>
      <c r="AW9" s="192"/>
      <c r="AX9" s="193"/>
      <c r="AY9" s="192"/>
      <c r="AZ9" s="192"/>
      <c r="BA9" s="193"/>
      <c r="BB9" s="192"/>
      <c r="BC9" s="196"/>
      <c r="BD9" s="193"/>
      <c r="BF9" s="194"/>
      <c r="BH9" s="194"/>
      <c r="BI9" s="195"/>
      <c r="BJ9" s="192"/>
      <c r="BM9" s="192"/>
      <c r="BN9" s="193"/>
      <c r="BP9" s="192"/>
      <c r="BQ9" s="193"/>
      <c r="BR9" s="193"/>
      <c r="BS9" s="192"/>
      <c r="BT9" s="193"/>
      <c r="BV9" s="196"/>
      <c r="BW9" s="193"/>
      <c r="BZ9" s="193"/>
      <c r="CA9" s="193"/>
      <c r="CB9" s="193"/>
      <c r="CC9" s="193"/>
      <c r="CD9" s="193"/>
      <c r="CE9" s="193"/>
      <c r="CF9" s="193"/>
      <c r="CG9" s="193"/>
      <c r="CH9" s="193"/>
      <c r="CI9" s="193"/>
      <c r="CJ9" s="192"/>
      <c r="CK9" s="193"/>
      <c r="CL9" s="192"/>
      <c r="CM9" s="192"/>
      <c r="CN9" s="193"/>
      <c r="CO9" s="192"/>
      <c r="CP9" s="192"/>
      <c r="CQ9" s="193"/>
      <c r="CR9" s="192"/>
      <c r="CS9" s="196"/>
      <c r="CT9" s="193"/>
      <c r="CV9" s="194"/>
      <c r="CX9" s="194"/>
      <c r="CY9" s="195"/>
      <c r="CZ9" s="192"/>
    </row>
    <row r="10" spans="1:104">
      <c r="A10" s="132" t="s">
        <v>203</v>
      </c>
      <c r="B10" s="3"/>
      <c r="C10" s="4"/>
      <c r="D10" s="1"/>
      <c r="E10" s="206"/>
      <c r="F10" s="53"/>
      <c r="G10" s="400"/>
      <c r="H10" s="593"/>
      <c r="I10" s="66"/>
      <c r="J10" s="66"/>
      <c r="K10" s="66"/>
      <c r="L10" s="66"/>
      <c r="M10" s="66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2"/>
      <c r="AU10" s="193"/>
      <c r="AV10" s="192"/>
      <c r="AW10" s="192"/>
      <c r="AX10" s="193"/>
      <c r="AY10" s="192"/>
      <c r="AZ10" s="192"/>
      <c r="BA10" s="193"/>
      <c r="BB10" s="192"/>
      <c r="BC10" s="196"/>
      <c r="BD10" s="193"/>
      <c r="BF10" s="194"/>
      <c r="BH10" s="194"/>
      <c r="BI10" s="195"/>
      <c r="BJ10" s="192"/>
      <c r="BM10" s="192"/>
      <c r="BN10" s="193"/>
      <c r="BP10" s="192"/>
      <c r="BQ10" s="193"/>
      <c r="BR10" s="193"/>
      <c r="BS10" s="192"/>
      <c r="BT10" s="193"/>
      <c r="BV10" s="196"/>
      <c r="BW10" s="193"/>
      <c r="BZ10" s="193"/>
      <c r="CA10" s="193"/>
      <c r="CB10" s="193"/>
      <c r="CC10" s="193"/>
      <c r="CD10" s="193"/>
      <c r="CE10" s="193"/>
      <c r="CF10" s="193"/>
      <c r="CG10" s="193"/>
      <c r="CH10" s="193"/>
      <c r="CI10" s="193"/>
      <c r="CJ10" s="192"/>
      <c r="CK10" s="193"/>
      <c r="CL10" s="192"/>
      <c r="CM10" s="192"/>
      <c r="CN10" s="193"/>
      <c r="CO10" s="192"/>
      <c r="CP10" s="192"/>
      <c r="CQ10" s="193"/>
      <c r="CR10" s="192"/>
      <c r="CS10" s="196"/>
      <c r="CT10" s="193"/>
      <c r="CV10" s="194"/>
      <c r="CX10" s="194"/>
      <c r="CY10" s="195"/>
      <c r="CZ10" s="192"/>
    </row>
    <row r="11" spans="1:104">
      <c r="A11" s="3"/>
      <c r="B11" s="3"/>
      <c r="C11" s="4"/>
      <c r="D11" s="1"/>
      <c r="E11" s="206"/>
      <c r="F11" s="53"/>
      <c r="G11" s="400"/>
      <c r="H11" s="593"/>
      <c r="I11" s="66"/>
      <c r="J11" s="66"/>
      <c r="K11" s="66"/>
      <c r="L11" s="66"/>
      <c r="M11" s="66"/>
      <c r="AJ11" s="193"/>
      <c r="AK11" s="193"/>
      <c r="AL11" s="193"/>
      <c r="AM11" s="193"/>
      <c r="AN11" s="193"/>
      <c r="AO11" s="193"/>
      <c r="AP11" s="193"/>
      <c r="AQ11" s="193"/>
      <c r="AR11" s="193"/>
      <c r="AS11" s="193"/>
      <c r="AT11" s="192"/>
      <c r="AU11" s="193"/>
      <c r="AV11" s="192"/>
      <c r="AW11" s="192"/>
      <c r="AX11" s="193"/>
      <c r="AY11" s="192"/>
      <c r="AZ11" s="192"/>
      <c r="BA11" s="193"/>
      <c r="BB11" s="192"/>
      <c r="BC11" s="196"/>
      <c r="BD11" s="193"/>
      <c r="BF11" s="194"/>
      <c r="BH11" s="194"/>
      <c r="BI11" s="195"/>
      <c r="BJ11" s="192"/>
      <c r="BM11" s="192"/>
      <c r="BN11" s="193"/>
      <c r="BP11" s="192"/>
      <c r="BQ11" s="193"/>
      <c r="BR11" s="193"/>
      <c r="BS11" s="192"/>
      <c r="BT11" s="193"/>
      <c r="BV11" s="196"/>
      <c r="BW11" s="193"/>
      <c r="BZ11" s="193"/>
      <c r="CA11" s="193"/>
      <c r="CB11" s="193"/>
      <c r="CC11" s="193"/>
      <c r="CD11" s="193"/>
      <c r="CE11" s="193"/>
      <c r="CF11" s="193"/>
      <c r="CG11" s="193"/>
      <c r="CH11" s="193"/>
      <c r="CI11" s="193"/>
      <c r="CJ11" s="192"/>
      <c r="CK11" s="193"/>
      <c r="CL11" s="192"/>
      <c r="CM11" s="192"/>
      <c r="CN11" s="193"/>
      <c r="CO11" s="192"/>
      <c r="CP11" s="192"/>
      <c r="CQ11" s="193"/>
      <c r="CR11" s="192"/>
      <c r="CS11" s="196"/>
      <c r="CT11" s="193"/>
      <c r="CV11" s="194"/>
      <c r="CX11" s="194"/>
      <c r="CY11" s="195"/>
      <c r="CZ11" s="192"/>
    </row>
    <row r="12" spans="1:104">
      <c r="A12" s="479" t="s">
        <v>583</v>
      </c>
      <c r="B12" s="3"/>
      <c r="C12" s="4"/>
      <c r="D12" s="1"/>
      <c r="E12" s="206"/>
      <c r="F12" s="53"/>
      <c r="G12" s="400"/>
      <c r="H12" s="593"/>
      <c r="I12" s="66"/>
      <c r="J12" s="66"/>
      <c r="K12" s="66"/>
      <c r="L12" s="66"/>
      <c r="M12" s="66"/>
      <c r="AJ12" s="193">
        <v>5000</v>
      </c>
      <c r="AK12" s="193"/>
      <c r="AL12" s="193"/>
      <c r="AM12" s="193">
        <f t="shared" si="4"/>
        <v>5000</v>
      </c>
      <c r="AN12" s="193"/>
      <c r="AO12" s="193"/>
      <c r="AP12" s="193">
        <f t="shared" si="5"/>
        <v>10000</v>
      </c>
      <c r="AQ12" s="193"/>
      <c r="AR12" s="193"/>
      <c r="AS12" s="193">
        <f t="shared" si="6"/>
        <v>10000</v>
      </c>
      <c r="AT12" s="192" t="e">
        <f>IF(AJ12&lt;=#REF!,#REF!,IF(AJ12&lt;=#REF!,#REF!,IF(AJ12&lt;=#REF!,#REF!,IF(AJ12&lt;=#REF!,#REF!,IF(AJ12&lt;=#REF!,#REF!,IF(AJ12&lt;=#REF!,#REF!,IF(AJ12&lt;=#REF!,#REF!,0.05)))))))</f>
        <v>#REF!</v>
      </c>
      <c r="AU12" s="193" t="e">
        <f t="shared" si="7"/>
        <v>#REF!</v>
      </c>
      <c r="AV12" s="192"/>
      <c r="AW12" s="192" t="e">
        <f>IF(AM12&lt;=#REF!,#REF!,IF(AM12&lt;=#REF!,#REF!,IF(AM12&lt;=#REF!,#REF!,IF(AM12&lt;=#REF!,#REF!,IF(AM12&lt;=#REF!,#REF!,IF(AM12&lt;=#REF!,#REF!,IF(AM12&lt;=#REF!,#REF!,0.05)))))))</f>
        <v>#REF!</v>
      </c>
      <c r="AX12" s="193" t="e">
        <f t="shared" si="8"/>
        <v>#REF!</v>
      </c>
      <c r="AY12" s="192"/>
      <c r="AZ12" s="192" t="e">
        <f>IF(AP12&lt;=#REF!,#REF!,IF(AP12&lt;=#REF!,#REF!,IF(AP12&lt;=#REF!,#REF!,IF(AP12&lt;=#REF!,#REF!,IF(AP12&lt;=#REF!,#REF!,IF(AP12&lt;=#REF!,#REF!,IF(AP12&lt;=#REF!,#REF!,0.05)))))))</f>
        <v>#REF!</v>
      </c>
      <c r="BA12" s="193" t="e">
        <f t="shared" si="9"/>
        <v>#REF!</v>
      </c>
      <c r="BB12" s="192"/>
      <c r="BC12" s="196" t="e">
        <f>IF(AS12&lt;=#REF!,#REF!,IF(AS12&lt;=#REF!,#REF!,IF(AS12&lt;=#REF!,#REF!,IF(AS12&lt;=#REF!,#REF!,IF(AS12&lt;=#REF!,#REF!,IF(AS12&lt;=#REF!,#REF!,IF(AS12&lt;=#REF!,#REF!,0.05)))))))</f>
        <v>#REF!</v>
      </c>
      <c r="BD12" s="193" t="e">
        <f t="shared" si="10"/>
        <v>#REF!</v>
      </c>
      <c r="BF12" s="194" t="e">
        <f t="shared" si="11"/>
        <v>#REF!</v>
      </c>
      <c r="BH12" s="194" t="e">
        <f t="shared" si="12"/>
        <v>#REF!</v>
      </c>
      <c r="BI12" s="195" t="e">
        <f t="shared" si="13"/>
        <v>#REF!</v>
      </c>
      <c r="BJ12" s="192" t="e">
        <f t="shared" si="14"/>
        <v>#REF!</v>
      </c>
      <c r="BM12" s="192">
        <v>0.05</v>
      </c>
      <c r="BN12" s="193">
        <v>1000000000</v>
      </c>
      <c r="BP12" s="192">
        <v>0.05</v>
      </c>
      <c r="BQ12" s="193">
        <v>10000</v>
      </c>
      <c r="BR12" s="193"/>
      <c r="BS12" s="192">
        <v>0.18</v>
      </c>
      <c r="BT12" s="193">
        <v>1000000000</v>
      </c>
      <c r="BV12" s="196">
        <v>-5.5E-2</v>
      </c>
      <c r="BW12" s="193">
        <v>44000</v>
      </c>
      <c r="BZ12" s="193">
        <v>5000</v>
      </c>
      <c r="CA12" s="193"/>
      <c r="CB12" s="193"/>
      <c r="CC12" s="193">
        <f t="shared" si="15"/>
        <v>5000</v>
      </c>
      <c r="CD12" s="193"/>
      <c r="CE12" s="193"/>
      <c r="CF12" s="193">
        <f t="shared" si="16"/>
        <v>10000</v>
      </c>
      <c r="CG12" s="193"/>
      <c r="CH12" s="193"/>
      <c r="CI12" s="193">
        <f t="shared" si="17"/>
        <v>10000</v>
      </c>
      <c r="CJ12" s="192">
        <f t="shared" si="0"/>
        <v>0.1</v>
      </c>
      <c r="CK12" s="193">
        <f t="shared" si="18"/>
        <v>500</v>
      </c>
      <c r="CL12" s="192"/>
      <c r="CM12" s="192">
        <f t="shared" si="1"/>
        <v>0.1</v>
      </c>
      <c r="CN12" s="193">
        <f t="shared" si="19"/>
        <v>500</v>
      </c>
      <c r="CO12" s="192"/>
      <c r="CP12" s="192">
        <f t="shared" si="2"/>
        <v>0.24</v>
      </c>
      <c r="CQ12" s="193">
        <f t="shared" si="20"/>
        <v>2640</v>
      </c>
      <c r="CR12" s="192"/>
      <c r="CS12" s="196">
        <f t="shared" si="3"/>
        <v>-0.04</v>
      </c>
      <c r="CT12" s="193">
        <f t="shared" si="21"/>
        <v>-400</v>
      </c>
      <c r="CV12" s="194">
        <f t="shared" si="22"/>
        <v>926.80000000000007</v>
      </c>
      <c r="CX12" s="194">
        <f t="shared" si="23"/>
        <v>14166.8</v>
      </c>
      <c r="CY12" s="195">
        <f t="shared" si="24"/>
        <v>3240</v>
      </c>
      <c r="CZ12" s="192">
        <f t="shared" si="25"/>
        <v>0.22870372984724852</v>
      </c>
    </row>
    <row r="13" spans="1:104">
      <c r="A13" s="479"/>
      <c r="B13" s="3"/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6"/>
      <c r="AJ13" s="193">
        <v>6000</v>
      </c>
      <c r="AK13" s="193"/>
      <c r="AL13" s="193"/>
      <c r="AM13" s="193">
        <f t="shared" si="4"/>
        <v>6000</v>
      </c>
      <c r="AN13" s="193"/>
      <c r="AO13" s="193"/>
      <c r="AP13" s="193">
        <f t="shared" si="5"/>
        <v>12000</v>
      </c>
      <c r="AQ13" s="193"/>
      <c r="AR13" s="193"/>
      <c r="AS13" s="193">
        <f t="shared" si="6"/>
        <v>12000</v>
      </c>
      <c r="AT13" s="192" t="e">
        <f>IF(AJ13&lt;=#REF!,#REF!,IF(AJ13&lt;=#REF!,#REF!,IF(AJ13&lt;=#REF!,#REF!,IF(AJ13&lt;=#REF!,#REF!,IF(AJ13&lt;=#REF!,#REF!,IF(AJ13&lt;=#REF!,#REF!,IF(AJ13&lt;=#REF!,#REF!,0.05)))))))</f>
        <v>#REF!</v>
      </c>
      <c r="AU13" s="193" t="e">
        <f t="shared" si="7"/>
        <v>#REF!</v>
      </c>
      <c r="AV13" s="192"/>
      <c r="AW13" s="192" t="e">
        <f>IF(AM13&lt;=#REF!,#REF!,IF(AM13&lt;=#REF!,#REF!,IF(AM13&lt;=#REF!,#REF!,IF(AM13&lt;=#REF!,#REF!,IF(AM13&lt;=#REF!,#REF!,IF(AM13&lt;=#REF!,#REF!,IF(AM13&lt;=#REF!,#REF!,0.05)))))))</f>
        <v>#REF!</v>
      </c>
      <c r="AX13" s="193" t="e">
        <f t="shared" si="8"/>
        <v>#REF!</v>
      </c>
      <c r="AY13" s="192"/>
      <c r="AZ13" s="192" t="e">
        <f>IF(AP13&lt;=#REF!,#REF!,IF(AP13&lt;=#REF!,#REF!,IF(AP13&lt;=#REF!,#REF!,IF(AP13&lt;=#REF!,#REF!,IF(AP13&lt;=#REF!,#REF!,IF(AP13&lt;=#REF!,#REF!,IF(AP13&lt;=#REF!,#REF!,0.05)))))))</f>
        <v>#REF!</v>
      </c>
      <c r="BA13" s="193" t="e">
        <f t="shared" si="9"/>
        <v>#REF!</v>
      </c>
      <c r="BB13" s="192"/>
      <c r="BC13" s="196" t="e">
        <f>IF(AS13&lt;=#REF!,#REF!,IF(AS13&lt;=#REF!,#REF!,IF(AS13&lt;=#REF!,#REF!,IF(AS13&lt;=#REF!,#REF!,IF(AS13&lt;=#REF!,#REF!,IF(AS13&lt;=#REF!,#REF!,IF(AS13&lt;=#REF!,#REF!,0.05)))))))</f>
        <v>#REF!</v>
      </c>
      <c r="BD13" s="193" t="e">
        <f t="shared" si="10"/>
        <v>#REF!</v>
      </c>
      <c r="BF13" s="194" t="e">
        <f t="shared" si="11"/>
        <v>#REF!</v>
      </c>
      <c r="BH13" s="194" t="e">
        <f t="shared" si="12"/>
        <v>#REF!</v>
      </c>
      <c r="BI13" s="195" t="e">
        <f t="shared" si="13"/>
        <v>#REF!</v>
      </c>
      <c r="BJ13" s="192" t="e">
        <f t="shared" si="14"/>
        <v>#REF!</v>
      </c>
      <c r="BM13" s="192">
        <v>0.05</v>
      </c>
      <c r="BN13" s="193">
        <v>1000000000</v>
      </c>
      <c r="BP13" s="192">
        <v>0.03</v>
      </c>
      <c r="BQ13" s="193">
        <v>1000000000</v>
      </c>
      <c r="BR13" s="193"/>
      <c r="BS13" s="192">
        <v>0.18</v>
      </c>
      <c r="BT13" s="193">
        <v>1000000000</v>
      </c>
      <c r="BV13" s="196">
        <v>-0.06</v>
      </c>
      <c r="BW13" s="193">
        <v>1000000000</v>
      </c>
      <c r="BZ13" s="193">
        <v>6000</v>
      </c>
      <c r="CA13" s="193"/>
      <c r="CB13" s="193"/>
      <c r="CC13" s="193">
        <f t="shared" si="15"/>
        <v>6000</v>
      </c>
      <c r="CD13" s="193"/>
      <c r="CE13" s="193"/>
      <c r="CF13" s="193">
        <f t="shared" si="16"/>
        <v>12000</v>
      </c>
      <c r="CG13" s="193"/>
      <c r="CH13" s="193"/>
      <c r="CI13" s="193">
        <f t="shared" si="17"/>
        <v>12000</v>
      </c>
      <c r="CJ13" s="192">
        <f t="shared" si="0"/>
        <v>0.05</v>
      </c>
      <c r="CK13" s="193">
        <f t="shared" si="18"/>
        <v>300</v>
      </c>
      <c r="CL13" s="192"/>
      <c r="CM13" s="192">
        <f t="shared" si="1"/>
        <v>0.1</v>
      </c>
      <c r="CN13" s="193">
        <f t="shared" si="19"/>
        <v>600</v>
      </c>
      <c r="CO13" s="192"/>
      <c r="CP13" s="192">
        <f t="shared" si="2"/>
        <v>0.24</v>
      </c>
      <c r="CQ13" s="193">
        <f t="shared" si="20"/>
        <v>3096</v>
      </c>
      <c r="CR13" s="192"/>
      <c r="CS13" s="196">
        <f t="shared" si="3"/>
        <v>-0.04</v>
      </c>
      <c r="CT13" s="193">
        <f t="shared" si="21"/>
        <v>-480</v>
      </c>
      <c r="CV13" s="194">
        <f t="shared" si="22"/>
        <v>1086.1200000000001</v>
      </c>
      <c r="CX13" s="194">
        <f t="shared" si="23"/>
        <v>16602.12</v>
      </c>
      <c r="CY13" s="195">
        <f t="shared" si="24"/>
        <v>3516</v>
      </c>
      <c r="CZ13" s="192">
        <f t="shared" si="25"/>
        <v>0.21178018228997261</v>
      </c>
    </row>
    <row r="14" spans="1:104">
      <c r="A14" s="479"/>
      <c r="B14" s="1"/>
      <c r="C14" s="4"/>
      <c r="D14" s="1"/>
      <c r="E14" s="204"/>
      <c r="F14" s="53"/>
      <c r="G14" s="400"/>
      <c r="H14" s="593"/>
      <c r="I14" s="66"/>
      <c r="J14" s="66"/>
      <c r="K14" s="66"/>
      <c r="L14" s="66"/>
      <c r="M14" s="66"/>
      <c r="AJ14" s="193">
        <v>7000</v>
      </c>
      <c r="AK14" s="193"/>
      <c r="AL14" s="193"/>
      <c r="AM14" s="193">
        <f t="shared" si="4"/>
        <v>7000</v>
      </c>
      <c r="AN14" s="193"/>
      <c r="AO14" s="193"/>
      <c r="AP14" s="193">
        <f t="shared" si="5"/>
        <v>14000</v>
      </c>
      <c r="AQ14" s="193"/>
      <c r="AR14" s="193"/>
      <c r="AS14" s="193">
        <f t="shared" si="6"/>
        <v>14000</v>
      </c>
      <c r="AT14" s="192" t="e">
        <f>IF(AJ14&lt;=#REF!,#REF!,IF(AJ14&lt;=#REF!,#REF!,IF(AJ14&lt;=#REF!,#REF!,IF(AJ14&lt;=#REF!,#REF!,IF(AJ14&lt;=#REF!,#REF!,IF(AJ14&lt;=#REF!,#REF!,IF(AJ14&lt;=#REF!,#REF!,0.05)))))))</f>
        <v>#REF!</v>
      </c>
      <c r="AU14" s="193" t="e">
        <f t="shared" si="7"/>
        <v>#REF!</v>
      </c>
      <c r="AV14" s="192"/>
      <c r="AW14" s="192" t="e">
        <f>IF(AM14&lt;=#REF!,#REF!,IF(AM14&lt;=#REF!,#REF!,IF(AM14&lt;=#REF!,#REF!,IF(AM14&lt;=#REF!,#REF!,IF(AM14&lt;=#REF!,#REF!,IF(AM14&lt;=#REF!,#REF!,IF(AM14&lt;=#REF!,#REF!,0.05)))))))</f>
        <v>#REF!</v>
      </c>
      <c r="AX14" s="193" t="e">
        <f t="shared" si="8"/>
        <v>#REF!</v>
      </c>
      <c r="AY14" s="192"/>
      <c r="AZ14" s="192" t="e">
        <f>IF(AP14&lt;=#REF!,#REF!,IF(AP14&lt;=#REF!,#REF!,IF(AP14&lt;=#REF!,#REF!,IF(AP14&lt;=#REF!,#REF!,IF(AP14&lt;=#REF!,#REF!,IF(AP14&lt;=#REF!,#REF!,IF(AP14&lt;=#REF!,#REF!,0.05)))))))</f>
        <v>#REF!</v>
      </c>
      <c r="BA14" s="193" t="e">
        <f t="shared" si="9"/>
        <v>#REF!</v>
      </c>
      <c r="BB14" s="192"/>
      <c r="BC14" s="196" t="e">
        <f>IF(AS14&lt;=#REF!,#REF!,IF(AS14&lt;=#REF!,#REF!,IF(AS14&lt;=#REF!,#REF!,IF(AS14&lt;=#REF!,#REF!,IF(AS14&lt;=#REF!,#REF!,IF(AS14&lt;=#REF!,#REF!,IF(AS14&lt;=#REF!,#REF!,0.05)))))))</f>
        <v>#REF!</v>
      </c>
      <c r="BD14" s="193" t="e">
        <f t="shared" si="10"/>
        <v>#REF!</v>
      </c>
      <c r="BF14" s="194" t="e">
        <f t="shared" si="11"/>
        <v>#REF!</v>
      </c>
      <c r="BH14" s="194" t="e">
        <f t="shared" si="12"/>
        <v>#REF!</v>
      </c>
      <c r="BI14" s="195" t="e">
        <f t="shared" si="13"/>
        <v>#REF!</v>
      </c>
      <c r="BJ14" s="192" t="e">
        <f t="shared" si="14"/>
        <v>#REF!</v>
      </c>
      <c r="BM14" s="192">
        <v>0.05</v>
      </c>
      <c r="BN14" s="193">
        <v>1000000000</v>
      </c>
      <c r="BP14" s="192">
        <v>0.03</v>
      </c>
      <c r="BQ14" s="193">
        <v>1000000000</v>
      </c>
      <c r="BR14" s="193"/>
      <c r="BS14" s="192">
        <v>0.18</v>
      </c>
      <c r="BT14" s="193">
        <v>1000000000</v>
      </c>
      <c r="BV14" s="196">
        <v>0</v>
      </c>
      <c r="BW14" s="193">
        <v>1000000000</v>
      </c>
      <c r="BZ14" s="193">
        <v>7000</v>
      </c>
      <c r="CA14" s="193"/>
      <c r="CB14" s="193"/>
      <c r="CC14" s="193">
        <f t="shared" si="15"/>
        <v>7000</v>
      </c>
      <c r="CD14" s="193"/>
      <c r="CE14" s="193"/>
      <c r="CF14" s="193">
        <f t="shared" si="16"/>
        <v>14000</v>
      </c>
      <c r="CG14" s="193"/>
      <c r="CH14" s="193"/>
      <c r="CI14" s="193">
        <f t="shared" si="17"/>
        <v>14000</v>
      </c>
      <c r="CJ14" s="192">
        <f t="shared" si="0"/>
        <v>0.05</v>
      </c>
      <c r="CK14" s="193">
        <f t="shared" si="18"/>
        <v>350</v>
      </c>
      <c r="CL14" s="192"/>
      <c r="CM14" s="192">
        <f t="shared" si="1"/>
        <v>0.1</v>
      </c>
      <c r="CN14" s="193">
        <f t="shared" si="19"/>
        <v>700</v>
      </c>
      <c r="CO14" s="192"/>
      <c r="CP14" s="192">
        <f t="shared" si="2"/>
        <v>0.24</v>
      </c>
      <c r="CQ14" s="193">
        <f t="shared" si="20"/>
        <v>3612</v>
      </c>
      <c r="CR14" s="192"/>
      <c r="CS14" s="196">
        <f t="shared" si="3"/>
        <v>-0.04</v>
      </c>
      <c r="CT14" s="193">
        <f t="shared" si="21"/>
        <v>-560</v>
      </c>
      <c r="CV14" s="194">
        <f t="shared" si="22"/>
        <v>1267.1400000000001</v>
      </c>
      <c r="CX14" s="194">
        <f t="shared" si="23"/>
        <v>19369.14</v>
      </c>
      <c r="CY14" s="195">
        <f t="shared" si="24"/>
        <v>4102</v>
      </c>
      <c r="CZ14" s="192">
        <f t="shared" si="25"/>
        <v>0.21178018228997261</v>
      </c>
    </row>
    <row r="15" spans="1:104" ht="16.2" thickBot="1">
      <c r="A15" s="479"/>
      <c r="B15" s="1"/>
      <c r="C15" s="4"/>
      <c r="D15" s="1"/>
      <c r="E15" s="204"/>
      <c r="F15" s="53"/>
      <c r="G15" s="401"/>
      <c r="H15" s="593"/>
      <c r="I15" s="79"/>
      <c r="J15" s="66"/>
      <c r="K15" s="66"/>
      <c r="L15" s="406"/>
      <c r="M15" s="406"/>
      <c r="AJ15" s="193">
        <v>8000</v>
      </c>
      <c r="AK15" s="193"/>
      <c r="AL15" s="193"/>
      <c r="AM15" s="193">
        <f t="shared" si="4"/>
        <v>8000</v>
      </c>
      <c r="AN15" s="193"/>
      <c r="AO15" s="193"/>
      <c r="AP15" s="193">
        <f t="shared" si="5"/>
        <v>16000</v>
      </c>
      <c r="AQ15" s="193"/>
      <c r="AR15" s="193"/>
      <c r="AS15" s="193">
        <f t="shared" si="6"/>
        <v>16000</v>
      </c>
      <c r="AT15" s="192" t="e">
        <f>IF(AJ15&lt;=#REF!,#REF!,IF(AJ15&lt;=#REF!,#REF!,IF(AJ15&lt;=#REF!,#REF!,IF(AJ15&lt;=#REF!,#REF!,IF(AJ15&lt;=#REF!,#REF!,IF(AJ15&lt;=#REF!,#REF!,IF(AJ15&lt;=#REF!,#REF!,0.05)))))))</f>
        <v>#REF!</v>
      </c>
      <c r="AU15" s="193" t="e">
        <f t="shared" si="7"/>
        <v>#REF!</v>
      </c>
      <c r="AV15" s="192"/>
      <c r="AW15" s="192" t="e">
        <f>IF(AM15&lt;=#REF!,#REF!,IF(AM15&lt;=#REF!,#REF!,IF(AM15&lt;=#REF!,#REF!,IF(AM15&lt;=#REF!,#REF!,IF(AM15&lt;=#REF!,#REF!,IF(AM15&lt;=#REF!,#REF!,IF(AM15&lt;=#REF!,#REF!,0.05)))))))</f>
        <v>#REF!</v>
      </c>
      <c r="AX15" s="193" t="e">
        <f t="shared" si="8"/>
        <v>#REF!</v>
      </c>
      <c r="AY15" s="192"/>
      <c r="AZ15" s="192" t="e">
        <f>IF(AP15&lt;=#REF!,#REF!,IF(AP15&lt;=#REF!,#REF!,IF(AP15&lt;=#REF!,#REF!,IF(AP15&lt;=#REF!,#REF!,IF(AP15&lt;=#REF!,#REF!,IF(AP15&lt;=#REF!,#REF!,IF(AP15&lt;=#REF!,#REF!,0.05)))))))</f>
        <v>#REF!</v>
      </c>
      <c r="BA15" s="193" t="e">
        <f t="shared" si="9"/>
        <v>#REF!</v>
      </c>
      <c r="BB15" s="192"/>
      <c r="BC15" s="196" t="e">
        <f>IF(AS15&lt;=#REF!,#REF!,IF(AS15&lt;=#REF!,#REF!,IF(AS15&lt;=#REF!,#REF!,IF(AS15&lt;=#REF!,#REF!,IF(AS15&lt;=#REF!,#REF!,IF(AS15&lt;=#REF!,#REF!,IF(AS15&lt;=#REF!,#REF!,0.05)))))))</f>
        <v>#REF!</v>
      </c>
      <c r="BD15" s="193" t="e">
        <f t="shared" si="10"/>
        <v>#REF!</v>
      </c>
      <c r="BF15" s="194" t="e">
        <f t="shared" si="11"/>
        <v>#REF!</v>
      </c>
      <c r="BH15" s="194" t="e">
        <f t="shared" si="12"/>
        <v>#REF!</v>
      </c>
      <c r="BI15" s="195" t="e">
        <f t="shared" si="13"/>
        <v>#REF!</v>
      </c>
      <c r="BJ15" s="192" t="e">
        <f t="shared" si="14"/>
        <v>#REF!</v>
      </c>
      <c r="BZ15" s="193">
        <v>8000</v>
      </c>
      <c r="CA15" s="193"/>
      <c r="CB15" s="193"/>
      <c r="CC15" s="193">
        <f t="shared" si="15"/>
        <v>8000</v>
      </c>
      <c r="CD15" s="193"/>
      <c r="CE15" s="193"/>
      <c r="CF15" s="193">
        <f t="shared" si="16"/>
        <v>16000</v>
      </c>
      <c r="CG15" s="193"/>
      <c r="CH15" s="193"/>
      <c r="CI15" s="193">
        <f t="shared" si="17"/>
        <v>16000</v>
      </c>
      <c r="CJ15" s="192">
        <f t="shared" si="0"/>
        <v>0.05</v>
      </c>
      <c r="CK15" s="193">
        <f t="shared" si="18"/>
        <v>400</v>
      </c>
      <c r="CL15" s="192"/>
      <c r="CM15" s="192">
        <f t="shared" si="1"/>
        <v>0.05</v>
      </c>
      <c r="CN15" s="193">
        <f t="shared" si="19"/>
        <v>400</v>
      </c>
      <c r="CO15" s="192"/>
      <c r="CP15" s="192">
        <f t="shared" si="2"/>
        <v>0.22</v>
      </c>
      <c r="CQ15" s="193">
        <f t="shared" si="20"/>
        <v>3696</v>
      </c>
      <c r="CR15" s="192"/>
      <c r="CS15" s="196">
        <f t="shared" si="3"/>
        <v>-0.05</v>
      </c>
      <c r="CT15" s="193">
        <f t="shared" si="21"/>
        <v>-800</v>
      </c>
      <c r="CV15" s="194">
        <f t="shared" si="22"/>
        <v>1378.72</v>
      </c>
      <c r="CX15" s="194">
        <f t="shared" si="23"/>
        <v>21074.720000000001</v>
      </c>
      <c r="CY15" s="195">
        <f t="shared" si="24"/>
        <v>3696</v>
      </c>
      <c r="CZ15" s="192">
        <f t="shared" si="25"/>
        <v>0.17537599550551561</v>
      </c>
    </row>
    <row r="16" spans="1:104" ht="16.2" thickBot="1">
      <c r="A16" s="182" t="s">
        <v>60</v>
      </c>
      <c r="B16" s="183">
        <f>D84</f>
        <v>10763</v>
      </c>
      <c r="C16" s="184" t="s">
        <v>61</v>
      </c>
      <c r="D16" s="185" t="e">
        <f>C84</f>
        <v>#DIV/0!</v>
      </c>
      <c r="E16" s="53"/>
      <c r="F16" s="53"/>
      <c r="G16" s="53"/>
      <c r="H16" s="593"/>
      <c r="I16" s="79"/>
      <c r="J16" s="66"/>
      <c r="K16" s="66"/>
      <c r="M16" s="79"/>
      <c r="N16" s="1"/>
      <c r="O16" s="1"/>
      <c r="P16" s="1"/>
      <c r="AJ16" s="193">
        <v>9000</v>
      </c>
      <c r="AK16" s="193"/>
      <c r="AL16" s="193"/>
      <c r="AM16" s="193">
        <f t="shared" si="4"/>
        <v>9000</v>
      </c>
      <c r="AN16" s="193"/>
      <c r="AO16" s="193"/>
      <c r="AP16" s="193">
        <f t="shared" si="5"/>
        <v>18000</v>
      </c>
      <c r="AQ16" s="193"/>
      <c r="AR16" s="193"/>
      <c r="AS16" s="193">
        <f t="shared" si="6"/>
        <v>18000</v>
      </c>
      <c r="AT16" s="192" t="e">
        <f>IF(AJ16&lt;=#REF!,#REF!,IF(AJ16&lt;=#REF!,#REF!,IF(AJ16&lt;=#REF!,#REF!,IF(AJ16&lt;=#REF!,#REF!,IF(AJ16&lt;=#REF!,#REF!,IF(AJ16&lt;=#REF!,#REF!,IF(AJ16&lt;=#REF!,#REF!,0.05)))))))</f>
        <v>#REF!</v>
      </c>
      <c r="AU16" s="193" t="e">
        <f t="shared" si="7"/>
        <v>#REF!</v>
      </c>
      <c r="AV16" s="192"/>
      <c r="AW16" s="192" t="e">
        <f>IF(AM16&lt;=#REF!,#REF!,IF(AM16&lt;=#REF!,#REF!,IF(AM16&lt;=#REF!,#REF!,IF(AM16&lt;=#REF!,#REF!,IF(AM16&lt;=#REF!,#REF!,IF(AM16&lt;=#REF!,#REF!,IF(AM16&lt;=#REF!,#REF!,0.05)))))))</f>
        <v>#REF!</v>
      </c>
      <c r="AX16" s="193" t="e">
        <f t="shared" si="8"/>
        <v>#REF!</v>
      </c>
      <c r="AY16" s="192"/>
      <c r="AZ16" s="192" t="e">
        <f>IF(AP16&lt;=#REF!,#REF!,IF(AP16&lt;=#REF!,#REF!,IF(AP16&lt;=#REF!,#REF!,IF(AP16&lt;=#REF!,#REF!,IF(AP16&lt;=#REF!,#REF!,IF(AP16&lt;=#REF!,#REF!,IF(AP16&lt;=#REF!,#REF!,0.05)))))))</f>
        <v>#REF!</v>
      </c>
      <c r="BA16" s="193" t="e">
        <f t="shared" si="9"/>
        <v>#REF!</v>
      </c>
      <c r="BB16" s="192"/>
      <c r="BC16" s="196" t="e">
        <f>IF(AS16&lt;=#REF!,#REF!,IF(AS16&lt;=#REF!,#REF!,IF(AS16&lt;=#REF!,#REF!,IF(AS16&lt;=#REF!,#REF!,IF(AS16&lt;=#REF!,#REF!,IF(AS16&lt;=#REF!,#REF!,IF(AS16&lt;=#REF!,#REF!,0.05)))))))</f>
        <v>#REF!</v>
      </c>
      <c r="BD16" s="193" t="e">
        <f t="shared" si="10"/>
        <v>#REF!</v>
      </c>
      <c r="BF16" s="194" t="e">
        <f t="shared" si="11"/>
        <v>#REF!</v>
      </c>
      <c r="BH16" s="194" t="e">
        <f t="shared" si="12"/>
        <v>#REF!</v>
      </c>
      <c r="BI16" s="195" t="e">
        <f t="shared" si="13"/>
        <v>#REF!</v>
      </c>
      <c r="BJ16" s="192" t="e">
        <f t="shared" si="14"/>
        <v>#REF!</v>
      </c>
      <c r="BZ16" s="193">
        <v>9000</v>
      </c>
      <c r="CA16" s="193"/>
      <c r="CB16" s="193"/>
      <c r="CC16" s="193">
        <f t="shared" si="15"/>
        <v>9000</v>
      </c>
      <c r="CD16" s="193"/>
      <c r="CE16" s="193"/>
      <c r="CF16" s="193">
        <f t="shared" si="16"/>
        <v>18000</v>
      </c>
      <c r="CG16" s="193"/>
      <c r="CH16" s="193"/>
      <c r="CI16" s="193">
        <f t="shared" si="17"/>
        <v>18000</v>
      </c>
      <c r="CJ16" s="192">
        <f t="shared" si="0"/>
        <v>0.05</v>
      </c>
      <c r="CK16" s="193">
        <f t="shared" si="18"/>
        <v>450</v>
      </c>
      <c r="CL16" s="192"/>
      <c r="CM16" s="192">
        <f t="shared" si="1"/>
        <v>0.05</v>
      </c>
      <c r="CN16" s="193">
        <f t="shared" si="19"/>
        <v>450</v>
      </c>
      <c r="CO16" s="192"/>
      <c r="CP16" s="192">
        <f t="shared" si="2"/>
        <v>0.22</v>
      </c>
      <c r="CQ16" s="193">
        <f t="shared" si="20"/>
        <v>4158</v>
      </c>
      <c r="CR16" s="192"/>
      <c r="CS16" s="196">
        <f t="shared" si="3"/>
        <v>-0.05</v>
      </c>
      <c r="CT16" s="193">
        <f t="shared" si="21"/>
        <v>-900</v>
      </c>
      <c r="CV16" s="194">
        <f t="shared" si="22"/>
        <v>1551.0600000000002</v>
      </c>
      <c r="CX16" s="194">
        <f t="shared" si="23"/>
        <v>23709.06</v>
      </c>
      <c r="CY16" s="195">
        <f t="shared" si="24"/>
        <v>4158</v>
      </c>
      <c r="CZ16" s="192">
        <f t="shared" si="25"/>
        <v>0.17537599550551561</v>
      </c>
    </row>
    <row r="17" spans="1:116">
      <c r="A17" s="25" t="s">
        <v>14</v>
      </c>
      <c r="B17" s="90" t="s">
        <v>11</v>
      </c>
      <c r="C17" s="90" t="s">
        <v>1</v>
      </c>
      <c r="D17" s="91" t="s">
        <v>2</v>
      </c>
      <c r="E17" s="23"/>
      <c r="F17" s="89"/>
      <c r="H17" s="593"/>
      <c r="I17" s="90"/>
      <c r="J17" s="90"/>
      <c r="K17" s="556"/>
      <c r="P17" s="33"/>
      <c r="AJ17" s="193">
        <v>10000</v>
      </c>
      <c r="AK17" s="193"/>
      <c r="AL17" s="193"/>
      <c r="AM17" s="193">
        <f t="shared" si="4"/>
        <v>10000</v>
      </c>
      <c r="AN17" s="193"/>
      <c r="AO17" s="193"/>
      <c r="AP17" s="193">
        <f t="shared" si="5"/>
        <v>20000</v>
      </c>
      <c r="AQ17" s="193"/>
      <c r="AR17" s="193"/>
      <c r="AS17" s="193">
        <f t="shared" si="6"/>
        <v>20000</v>
      </c>
      <c r="AT17" s="192" t="e">
        <f>IF(AJ17&lt;=#REF!,#REF!,IF(AJ17&lt;=#REF!,#REF!,IF(AJ17&lt;=#REF!,#REF!,IF(AJ17&lt;=#REF!,#REF!,IF(AJ17&lt;=#REF!,#REF!,IF(AJ17&lt;=#REF!,#REF!,IF(AJ17&lt;=#REF!,#REF!,0.05)))))))</f>
        <v>#REF!</v>
      </c>
      <c r="AU17" s="193" t="e">
        <f t="shared" si="7"/>
        <v>#REF!</v>
      </c>
      <c r="AV17" s="192"/>
      <c r="AW17" s="192" t="e">
        <f>IF(AM17&lt;=#REF!,#REF!,IF(AM17&lt;=#REF!,#REF!,IF(AM17&lt;=#REF!,#REF!,IF(AM17&lt;=#REF!,#REF!,IF(AM17&lt;=#REF!,#REF!,IF(AM17&lt;=#REF!,#REF!,IF(AM17&lt;=#REF!,#REF!,0.05)))))))</f>
        <v>#REF!</v>
      </c>
      <c r="AX17" s="193" t="e">
        <f t="shared" si="8"/>
        <v>#REF!</v>
      </c>
      <c r="AY17" s="192"/>
      <c r="AZ17" s="192" t="e">
        <f>IF(AP17&lt;=#REF!,#REF!,IF(AP17&lt;=#REF!,#REF!,IF(AP17&lt;=#REF!,#REF!,IF(AP17&lt;=#REF!,#REF!,IF(AP17&lt;=#REF!,#REF!,IF(AP17&lt;=#REF!,#REF!,IF(AP17&lt;=#REF!,#REF!,0.05)))))))</f>
        <v>#REF!</v>
      </c>
      <c r="BA17" s="193" t="e">
        <f t="shared" si="9"/>
        <v>#REF!</v>
      </c>
      <c r="BB17" s="192"/>
      <c r="BC17" s="196" t="e">
        <f>IF(AS17&lt;=#REF!,#REF!,IF(AS17&lt;=#REF!,#REF!,IF(AS17&lt;=#REF!,#REF!,IF(AS17&lt;=#REF!,#REF!,IF(AS17&lt;=#REF!,#REF!,IF(AS17&lt;=#REF!,#REF!,IF(AS17&lt;=#REF!,#REF!,0.05)))))))</f>
        <v>#REF!</v>
      </c>
      <c r="BD17" s="193" t="e">
        <f t="shared" si="10"/>
        <v>#REF!</v>
      </c>
      <c r="BF17" s="194" t="e">
        <f t="shared" si="11"/>
        <v>#REF!</v>
      </c>
      <c r="BH17" s="194" t="e">
        <f t="shared" si="12"/>
        <v>#REF!</v>
      </c>
      <c r="BI17" s="195" t="e">
        <f t="shared" si="13"/>
        <v>#REF!</v>
      </c>
      <c r="BJ17" s="192" t="e">
        <f t="shared" si="14"/>
        <v>#REF!</v>
      </c>
      <c r="BZ17" s="193">
        <v>10000</v>
      </c>
      <c r="CA17" s="193"/>
      <c r="CB17" s="193"/>
      <c r="CC17" s="193">
        <f t="shared" si="15"/>
        <v>10000</v>
      </c>
      <c r="CD17" s="193"/>
      <c r="CE17" s="193"/>
      <c r="CF17" s="193">
        <f t="shared" si="16"/>
        <v>20000</v>
      </c>
      <c r="CG17" s="193"/>
      <c r="CH17" s="193"/>
      <c r="CI17" s="193">
        <f t="shared" si="17"/>
        <v>20000</v>
      </c>
      <c r="CJ17" s="192">
        <f t="shared" si="0"/>
        <v>0.05</v>
      </c>
      <c r="CK17" s="193">
        <f t="shared" si="18"/>
        <v>500</v>
      </c>
      <c r="CL17" s="192"/>
      <c r="CM17" s="192">
        <f t="shared" si="1"/>
        <v>0.05</v>
      </c>
      <c r="CN17" s="193">
        <f t="shared" si="19"/>
        <v>500</v>
      </c>
      <c r="CO17" s="192"/>
      <c r="CP17" s="192">
        <f t="shared" si="2"/>
        <v>0.2</v>
      </c>
      <c r="CQ17" s="193">
        <f t="shared" si="20"/>
        <v>4200</v>
      </c>
      <c r="CR17" s="192"/>
      <c r="CS17" s="196">
        <f t="shared" si="3"/>
        <v>-0.05</v>
      </c>
      <c r="CT17" s="193">
        <f t="shared" si="21"/>
        <v>-1000</v>
      </c>
      <c r="CV17" s="194">
        <f t="shared" si="22"/>
        <v>1694.0000000000002</v>
      </c>
      <c r="CX17" s="194">
        <f t="shared" si="23"/>
        <v>25894</v>
      </c>
      <c r="CY17" s="195">
        <f t="shared" si="24"/>
        <v>4200</v>
      </c>
      <c r="CZ17" s="192">
        <f t="shared" si="25"/>
        <v>0.16219973739090138</v>
      </c>
    </row>
    <row r="18" spans="1:116">
      <c r="A18" s="44"/>
      <c r="B18" s="121"/>
      <c r="C18" s="33"/>
      <c r="D18" s="34">
        <f t="shared" ref="D18:D19" si="26">B18*C18</f>
        <v>0</v>
      </c>
      <c r="E18" s="1"/>
      <c r="F18" s="1"/>
      <c r="H18" s="593"/>
      <c r="I18" s="7"/>
      <c r="J18" s="557"/>
      <c r="K18" s="28"/>
      <c r="L18" s="408"/>
      <c r="M18" s="73"/>
      <c r="P18" s="7"/>
      <c r="AJ18" s="193">
        <v>11000</v>
      </c>
      <c r="AK18" s="193"/>
      <c r="AL18" s="193"/>
      <c r="AM18" s="193">
        <f t="shared" si="4"/>
        <v>11000</v>
      </c>
      <c r="AN18" s="193"/>
      <c r="AO18" s="193"/>
      <c r="AP18" s="193">
        <f t="shared" si="5"/>
        <v>22000</v>
      </c>
      <c r="AQ18" s="193"/>
      <c r="AR18" s="193"/>
      <c r="AS18" s="193">
        <f t="shared" si="6"/>
        <v>22000</v>
      </c>
      <c r="AT18" s="192" t="e">
        <f>IF(AJ18&lt;=#REF!,#REF!,IF(AJ18&lt;=#REF!,#REF!,IF(AJ18&lt;=#REF!,#REF!,IF(AJ18&lt;=#REF!,#REF!,IF(AJ18&lt;=#REF!,#REF!,IF(AJ18&lt;=#REF!,#REF!,IF(AJ18&lt;=#REF!,#REF!,0.05)))))))</f>
        <v>#REF!</v>
      </c>
      <c r="AU18" s="193" t="e">
        <f t="shared" si="7"/>
        <v>#REF!</v>
      </c>
      <c r="AV18" s="192"/>
      <c r="AW18" s="192" t="e">
        <f>IF(AM18&lt;=#REF!,#REF!,IF(AM18&lt;=#REF!,#REF!,IF(AM18&lt;=#REF!,#REF!,IF(AM18&lt;=#REF!,#REF!,IF(AM18&lt;=#REF!,#REF!,IF(AM18&lt;=#REF!,#REF!,IF(AM18&lt;=#REF!,#REF!,0.05)))))))</f>
        <v>#REF!</v>
      </c>
      <c r="AX18" s="193" t="e">
        <f t="shared" si="8"/>
        <v>#REF!</v>
      </c>
      <c r="AY18" s="192"/>
      <c r="AZ18" s="192" t="e">
        <f>IF(AP18&lt;=#REF!,#REF!,IF(AP18&lt;=#REF!,#REF!,IF(AP18&lt;=#REF!,#REF!,IF(AP18&lt;=#REF!,#REF!,IF(AP18&lt;=#REF!,#REF!,IF(AP18&lt;=#REF!,#REF!,IF(AP18&lt;=#REF!,#REF!,0.05)))))))</f>
        <v>#REF!</v>
      </c>
      <c r="BA18" s="193" t="e">
        <f t="shared" si="9"/>
        <v>#REF!</v>
      </c>
      <c r="BB18" s="192"/>
      <c r="BC18" s="196" t="e">
        <f>IF(AS18&lt;=#REF!,#REF!,IF(AS18&lt;=#REF!,#REF!,IF(AS18&lt;=#REF!,#REF!,IF(AS18&lt;=#REF!,#REF!,IF(AS18&lt;=#REF!,#REF!,IF(AS18&lt;=#REF!,#REF!,IF(AS18&lt;=#REF!,#REF!,0.05)))))))</f>
        <v>#REF!</v>
      </c>
      <c r="BD18" s="193" t="e">
        <f t="shared" si="10"/>
        <v>#REF!</v>
      </c>
      <c r="BF18" s="194" t="e">
        <f t="shared" si="11"/>
        <v>#REF!</v>
      </c>
      <c r="BH18" s="194" t="e">
        <f t="shared" si="12"/>
        <v>#REF!</v>
      </c>
      <c r="BI18" s="195" t="e">
        <f t="shared" si="13"/>
        <v>#REF!</v>
      </c>
      <c r="BJ18" s="192" t="e">
        <f t="shared" si="14"/>
        <v>#REF!</v>
      </c>
      <c r="BZ18" s="193">
        <v>11000</v>
      </c>
      <c r="CA18" s="193"/>
      <c r="CB18" s="193"/>
      <c r="CC18" s="193">
        <f t="shared" si="15"/>
        <v>11000</v>
      </c>
      <c r="CD18" s="193"/>
      <c r="CE18" s="193"/>
      <c r="CF18" s="193">
        <f t="shared" si="16"/>
        <v>22000</v>
      </c>
      <c r="CG18" s="193"/>
      <c r="CH18" s="193"/>
      <c r="CI18" s="193">
        <f t="shared" si="17"/>
        <v>22000</v>
      </c>
      <c r="CJ18" s="192">
        <f t="shared" si="0"/>
        <v>0.05</v>
      </c>
      <c r="CK18" s="193">
        <f t="shared" si="18"/>
        <v>550</v>
      </c>
      <c r="CL18" s="192"/>
      <c r="CM18" s="192">
        <f t="shared" si="1"/>
        <v>0.03</v>
      </c>
      <c r="CN18" s="193">
        <f t="shared" si="19"/>
        <v>330</v>
      </c>
      <c r="CO18" s="192"/>
      <c r="CP18" s="192">
        <f t="shared" si="2"/>
        <v>0.2</v>
      </c>
      <c r="CQ18" s="193">
        <f t="shared" si="20"/>
        <v>4576</v>
      </c>
      <c r="CR18" s="192"/>
      <c r="CS18" s="196">
        <f t="shared" si="3"/>
        <v>-0.05</v>
      </c>
      <c r="CT18" s="193">
        <f t="shared" si="21"/>
        <v>-1100</v>
      </c>
      <c r="CV18" s="194">
        <f t="shared" si="22"/>
        <v>1844.92</v>
      </c>
      <c r="CX18" s="194">
        <f t="shared" si="23"/>
        <v>28200.92</v>
      </c>
      <c r="CY18" s="195">
        <f t="shared" si="24"/>
        <v>4356</v>
      </c>
      <c r="CZ18" s="192">
        <f t="shared" si="25"/>
        <v>0.15446304588644627</v>
      </c>
    </row>
    <row r="19" spans="1:116">
      <c r="A19" s="44"/>
      <c r="B19" s="56"/>
      <c r="C19" s="33"/>
      <c r="D19" s="34">
        <f t="shared" si="26"/>
        <v>0</v>
      </c>
      <c r="E19" s="1"/>
      <c r="F19" s="1"/>
      <c r="H19" s="1"/>
      <c r="I19" s="7"/>
      <c r="J19" s="557"/>
      <c r="K19" s="28"/>
      <c r="L19" s="555"/>
      <c r="M19" s="558"/>
      <c r="N19" s="220"/>
      <c r="P19" s="7"/>
      <c r="AJ19" s="193">
        <v>12000</v>
      </c>
      <c r="AK19" s="193"/>
      <c r="AL19" s="193"/>
      <c r="AM19" s="193">
        <f t="shared" si="4"/>
        <v>12000</v>
      </c>
      <c r="AN19" s="193"/>
      <c r="AO19" s="193"/>
      <c r="AP19" s="193">
        <f t="shared" si="5"/>
        <v>24000</v>
      </c>
      <c r="AQ19" s="193"/>
      <c r="AR19" s="193"/>
      <c r="AS19" s="193">
        <f t="shared" si="6"/>
        <v>24000</v>
      </c>
      <c r="AT19" s="192" t="e">
        <f>IF(AJ19&lt;=#REF!,#REF!,IF(AJ19&lt;=#REF!,#REF!,IF(AJ19&lt;=#REF!,#REF!,IF(AJ19&lt;=#REF!,#REF!,IF(AJ19&lt;=#REF!,#REF!,IF(AJ19&lt;=#REF!,#REF!,IF(AJ19&lt;=#REF!,#REF!,0.05)))))))</f>
        <v>#REF!</v>
      </c>
      <c r="AU19" s="193" t="e">
        <f t="shared" si="7"/>
        <v>#REF!</v>
      </c>
      <c r="AV19" s="192"/>
      <c r="AW19" s="192" t="e">
        <f>IF(AM19&lt;=#REF!,#REF!,IF(AM19&lt;=#REF!,#REF!,IF(AM19&lt;=#REF!,#REF!,IF(AM19&lt;=#REF!,#REF!,IF(AM19&lt;=#REF!,#REF!,IF(AM19&lt;=#REF!,#REF!,IF(AM19&lt;=#REF!,#REF!,0.05)))))))</f>
        <v>#REF!</v>
      </c>
      <c r="AX19" s="193" t="e">
        <f t="shared" si="8"/>
        <v>#REF!</v>
      </c>
      <c r="AY19" s="192"/>
      <c r="AZ19" s="192" t="e">
        <f>IF(AP19&lt;=#REF!,#REF!,IF(AP19&lt;=#REF!,#REF!,IF(AP19&lt;=#REF!,#REF!,IF(AP19&lt;=#REF!,#REF!,IF(AP19&lt;=#REF!,#REF!,IF(AP19&lt;=#REF!,#REF!,IF(AP19&lt;=#REF!,#REF!,0.05)))))))</f>
        <v>#REF!</v>
      </c>
      <c r="BA19" s="193" t="e">
        <f t="shared" si="9"/>
        <v>#REF!</v>
      </c>
      <c r="BB19" s="192"/>
      <c r="BC19" s="196" t="e">
        <f>IF(AS19&lt;=#REF!,#REF!,IF(AS19&lt;=#REF!,#REF!,IF(AS19&lt;=#REF!,#REF!,IF(AS19&lt;=#REF!,#REF!,IF(AS19&lt;=#REF!,#REF!,IF(AS19&lt;=#REF!,#REF!,IF(AS19&lt;=#REF!,#REF!,0.05)))))))</f>
        <v>#REF!</v>
      </c>
      <c r="BD19" s="193" t="e">
        <f t="shared" si="10"/>
        <v>#REF!</v>
      </c>
      <c r="BF19" s="194" t="e">
        <f t="shared" si="11"/>
        <v>#REF!</v>
      </c>
      <c r="BH19" s="194" t="e">
        <f t="shared" si="12"/>
        <v>#REF!</v>
      </c>
      <c r="BI19" s="195" t="e">
        <f t="shared" si="13"/>
        <v>#REF!</v>
      </c>
      <c r="BJ19" s="192" t="e">
        <f t="shared" si="14"/>
        <v>#REF!</v>
      </c>
      <c r="BZ19" s="193">
        <v>12000</v>
      </c>
      <c r="CA19" s="193"/>
      <c r="CB19" s="193"/>
      <c r="CC19" s="193">
        <f t="shared" si="15"/>
        <v>12000</v>
      </c>
      <c r="CD19" s="193"/>
      <c r="CE19" s="193"/>
      <c r="CF19" s="193">
        <f t="shared" si="16"/>
        <v>24000</v>
      </c>
      <c r="CG19" s="193"/>
      <c r="CH19" s="193"/>
      <c r="CI19" s="193">
        <f t="shared" si="17"/>
        <v>24000</v>
      </c>
      <c r="CJ19" s="192">
        <f t="shared" si="0"/>
        <v>0.05</v>
      </c>
      <c r="CK19" s="193">
        <f t="shared" si="18"/>
        <v>600</v>
      </c>
      <c r="CL19" s="192"/>
      <c r="CM19" s="192">
        <f t="shared" si="1"/>
        <v>0.03</v>
      </c>
      <c r="CN19" s="193">
        <f t="shared" si="19"/>
        <v>360</v>
      </c>
      <c r="CO19" s="192"/>
      <c r="CP19" s="192">
        <f t="shared" si="2"/>
        <v>0.2</v>
      </c>
      <c r="CQ19" s="193">
        <f t="shared" si="20"/>
        <v>4992</v>
      </c>
      <c r="CR19" s="192"/>
      <c r="CS19" s="196">
        <f t="shared" si="3"/>
        <v>-0.05</v>
      </c>
      <c r="CT19" s="193">
        <f t="shared" si="21"/>
        <v>-1200</v>
      </c>
      <c r="CV19" s="194">
        <f t="shared" si="22"/>
        <v>2012.64</v>
      </c>
      <c r="CX19" s="194">
        <f t="shared" si="23"/>
        <v>30764.639999999999</v>
      </c>
      <c r="CY19" s="195">
        <f t="shared" si="24"/>
        <v>4752</v>
      </c>
      <c r="CZ19" s="192">
        <f t="shared" si="25"/>
        <v>0.15446304588644627</v>
      </c>
    </row>
    <row r="20" spans="1:116">
      <c r="A20" s="549" t="s">
        <v>581</v>
      </c>
      <c r="B20" s="548"/>
      <c r="C20" s="547"/>
      <c r="D20" s="546"/>
      <c r="E20" s="81">
        <v>0</v>
      </c>
      <c r="F20" s="82" t="s">
        <v>27</v>
      </c>
      <c r="H20" s="1"/>
      <c r="I20" s="7"/>
      <c r="J20" s="557"/>
      <c r="K20" s="28"/>
      <c r="P20" s="7"/>
      <c r="AJ20" s="193">
        <v>13000</v>
      </c>
      <c r="AK20" s="193"/>
      <c r="AL20" s="193"/>
      <c r="AM20" s="193">
        <f t="shared" si="4"/>
        <v>13000</v>
      </c>
      <c r="AN20" s="193"/>
      <c r="AO20" s="193"/>
      <c r="AP20" s="193">
        <f t="shared" si="5"/>
        <v>26000</v>
      </c>
      <c r="AQ20" s="193"/>
      <c r="AR20" s="193"/>
      <c r="AS20" s="193">
        <f t="shared" si="6"/>
        <v>26000</v>
      </c>
      <c r="AT20" s="192" t="e">
        <f>IF(AJ20&lt;=#REF!,#REF!,IF(AJ20&lt;=#REF!,#REF!,IF(AJ20&lt;=#REF!,#REF!,IF(AJ20&lt;=#REF!,#REF!,IF(AJ20&lt;=#REF!,#REF!,IF(AJ20&lt;=#REF!,#REF!,IF(AJ20&lt;=#REF!,#REF!,0.05)))))))</f>
        <v>#REF!</v>
      </c>
      <c r="AU20" s="193" t="e">
        <f t="shared" si="7"/>
        <v>#REF!</v>
      </c>
      <c r="AV20" s="192"/>
      <c r="AW20" s="192" t="e">
        <f>IF(AM20&lt;=#REF!,#REF!,IF(AM20&lt;=#REF!,#REF!,IF(AM20&lt;=#REF!,#REF!,IF(AM20&lt;=#REF!,#REF!,IF(AM20&lt;=#REF!,#REF!,IF(AM20&lt;=#REF!,#REF!,IF(AM20&lt;=#REF!,#REF!,0.05)))))))</f>
        <v>#REF!</v>
      </c>
      <c r="AX20" s="193" t="e">
        <f t="shared" si="8"/>
        <v>#REF!</v>
      </c>
      <c r="AY20" s="192"/>
      <c r="AZ20" s="192" t="e">
        <f>IF(AP20&lt;=#REF!,#REF!,IF(AP20&lt;=#REF!,#REF!,IF(AP20&lt;=#REF!,#REF!,IF(AP20&lt;=#REF!,#REF!,IF(AP20&lt;=#REF!,#REF!,IF(AP20&lt;=#REF!,#REF!,IF(AP20&lt;=#REF!,#REF!,0.05)))))))</f>
        <v>#REF!</v>
      </c>
      <c r="BA20" s="193" t="e">
        <f t="shared" si="9"/>
        <v>#REF!</v>
      </c>
      <c r="BB20" s="192"/>
      <c r="BC20" s="196" t="e">
        <f>IF(AS20&lt;=#REF!,#REF!,IF(AS20&lt;=#REF!,#REF!,IF(AS20&lt;=#REF!,#REF!,IF(AS20&lt;=#REF!,#REF!,IF(AS20&lt;=#REF!,#REF!,IF(AS20&lt;=#REF!,#REF!,IF(AS20&lt;=#REF!,#REF!,0.05)))))))</f>
        <v>#REF!</v>
      </c>
      <c r="BD20" s="193" t="e">
        <f t="shared" si="10"/>
        <v>#REF!</v>
      </c>
      <c r="BF20" s="194" t="e">
        <f t="shared" si="11"/>
        <v>#REF!</v>
      </c>
      <c r="BH20" s="194" t="e">
        <f t="shared" si="12"/>
        <v>#REF!</v>
      </c>
      <c r="BI20" s="195" t="e">
        <f t="shared" si="13"/>
        <v>#REF!</v>
      </c>
      <c r="BJ20" s="192" t="e">
        <f t="shared" si="14"/>
        <v>#REF!</v>
      </c>
      <c r="BZ20" s="193">
        <v>13000</v>
      </c>
      <c r="CA20" s="193"/>
      <c r="CB20" s="193"/>
      <c r="CC20" s="193">
        <f t="shared" si="15"/>
        <v>13000</v>
      </c>
      <c r="CD20" s="193"/>
      <c r="CE20" s="193"/>
      <c r="CF20" s="193">
        <f t="shared" si="16"/>
        <v>26000</v>
      </c>
      <c r="CG20" s="193"/>
      <c r="CH20" s="193"/>
      <c r="CI20" s="193">
        <f t="shared" si="17"/>
        <v>26000</v>
      </c>
      <c r="CJ20" s="192">
        <f t="shared" si="0"/>
        <v>0.05</v>
      </c>
      <c r="CK20" s="193">
        <f t="shared" si="18"/>
        <v>650</v>
      </c>
      <c r="CL20" s="192"/>
      <c r="CM20" s="192">
        <f t="shared" si="1"/>
        <v>0.03</v>
      </c>
      <c r="CN20" s="193">
        <f t="shared" si="19"/>
        <v>390</v>
      </c>
      <c r="CO20" s="192"/>
      <c r="CP20" s="192">
        <f t="shared" si="2"/>
        <v>0.18</v>
      </c>
      <c r="CQ20" s="193">
        <f t="shared" si="20"/>
        <v>4867.2</v>
      </c>
      <c r="CR20" s="192"/>
      <c r="CS20" s="196">
        <f t="shared" si="3"/>
        <v>-0.05</v>
      </c>
      <c r="CT20" s="193">
        <f t="shared" si="21"/>
        <v>-1300</v>
      </c>
      <c r="CV20" s="194">
        <f t="shared" si="22"/>
        <v>2142.5040000000004</v>
      </c>
      <c r="CX20" s="194">
        <f t="shared" si="23"/>
        <v>32749.703999999998</v>
      </c>
      <c r="CY20" s="195">
        <f t="shared" si="24"/>
        <v>4607.2</v>
      </c>
      <c r="CZ20" s="192">
        <f t="shared" si="25"/>
        <v>0.14067913407705915</v>
      </c>
    </row>
    <row r="21" spans="1:116">
      <c r="A21" s="47" t="s">
        <v>578</v>
      </c>
      <c r="B21" s="56"/>
      <c r="C21" s="7"/>
      <c r="D21" s="9">
        <f>B21*C21</f>
        <v>0</v>
      </c>
      <c r="E21" s="203"/>
      <c r="F21" s="1"/>
      <c r="H21" s="1"/>
      <c r="I21" s="7"/>
      <c r="J21" s="557"/>
      <c r="K21" s="28"/>
      <c r="P21" s="1"/>
      <c r="AJ21" s="193">
        <v>14000</v>
      </c>
      <c r="AK21" s="193"/>
      <c r="AL21" s="193"/>
      <c r="AM21" s="193">
        <f t="shared" si="4"/>
        <v>14000</v>
      </c>
      <c r="AN21" s="193"/>
      <c r="AO21" s="193"/>
      <c r="AP21" s="193">
        <f t="shared" si="5"/>
        <v>28000</v>
      </c>
      <c r="AQ21" s="193"/>
      <c r="AR21" s="193"/>
      <c r="AS21" s="193">
        <f t="shared" si="6"/>
        <v>28000</v>
      </c>
      <c r="AT21" s="192" t="e">
        <f>IF(AJ21&lt;=#REF!,#REF!,IF(AJ21&lt;=#REF!,#REF!,IF(AJ21&lt;=#REF!,#REF!,IF(AJ21&lt;=#REF!,#REF!,IF(AJ21&lt;=#REF!,#REF!,IF(AJ21&lt;=#REF!,#REF!,IF(AJ21&lt;=#REF!,#REF!,0.05)))))))</f>
        <v>#REF!</v>
      </c>
      <c r="AU21" s="193" t="e">
        <f t="shared" si="7"/>
        <v>#REF!</v>
      </c>
      <c r="AV21" s="192"/>
      <c r="AW21" s="192" t="e">
        <f>IF(AM21&lt;=#REF!,#REF!,IF(AM21&lt;=#REF!,#REF!,IF(AM21&lt;=#REF!,#REF!,IF(AM21&lt;=#REF!,#REF!,IF(AM21&lt;=#REF!,#REF!,IF(AM21&lt;=#REF!,#REF!,IF(AM21&lt;=#REF!,#REF!,0.05)))))))</f>
        <v>#REF!</v>
      </c>
      <c r="AX21" s="193" t="e">
        <f t="shared" si="8"/>
        <v>#REF!</v>
      </c>
      <c r="AY21" s="192"/>
      <c r="AZ21" s="192" t="e">
        <f>IF(AP21&lt;=#REF!,#REF!,IF(AP21&lt;=#REF!,#REF!,IF(AP21&lt;=#REF!,#REF!,IF(AP21&lt;=#REF!,#REF!,IF(AP21&lt;=#REF!,#REF!,IF(AP21&lt;=#REF!,#REF!,IF(AP21&lt;=#REF!,#REF!,0.05)))))))</f>
        <v>#REF!</v>
      </c>
      <c r="BA21" s="193" t="e">
        <f t="shared" si="9"/>
        <v>#REF!</v>
      </c>
      <c r="BB21" s="192"/>
      <c r="BC21" s="196" t="e">
        <f>IF(AS21&lt;=#REF!,#REF!,IF(AS21&lt;=#REF!,#REF!,IF(AS21&lt;=#REF!,#REF!,IF(AS21&lt;=#REF!,#REF!,IF(AS21&lt;=#REF!,#REF!,IF(AS21&lt;=#REF!,#REF!,IF(AS21&lt;=#REF!,#REF!,0.05)))))))</f>
        <v>#REF!</v>
      </c>
      <c r="BD21" s="193" t="e">
        <f t="shared" si="10"/>
        <v>#REF!</v>
      </c>
      <c r="BF21" s="194" t="e">
        <f t="shared" si="11"/>
        <v>#REF!</v>
      </c>
      <c r="BH21" s="194" t="e">
        <f t="shared" si="12"/>
        <v>#REF!</v>
      </c>
      <c r="BI21" s="195" t="e">
        <f t="shared" si="13"/>
        <v>#REF!</v>
      </c>
      <c r="BJ21" s="192" t="e">
        <f t="shared" si="14"/>
        <v>#REF!</v>
      </c>
      <c r="BZ21" s="193">
        <v>14000</v>
      </c>
      <c r="CA21" s="193"/>
      <c r="CB21" s="193"/>
      <c r="CC21" s="193">
        <f t="shared" si="15"/>
        <v>14000</v>
      </c>
      <c r="CD21" s="193"/>
      <c r="CE21" s="193"/>
      <c r="CF21" s="193">
        <f t="shared" si="16"/>
        <v>28000</v>
      </c>
      <c r="CG21" s="193"/>
      <c r="CH21" s="193"/>
      <c r="CI21" s="193">
        <f t="shared" si="17"/>
        <v>28000</v>
      </c>
      <c r="CJ21" s="192">
        <f t="shared" si="0"/>
        <v>0.05</v>
      </c>
      <c r="CK21" s="193">
        <f t="shared" si="18"/>
        <v>700</v>
      </c>
      <c r="CL21" s="192"/>
      <c r="CM21" s="192">
        <f t="shared" si="1"/>
        <v>0.03</v>
      </c>
      <c r="CN21" s="193">
        <f t="shared" si="19"/>
        <v>420</v>
      </c>
      <c r="CO21" s="192"/>
      <c r="CP21" s="192">
        <f t="shared" si="2"/>
        <v>0.18</v>
      </c>
      <c r="CQ21" s="193">
        <f t="shared" si="20"/>
        <v>5241.5999999999995</v>
      </c>
      <c r="CR21" s="192"/>
      <c r="CS21" s="196">
        <f t="shared" si="3"/>
        <v>-0.05</v>
      </c>
      <c r="CT21" s="193">
        <f t="shared" si="21"/>
        <v>-1400</v>
      </c>
      <c r="CV21" s="194">
        <f t="shared" si="22"/>
        <v>2307.3119999999999</v>
      </c>
      <c r="CX21" s="194">
        <f t="shared" si="23"/>
        <v>35268.911999999997</v>
      </c>
      <c r="CY21" s="195">
        <f t="shared" si="24"/>
        <v>4961.5999999999995</v>
      </c>
      <c r="CZ21" s="192">
        <f t="shared" si="25"/>
        <v>0.14067913407705915</v>
      </c>
    </row>
    <row r="22" spans="1:116">
      <c r="A22" s="47"/>
      <c r="B22" s="56"/>
      <c r="C22" s="7"/>
      <c r="D22" s="9">
        <f t="shared" ref="D22:D36" si="27">B22*C22</f>
        <v>0</v>
      </c>
      <c r="E22" s="203"/>
      <c r="F22" s="1"/>
      <c r="G22" s="1"/>
      <c r="H22" s="1"/>
      <c r="I22" s="7"/>
      <c r="J22" s="557"/>
      <c r="K22" s="28"/>
      <c r="AJ22" s="193">
        <v>15000</v>
      </c>
      <c r="AK22" s="193"/>
      <c r="AL22" s="193"/>
      <c r="AM22" s="193">
        <f t="shared" si="4"/>
        <v>15000</v>
      </c>
      <c r="AN22" s="193"/>
      <c r="AO22" s="193"/>
      <c r="AP22" s="193">
        <f t="shared" si="5"/>
        <v>30000</v>
      </c>
      <c r="AQ22" s="193"/>
      <c r="AR22" s="193"/>
      <c r="AS22" s="193">
        <f t="shared" si="6"/>
        <v>30000</v>
      </c>
      <c r="AT22" s="192" t="e">
        <f>IF(AJ22&lt;=#REF!,#REF!,IF(AJ22&lt;=#REF!,#REF!,IF(AJ22&lt;=#REF!,#REF!,IF(AJ22&lt;=#REF!,#REF!,IF(AJ22&lt;=#REF!,#REF!,IF(AJ22&lt;=#REF!,#REF!,IF(AJ22&lt;=#REF!,#REF!,0.05)))))))</f>
        <v>#REF!</v>
      </c>
      <c r="AU22" s="193" t="e">
        <f t="shared" si="7"/>
        <v>#REF!</v>
      </c>
      <c r="AV22" s="192"/>
      <c r="AW22" s="192" t="e">
        <f>IF(AM22&lt;=#REF!,#REF!,IF(AM22&lt;=#REF!,#REF!,IF(AM22&lt;=#REF!,#REF!,IF(AM22&lt;=#REF!,#REF!,IF(AM22&lt;=#REF!,#REF!,IF(AM22&lt;=#REF!,#REF!,IF(AM22&lt;=#REF!,#REF!,0.05)))))))</f>
        <v>#REF!</v>
      </c>
      <c r="AX22" s="193" t="e">
        <f t="shared" si="8"/>
        <v>#REF!</v>
      </c>
      <c r="AY22" s="192"/>
      <c r="AZ22" s="192" t="e">
        <f>IF(AP22&lt;=#REF!,#REF!,IF(AP22&lt;=#REF!,#REF!,IF(AP22&lt;=#REF!,#REF!,IF(AP22&lt;=#REF!,#REF!,IF(AP22&lt;=#REF!,#REF!,IF(AP22&lt;=#REF!,#REF!,IF(AP22&lt;=#REF!,#REF!,0.05)))))))</f>
        <v>#REF!</v>
      </c>
      <c r="BA22" s="193" t="e">
        <f t="shared" si="9"/>
        <v>#REF!</v>
      </c>
      <c r="BB22" s="192"/>
      <c r="BC22" s="196" t="e">
        <f>IF(AS22&lt;=#REF!,#REF!,IF(AS22&lt;=#REF!,#REF!,IF(AS22&lt;=#REF!,#REF!,IF(AS22&lt;=#REF!,#REF!,IF(AS22&lt;=#REF!,#REF!,IF(AS22&lt;=#REF!,#REF!,IF(AS22&lt;=#REF!,#REF!,0.05)))))))</f>
        <v>#REF!</v>
      </c>
      <c r="BD22" s="193" t="e">
        <f t="shared" si="10"/>
        <v>#REF!</v>
      </c>
      <c r="BF22" s="194" t="e">
        <f t="shared" si="11"/>
        <v>#REF!</v>
      </c>
      <c r="BH22" s="194" t="e">
        <f t="shared" si="12"/>
        <v>#REF!</v>
      </c>
      <c r="BI22" s="195" t="e">
        <f t="shared" si="13"/>
        <v>#REF!</v>
      </c>
      <c r="BJ22" s="192" t="e">
        <f t="shared" si="14"/>
        <v>#REF!</v>
      </c>
      <c r="BZ22" s="193">
        <v>15000</v>
      </c>
      <c r="CA22" s="193"/>
      <c r="CB22" s="193"/>
      <c r="CC22" s="193">
        <f t="shared" si="15"/>
        <v>15000</v>
      </c>
      <c r="CD22" s="193"/>
      <c r="CE22" s="193"/>
      <c r="CF22" s="193">
        <f t="shared" si="16"/>
        <v>30000</v>
      </c>
      <c r="CG22" s="193"/>
      <c r="CH22" s="193"/>
      <c r="CI22" s="193">
        <f t="shared" si="17"/>
        <v>30000</v>
      </c>
      <c r="CJ22" s="192">
        <f t="shared" si="0"/>
        <v>0.05</v>
      </c>
      <c r="CK22" s="193">
        <f t="shared" si="18"/>
        <v>750</v>
      </c>
      <c r="CL22" s="192"/>
      <c r="CM22" s="192">
        <f t="shared" si="1"/>
        <v>0.03</v>
      </c>
      <c r="CN22" s="193">
        <f t="shared" si="19"/>
        <v>450</v>
      </c>
      <c r="CO22" s="192"/>
      <c r="CP22" s="192">
        <f t="shared" si="2"/>
        <v>0.18</v>
      </c>
      <c r="CQ22" s="193">
        <f t="shared" si="20"/>
        <v>5616</v>
      </c>
      <c r="CR22" s="192"/>
      <c r="CS22" s="196">
        <f t="shared" si="3"/>
        <v>-0.05</v>
      </c>
      <c r="CT22" s="193">
        <f t="shared" si="21"/>
        <v>-1500</v>
      </c>
      <c r="CV22" s="194">
        <f t="shared" si="22"/>
        <v>2472.1200000000003</v>
      </c>
      <c r="CX22" s="194">
        <f t="shared" si="23"/>
        <v>37788.120000000003</v>
      </c>
      <c r="CY22" s="195">
        <f t="shared" si="24"/>
        <v>5316</v>
      </c>
      <c r="CZ22" s="192">
        <f t="shared" si="25"/>
        <v>0.14067913407705912</v>
      </c>
    </row>
    <row r="23" spans="1:116">
      <c r="A23" s="47"/>
      <c r="B23" s="56"/>
      <c r="C23" s="7"/>
      <c r="D23" s="9">
        <f t="shared" si="27"/>
        <v>0</v>
      </c>
      <c r="E23" s="1"/>
      <c r="F23" s="1"/>
      <c r="G23" s="1"/>
      <c r="H23" s="1"/>
      <c r="I23" s="7"/>
      <c r="J23" s="557"/>
      <c r="K23" s="28"/>
      <c r="AJ23" s="193">
        <v>16000</v>
      </c>
      <c r="AK23" s="193"/>
      <c r="AL23" s="193"/>
      <c r="AM23" s="193">
        <f t="shared" si="4"/>
        <v>16000</v>
      </c>
      <c r="AN23" s="193"/>
      <c r="AO23" s="193"/>
      <c r="AP23" s="193">
        <f t="shared" si="5"/>
        <v>32000</v>
      </c>
      <c r="AQ23" s="193"/>
      <c r="AR23" s="193"/>
      <c r="AS23" s="193">
        <f t="shared" si="6"/>
        <v>32000</v>
      </c>
      <c r="AT23" s="192" t="e">
        <f>IF(AJ23&lt;=#REF!,#REF!,IF(AJ23&lt;=#REF!,#REF!,IF(AJ23&lt;=#REF!,#REF!,IF(AJ23&lt;=#REF!,#REF!,IF(AJ23&lt;=#REF!,#REF!,IF(AJ23&lt;=#REF!,#REF!,IF(AJ23&lt;=#REF!,#REF!,0.05)))))))</f>
        <v>#REF!</v>
      </c>
      <c r="AU23" s="193" t="e">
        <f t="shared" si="7"/>
        <v>#REF!</v>
      </c>
      <c r="AV23" s="192"/>
      <c r="AW23" s="192" t="e">
        <f>IF(AM23&lt;=#REF!,#REF!,IF(AM23&lt;=#REF!,#REF!,IF(AM23&lt;=#REF!,#REF!,IF(AM23&lt;=#REF!,#REF!,IF(AM23&lt;=#REF!,#REF!,IF(AM23&lt;=#REF!,#REF!,IF(AM23&lt;=#REF!,#REF!,0.05)))))))</f>
        <v>#REF!</v>
      </c>
      <c r="AX23" s="193" t="e">
        <f t="shared" si="8"/>
        <v>#REF!</v>
      </c>
      <c r="AY23" s="192"/>
      <c r="AZ23" s="192" t="e">
        <f>IF(AP23&lt;=#REF!,#REF!,IF(AP23&lt;=#REF!,#REF!,IF(AP23&lt;=#REF!,#REF!,IF(AP23&lt;=#REF!,#REF!,IF(AP23&lt;=#REF!,#REF!,IF(AP23&lt;=#REF!,#REF!,IF(AP23&lt;=#REF!,#REF!,0.05)))))))</f>
        <v>#REF!</v>
      </c>
      <c r="BA23" s="193" t="e">
        <f t="shared" si="9"/>
        <v>#REF!</v>
      </c>
      <c r="BB23" s="192"/>
      <c r="BC23" s="196" t="e">
        <f>IF(AS23&lt;=#REF!,#REF!,IF(AS23&lt;=#REF!,#REF!,IF(AS23&lt;=#REF!,#REF!,IF(AS23&lt;=#REF!,#REF!,IF(AS23&lt;=#REF!,#REF!,IF(AS23&lt;=#REF!,#REF!,IF(AS23&lt;=#REF!,#REF!,0.05)))))))</f>
        <v>#REF!</v>
      </c>
      <c r="BD23" s="193" t="e">
        <f t="shared" si="10"/>
        <v>#REF!</v>
      </c>
      <c r="BF23" s="194" t="e">
        <f t="shared" si="11"/>
        <v>#REF!</v>
      </c>
      <c r="BH23" s="194" t="e">
        <f t="shared" si="12"/>
        <v>#REF!</v>
      </c>
      <c r="BI23" s="195" t="e">
        <f t="shared" si="13"/>
        <v>#REF!</v>
      </c>
      <c r="BJ23" s="192" t="e">
        <f t="shared" si="14"/>
        <v>#REF!</v>
      </c>
      <c r="BZ23" s="193">
        <v>16000</v>
      </c>
      <c r="CA23" s="193"/>
      <c r="CB23" s="193"/>
      <c r="CC23" s="193">
        <f t="shared" si="15"/>
        <v>16000</v>
      </c>
      <c r="CD23" s="193"/>
      <c r="CE23" s="193"/>
      <c r="CF23" s="193">
        <f t="shared" si="16"/>
        <v>32000</v>
      </c>
      <c r="CG23" s="193"/>
      <c r="CH23" s="193"/>
      <c r="CI23" s="193">
        <f t="shared" si="17"/>
        <v>32000</v>
      </c>
      <c r="CJ23" s="192">
        <f t="shared" si="0"/>
        <v>0.05</v>
      </c>
      <c r="CK23" s="193">
        <f t="shared" si="18"/>
        <v>800</v>
      </c>
      <c r="CL23" s="192"/>
      <c r="CM23" s="192">
        <f t="shared" si="1"/>
        <v>0.03</v>
      </c>
      <c r="CN23" s="193">
        <f t="shared" si="19"/>
        <v>480</v>
      </c>
      <c r="CO23" s="192"/>
      <c r="CP23" s="192">
        <f t="shared" si="2"/>
        <v>0.18</v>
      </c>
      <c r="CQ23" s="193">
        <f t="shared" si="20"/>
        <v>5990.4</v>
      </c>
      <c r="CR23" s="192"/>
      <c r="CS23" s="196">
        <f t="shared" si="3"/>
        <v>-0.05</v>
      </c>
      <c r="CT23" s="193">
        <f t="shared" si="21"/>
        <v>-1600</v>
      </c>
      <c r="CV23" s="194">
        <f t="shared" si="22"/>
        <v>2636.9280000000003</v>
      </c>
      <c r="CX23" s="194">
        <f t="shared" si="23"/>
        <v>40307.328000000001</v>
      </c>
      <c r="CY23" s="195">
        <f t="shared" si="24"/>
        <v>5670.4</v>
      </c>
      <c r="CZ23" s="192">
        <f t="shared" si="25"/>
        <v>0.14067913407705912</v>
      </c>
    </row>
    <row r="24" spans="1:116">
      <c r="A24" s="47"/>
      <c r="B24" s="56"/>
      <c r="C24" s="7"/>
      <c r="D24" s="9">
        <f t="shared" si="27"/>
        <v>0</v>
      </c>
      <c r="E24" s="1"/>
      <c r="F24" s="1"/>
      <c r="G24" s="1"/>
      <c r="I24" s="535"/>
      <c r="J24" s="536"/>
      <c r="K24" s="559"/>
      <c r="L24" s="74"/>
      <c r="O24" s="630"/>
      <c r="AJ24" s="197">
        <v>17000</v>
      </c>
      <c r="AK24" s="197"/>
      <c r="AL24" s="197"/>
      <c r="AM24" s="197">
        <f t="shared" si="4"/>
        <v>17000</v>
      </c>
      <c r="AN24" s="197"/>
      <c r="AO24" s="197"/>
      <c r="AP24" s="197">
        <f t="shared" si="5"/>
        <v>34000</v>
      </c>
      <c r="AQ24" s="197"/>
      <c r="AR24" s="197"/>
      <c r="AS24" s="193">
        <f t="shared" si="6"/>
        <v>34000</v>
      </c>
      <c r="AT24" s="198" t="e">
        <f>IF(AJ24&lt;=#REF!,#REF!,IF(AJ24&lt;=#REF!,#REF!,IF(AJ24&lt;=#REF!,#REF!,IF(AJ24&lt;=#REF!,#REF!,IF(AJ24&lt;=#REF!,#REF!,IF(AJ24&lt;=#REF!,#REF!,IF(AJ24&lt;=#REF!,#REF!,0.05)))))))</f>
        <v>#REF!</v>
      </c>
      <c r="AU24" s="197" t="e">
        <f t="shared" si="7"/>
        <v>#REF!</v>
      </c>
      <c r="AV24" s="198"/>
      <c r="AW24" s="198" t="e">
        <f>IF(AM24&lt;=#REF!,#REF!,IF(AM24&lt;=#REF!,#REF!,IF(AM24&lt;=#REF!,#REF!,IF(AM24&lt;=#REF!,#REF!,IF(AM24&lt;=#REF!,#REF!,IF(AM24&lt;=#REF!,#REF!,IF(AM24&lt;=#REF!,#REF!,0.05)))))))</f>
        <v>#REF!</v>
      </c>
      <c r="AX24" s="197" t="e">
        <f t="shared" si="8"/>
        <v>#REF!</v>
      </c>
      <c r="AY24" s="198"/>
      <c r="AZ24" s="198" t="e">
        <f>IF(AP24&lt;=#REF!,#REF!,IF(AP24&lt;=#REF!,#REF!,IF(AP24&lt;=#REF!,#REF!,IF(AP24&lt;=#REF!,#REF!,IF(AP24&lt;=#REF!,#REF!,IF(AP24&lt;=#REF!,#REF!,IF(AP24&lt;=#REF!,#REF!,0.05)))))))</f>
        <v>#REF!</v>
      </c>
      <c r="BA24" s="193" t="e">
        <f t="shared" si="9"/>
        <v>#REF!</v>
      </c>
      <c r="BB24" s="198"/>
      <c r="BC24" s="202" t="e">
        <f>IF(AS24&lt;=#REF!,#REF!,IF(AS24&lt;=#REF!,#REF!,IF(AS24&lt;=#REF!,#REF!,IF(AS24&lt;=#REF!,#REF!,IF(AS24&lt;=#REF!,#REF!,IF(AS24&lt;=#REF!,#REF!,IF(AS24&lt;=#REF!,#REF!,0.05)))))))</f>
        <v>#REF!</v>
      </c>
      <c r="BD24" s="197" t="e">
        <f t="shared" si="10"/>
        <v>#REF!</v>
      </c>
      <c r="BE24" s="199"/>
      <c r="BF24" s="200" t="e">
        <f t="shared" si="11"/>
        <v>#REF!</v>
      </c>
      <c r="BG24" s="199"/>
      <c r="BH24" s="200" t="e">
        <f t="shared" si="12"/>
        <v>#REF!</v>
      </c>
      <c r="BI24" s="201" t="e">
        <f t="shared" si="13"/>
        <v>#REF!</v>
      </c>
      <c r="BJ24" s="198" t="e">
        <f t="shared" si="14"/>
        <v>#REF!</v>
      </c>
      <c r="BZ24" s="197">
        <v>17000</v>
      </c>
      <c r="CA24" s="197"/>
      <c r="CB24" s="197"/>
      <c r="CC24" s="197">
        <f t="shared" si="15"/>
        <v>17000</v>
      </c>
      <c r="CD24" s="197"/>
      <c r="CE24" s="197"/>
      <c r="CF24" s="197">
        <f t="shared" si="16"/>
        <v>34000</v>
      </c>
      <c r="CG24" s="197"/>
      <c r="CH24" s="197"/>
      <c r="CI24" s="193">
        <f t="shared" si="17"/>
        <v>34000</v>
      </c>
      <c r="CJ24" s="198">
        <f t="shared" si="0"/>
        <v>0.05</v>
      </c>
      <c r="CK24" s="197">
        <f t="shared" si="18"/>
        <v>850</v>
      </c>
      <c r="CL24" s="198"/>
      <c r="CM24" s="198">
        <f t="shared" si="1"/>
        <v>0.03</v>
      </c>
      <c r="CN24" s="197">
        <f t="shared" si="19"/>
        <v>510</v>
      </c>
      <c r="CO24" s="198"/>
      <c r="CP24" s="198">
        <f t="shared" si="2"/>
        <v>0.18</v>
      </c>
      <c r="CQ24" s="193">
        <f t="shared" si="20"/>
        <v>6364.8</v>
      </c>
      <c r="CR24" s="198"/>
      <c r="CS24" s="202">
        <f t="shared" si="3"/>
        <v>-0.05</v>
      </c>
      <c r="CT24" s="197">
        <f t="shared" si="21"/>
        <v>-1700</v>
      </c>
      <c r="CU24" s="199"/>
      <c r="CV24" s="200">
        <f t="shared" si="22"/>
        <v>2801.7360000000003</v>
      </c>
      <c r="CW24" s="199"/>
      <c r="CX24" s="200">
        <f t="shared" si="23"/>
        <v>42826.536</v>
      </c>
      <c r="CY24" s="201">
        <f t="shared" si="24"/>
        <v>6024.8</v>
      </c>
      <c r="CZ24" s="198">
        <f>CY24/CX24</f>
        <v>0.14067913407705915</v>
      </c>
    </row>
    <row r="25" spans="1:116">
      <c r="A25" s="47"/>
      <c r="B25" s="56"/>
      <c r="C25" s="7"/>
      <c r="D25" s="9">
        <f t="shared" si="27"/>
        <v>0</v>
      </c>
      <c r="E25" s="1"/>
      <c r="F25" s="1"/>
      <c r="G25" s="1"/>
      <c r="I25" s="535"/>
      <c r="J25" s="536"/>
      <c r="K25" s="559"/>
      <c r="L25" s="74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  <c r="AJ25" s="193">
        <v>18000</v>
      </c>
      <c r="AK25" s="193"/>
      <c r="AL25" s="193"/>
      <c r="AM25" s="193">
        <f t="shared" si="4"/>
        <v>18000</v>
      </c>
      <c r="AN25" s="193"/>
      <c r="AO25" s="193"/>
      <c r="AP25" s="193">
        <f t="shared" si="5"/>
        <v>36000</v>
      </c>
      <c r="AQ25" s="193"/>
      <c r="AR25" s="193"/>
      <c r="AS25" s="193">
        <f t="shared" si="6"/>
        <v>36000</v>
      </c>
      <c r="AT25" s="192" t="e">
        <f>IF(AJ25&lt;=#REF!,#REF!,IF(AJ25&lt;=#REF!,#REF!,IF(AJ25&lt;=#REF!,#REF!,IF(AJ25&lt;=#REF!,#REF!,IF(AJ25&lt;=#REF!,#REF!,IF(AJ25&lt;=#REF!,#REF!,IF(AJ25&lt;=#REF!,#REF!,0.05)))))))</f>
        <v>#REF!</v>
      </c>
      <c r="AU25" s="193" t="e">
        <f t="shared" si="7"/>
        <v>#REF!</v>
      </c>
      <c r="AV25" s="192"/>
      <c r="AW25" s="192" t="e">
        <f>IF(AM25&lt;=#REF!,#REF!,IF(AM25&lt;=#REF!,#REF!,IF(AM25&lt;=#REF!,#REF!,IF(AM25&lt;=#REF!,#REF!,IF(AM25&lt;=#REF!,#REF!,IF(AM25&lt;=#REF!,#REF!,IF(AM25&lt;=#REF!,#REF!,0.05)))))))</f>
        <v>#REF!</v>
      </c>
      <c r="AX25" s="193" t="e">
        <f t="shared" si="8"/>
        <v>#REF!</v>
      </c>
      <c r="AY25" s="192"/>
      <c r="AZ25" s="192" t="e">
        <f>IF(AP25&lt;=#REF!,#REF!,IF(AP25&lt;=#REF!,#REF!,IF(AP25&lt;=#REF!,#REF!,IF(AP25&lt;=#REF!,#REF!,IF(AP25&lt;=#REF!,#REF!,IF(AP25&lt;=#REF!,#REF!,IF(AP25&lt;=#REF!,#REF!,0.05)))))))</f>
        <v>#REF!</v>
      </c>
      <c r="BA25" s="193" t="e">
        <f t="shared" si="9"/>
        <v>#REF!</v>
      </c>
      <c r="BB25" s="192"/>
      <c r="BC25" s="196" t="e">
        <f>IF(AS25&lt;=#REF!,#REF!,IF(AS25&lt;=#REF!,#REF!,IF(AS25&lt;=#REF!,#REF!,IF(AS25&lt;=#REF!,#REF!,IF(AS25&lt;=#REF!,#REF!,IF(AS25&lt;=#REF!,#REF!,IF(AS25&lt;=#REF!,#REF!,0.05)))))))</f>
        <v>#REF!</v>
      </c>
      <c r="BD25" s="193" t="e">
        <f t="shared" si="10"/>
        <v>#REF!</v>
      </c>
      <c r="BF25" s="194" t="e">
        <f t="shared" si="11"/>
        <v>#REF!</v>
      </c>
      <c r="BH25" s="194" t="e">
        <f t="shared" si="12"/>
        <v>#REF!</v>
      </c>
      <c r="BI25" s="195" t="e">
        <f t="shared" si="13"/>
        <v>#REF!</v>
      </c>
      <c r="BJ25" s="192" t="e">
        <f t="shared" si="14"/>
        <v>#REF!</v>
      </c>
      <c r="BZ25" s="193">
        <v>18000</v>
      </c>
      <c r="CA25" s="193"/>
      <c r="CB25" s="193"/>
      <c r="CC25" s="193">
        <f t="shared" si="15"/>
        <v>18000</v>
      </c>
      <c r="CD25" s="193"/>
      <c r="CE25" s="193"/>
      <c r="CF25" s="193">
        <f t="shared" si="16"/>
        <v>36000</v>
      </c>
      <c r="CG25" s="193"/>
      <c r="CH25" s="193"/>
      <c r="CI25" s="193">
        <f t="shared" si="17"/>
        <v>36000</v>
      </c>
      <c r="CJ25" s="192">
        <f t="shared" si="0"/>
        <v>0.05</v>
      </c>
      <c r="CK25" s="193">
        <f t="shared" si="18"/>
        <v>900</v>
      </c>
      <c r="CL25" s="192"/>
      <c r="CM25" s="192">
        <f t="shared" si="1"/>
        <v>0.03</v>
      </c>
      <c r="CN25" s="193">
        <f t="shared" si="19"/>
        <v>540</v>
      </c>
      <c r="CO25" s="192"/>
      <c r="CP25" s="192">
        <f t="shared" si="2"/>
        <v>0.18</v>
      </c>
      <c r="CQ25" s="193">
        <f t="shared" si="20"/>
        <v>6739.2</v>
      </c>
      <c r="CR25" s="192"/>
      <c r="CS25" s="196">
        <f t="shared" si="3"/>
        <v>-5.5E-2</v>
      </c>
      <c r="CT25" s="193">
        <f t="shared" si="21"/>
        <v>-1980</v>
      </c>
      <c r="CV25" s="194">
        <f t="shared" si="22"/>
        <v>2953.944</v>
      </c>
      <c r="CX25" s="194">
        <f t="shared" si="23"/>
        <v>45153.144</v>
      </c>
      <c r="CY25" s="195">
        <f t="shared" si="24"/>
        <v>6199.2</v>
      </c>
      <c r="CZ25" s="192">
        <f t="shared" si="25"/>
        <v>0.13729276526126286</v>
      </c>
    </row>
    <row r="26" spans="1:116">
      <c r="A26" s="47"/>
      <c r="B26" s="56"/>
      <c r="C26" s="7"/>
      <c r="D26" s="9">
        <f t="shared" si="27"/>
        <v>0</v>
      </c>
      <c r="E26" s="1"/>
      <c r="F26" s="1"/>
      <c r="G26" s="1"/>
      <c r="I26" s="220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  <c r="AJ26" s="193">
        <v>19000</v>
      </c>
      <c r="AK26" s="193"/>
      <c r="AL26" s="193"/>
      <c r="AM26" s="193">
        <f t="shared" si="4"/>
        <v>19000</v>
      </c>
      <c r="AN26" s="193"/>
      <c r="AO26" s="193"/>
      <c r="AP26" s="193">
        <f t="shared" si="5"/>
        <v>38000</v>
      </c>
      <c r="AQ26" s="193"/>
      <c r="AR26" s="193"/>
      <c r="AS26" s="193">
        <f t="shared" si="6"/>
        <v>38000</v>
      </c>
      <c r="AT26" s="192" t="e">
        <f>IF(AJ26&lt;=#REF!,#REF!,IF(AJ26&lt;=#REF!,#REF!,IF(AJ26&lt;=#REF!,#REF!,IF(AJ26&lt;=#REF!,#REF!,IF(AJ26&lt;=#REF!,#REF!,IF(AJ26&lt;=#REF!,#REF!,IF(AJ26&lt;=#REF!,#REF!,0.05)))))))</f>
        <v>#REF!</v>
      </c>
      <c r="AU26" s="193" t="e">
        <f t="shared" si="7"/>
        <v>#REF!</v>
      </c>
      <c r="AV26" s="192"/>
      <c r="AW26" s="192" t="e">
        <f>IF(AM26&lt;=#REF!,#REF!,IF(AM26&lt;=#REF!,#REF!,IF(AM26&lt;=#REF!,#REF!,IF(AM26&lt;=#REF!,#REF!,IF(AM26&lt;=#REF!,#REF!,IF(AM26&lt;=#REF!,#REF!,IF(AM26&lt;=#REF!,#REF!,0.05)))))))</f>
        <v>#REF!</v>
      </c>
      <c r="AX26" s="193" t="e">
        <f t="shared" si="8"/>
        <v>#REF!</v>
      </c>
      <c r="AY26" s="192"/>
      <c r="AZ26" s="192" t="e">
        <f>IF(AP26&lt;=#REF!,#REF!,IF(AP26&lt;=#REF!,#REF!,IF(AP26&lt;=#REF!,#REF!,IF(AP26&lt;=#REF!,#REF!,IF(AP26&lt;=#REF!,#REF!,IF(AP26&lt;=#REF!,#REF!,IF(AP26&lt;=#REF!,#REF!,0.05)))))))</f>
        <v>#REF!</v>
      </c>
      <c r="BA26" s="193" t="e">
        <f t="shared" si="9"/>
        <v>#REF!</v>
      </c>
      <c r="BB26" s="192"/>
      <c r="BC26" s="196" t="e">
        <f>IF(AS26&lt;=#REF!,#REF!,IF(AS26&lt;=#REF!,#REF!,IF(AS26&lt;=#REF!,#REF!,IF(AS26&lt;=#REF!,#REF!,IF(AS26&lt;=#REF!,#REF!,IF(AS26&lt;=#REF!,#REF!,IF(AS26&lt;=#REF!,#REF!,0.05)))))))</f>
        <v>#REF!</v>
      </c>
      <c r="BD26" s="193" t="e">
        <f t="shared" si="10"/>
        <v>#REF!</v>
      </c>
      <c r="BF26" s="194" t="e">
        <f t="shared" si="11"/>
        <v>#REF!</v>
      </c>
      <c r="BH26" s="194" t="e">
        <f t="shared" si="12"/>
        <v>#REF!</v>
      </c>
      <c r="BI26" s="195" t="e">
        <f t="shared" si="13"/>
        <v>#REF!</v>
      </c>
      <c r="BJ26" s="192" t="e">
        <f t="shared" si="14"/>
        <v>#REF!</v>
      </c>
      <c r="BZ26" s="193">
        <v>19000</v>
      </c>
      <c r="CA26" s="193"/>
      <c r="CB26" s="193"/>
      <c r="CC26" s="193">
        <f t="shared" si="15"/>
        <v>19000</v>
      </c>
      <c r="CD26" s="193"/>
      <c r="CE26" s="193"/>
      <c r="CF26" s="193">
        <f t="shared" si="16"/>
        <v>38000</v>
      </c>
      <c r="CG26" s="193"/>
      <c r="CH26" s="193"/>
      <c r="CI26" s="193">
        <f t="shared" si="17"/>
        <v>38000</v>
      </c>
      <c r="CJ26" s="192">
        <f t="shared" si="0"/>
        <v>0.05</v>
      </c>
      <c r="CK26" s="193">
        <f t="shared" si="18"/>
        <v>950</v>
      </c>
      <c r="CL26" s="192"/>
      <c r="CM26" s="192">
        <f t="shared" si="1"/>
        <v>0.03</v>
      </c>
      <c r="CN26" s="193">
        <f t="shared" si="19"/>
        <v>570</v>
      </c>
      <c r="CO26" s="192"/>
      <c r="CP26" s="192">
        <f t="shared" si="2"/>
        <v>0.18</v>
      </c>
      <c r="CQ26" s="193">
        <f t="shared" si="20"/>
        <v>7113.5999999999995</v>
      </c>
      <c r="CR26" s="192"/>
      <c r="CS26" s="196">
        <f t="shared" si="3"/>
        <v>-5.5E-2</v>
      </c>
      <c r="CT26" s="193">
        <f t="shared" si="21"/>
        <v>-2090</v>
      </c>
      <c r="CV26" s="194">
        <f t="shared" si="22"/>
        <v>3118.0520000000001</v>
      </c>
      <c r="CX26" s="194">
        <f t="shared" si="23"/>
        <v>47661.652000000002</v>
      </c>
      <c r="CY26" s="195">
        <f t="shared" si="24"/>
        <v>6543.5999999999995</v>
      </c>
      <c r="CZ26" s="192">
        <f t="shared" si="25"/>
        <v>0.13729276526126286</v>
      </c>
    </row>
    <row r="27" spans="1:116">
      <c r="A27" s="47"/>
      <c r="B27" s="56"/>
      <c r="C27" s="7"/>
      <c r="D27" s="9">
        <f t="shared" si="27"/>
        <v>0</v>
      </c>
      <c r="E27" s="1"/>
      <c r="F27" s="1"/>
      <c r="G27" s="1"/>
      <c r="H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  <c r="AV27" s="193">
        <v>20000</v>
      </c>
      <c r="AW27" s="193"/>
      <c r="AX27" s="193"/>
      <c r="AY27" s="193">
        <f t="shared" si="4"/>
        <v>20000</v>
      </c>
      <c r="AZ27" s="193"/>
      <c r="BA27" s="193"/>
      <c r="BB27" s="193">
        <f t="shared" si="5"/>
        <v>40000</v>
      </c>
      <c r="BC27" s="193"/>
      <c r="BD27" s="193"/>
      <c r="BE27" s="193">
        <f t="shared" si="6"/>
        <v>40000</v>
      </c>
      <c r="BF27" s="192" t="e">
        <f>IF(AV27&lt;=#REF!,#REF!,IF(AV27&lt;=#REF!,#REF!,IF(AV27&lt;=#REF!,#REF!,IF(AV27&lt;=#REF!,#REF!,IF(AV27&lt;=#REF!,#REF!,IF(AV27&lt;=#REF!,#REF!,IF(AV27&lt;=#REF!,#REF!,0.05)))))))</f>
        <v>#REF!</v>
      </c>
      <c r="BG27" s="193" t="e">
        <f t="shared" si="7"/>
        <v>#REF!</v>
      </c>
      <c r="BH27" s="192"/>
      <c r="BI27" s="192" t="e">
        <f>IF(AY27&lt;=#REF!,#REF!,IF(AY27&lt;=#REF!,#REF!,IF(AY27&lt;=#REF!,#REF!,IF(AY27&lt;=#REF!,#REF!,IF(AY27&lt;=#REF!,#REF!,IF(AY27&lt;=#REF!,#REF!,IF(AY27&lt;=#REF!,#REF!,0.05)))))))</f>
        <v>#REF!</v>
      </c>
      <c r="BJ27" s="193" t="e">
        <f t="shared" si="8"/>
        <v>#REF!</v>
      </c>
      <c r="BK27" s="192"/>
      <c r="BL27" s="192" t="e">
        <f>IF(BB27&lt;=#REF!,#REF!,IF(BB27&lt;=#REF!,#REF!,IF(BB27&lt;=#REF!,#REF!,IF(BB27&lt;=#REF!,#REF!,IF(BB27&lt;=#REF!,#REF!,IF(BB27&lt;=#REF!,#REF!,IF(BB27&lt;=#REF!,#REF!,0.05)))))))</f>
        <v>#REF!</v>
      </c>
      <c r="BM27" s="193" t="e">
        <f t="shared" si="9"/>
        <v>#REF!</v>
      </c>
      <c r="BN27" s="192"/>
      <c r="BO27" s="196" t="e">
        <f>IF(BE27&lt;=#REF!,#REF!,IF(BE27&lt;=#REF!,#REF!,IF(BE27&lt;=#REF!,#REF!,IF(BE27&lt;=#REF!,#REF!,IF(BE27&lt;=#REF!,#REF!,IF(BE27&lt;=#REF!,#REF!,IF(BE27&lt;=#REF!,#REF!,0.05)))))))</f>
        <v>#REF!</v>
      </c>
      <c r="BP27" s="193" t="e">
        <f t="shared" si="10"/>
        <v>#REF!</v>
      </c>
      <c r="BR27" s="194" t="e">
        <f t="shared" si="11"/>
        <v>#REF!</v>
      </c>
      <c r="BT27" s="194" t="e">
        <f t="shared" si="12"/>
        <v>#REF!</v>
      </c>
      <c r="BU27" s="195" t="e">
        <f t="shared" si="13"/>
        <v>#REF!</v>
      </c>
      <c r="BV27" s="192" t="e">
        <f t="shared" si="14"/>
        <v>#REF!</v>
      </c>
      <c r="CL27" s="193">
        <v>20000</v>
      </c>
      <c r="CM27" s="193"/>
      <c r="CN27" s="193"/>
      <c r="CO27" s="193">
        <f t="shared" si="15"/>
        <v>20000</v>
      </c>
      <c r="CP27" s="193"/>
      <c r="CQ27" s="193"/>
      <c r="CR27" s="193">
        <f t="shared" si="16"/>
        <v>40000</v>
      </c>
      <c r="CS27" s="193"/>
      <c r="CT27" s="193"/>
      <c r="CU27" s="193">
        <f t="shared" si="17"/>
        <v>40000</v>
      </c>
      <c r="CV27" s="192">
        <f t="shared" ref="CV27:CV48" si="28">IF(CL27&lt;=BN$4,BM$4,IF(CL27&lt;=BN$5,BM$5,IF(CL27&lt;=BN$6,BM$6,IF(CL27&lt;=BN$7,BM$7,IF(CL27&lt;=BN$12,BM$12,IF(CL27&lt;=BN$13,BM$13,IF(CL27&lt;=BN$14,BM$14,0.05)))))))</f>
        <v>0.05</v>
      </c>
      <c r="CW27" s="193">
        <f t="shared" si="18"/>
        <v>1000</v>
      </c>
      <c r="CX27" s="192"/>
      <c r="CY27" s="192">
        <f t="shared" ref="CY27:CY48" si="29">IF(CO27&lt;=BQ$4,BP$4,IF(CO27&lt;=BQ$5,BP$5,IF(CO27&lt;=BQ$6,BP$6,IF(CO27&lt;=BQ$7,BP$7,IF(CO27&lt;=BQ$12,BP$12,IF(CO27&lt;=BQ$13,BP$13,IF(CO27&lt;=BQ$14,BP$14,0.05)))))))</f>
        <v>0.03</v>
      </c>
      <c r="CZ27" s="193">
        <f t="shared" si="19"/>
        <v>600</v>
      </c>
      <c r="DA27" s="192"/>
      <c r="DB27" s="192">
        <f t="shared" ref="DB27:DB48" si="30">IF(CR27&lt;=BT$4,BS$4,IF(CR27&lt;=BT$5,BS$5,IF(CR27&lt;=BT$6,BS$6,IF(CR27&lt;=BT$7,BS$7,IF(CR27&lt;=BT$12,BS$12,IF(CR27&lt;=BT$13,BS$13,IF(CR27&lt;=BT$14,BS$14,0.05)))))))</f>
        <v>0.18</v>
      </c>
      <c r="DC27" s="193">
        <f t="shared" si="20"/>
        <v>7488</v>
      </c>
      <c r="DD27" s="192"/>
      <c r="DE27" s="196">
        <f t="shared" ref="DE27:DE48" si="31">IF(CU27&lt;=BW$4,BV$4,IF(CU27&lt;=BW$5,BV$5,IF(CU27&lt;=BW$6,BV$6,IF(CU27&lt;=BW$7,BV$7,IF(CU27&lt;=BW$12,BV$12,IF(CU27&lt;=BW$13,BV$13,IF(CU27&lt;=BW$14,BV$14,0.05)))))))</f>
        <v>-5.5E-2</v>
      </c>
      <c r="DF27" s="193">
        <f t="shared" si="21"/>
        <v>-2200</v>
      </c>
      <c r="DH27" s="194">
        <f t="shared" si="22"/>
        <v>3282.1600000000003</v>
      </c>
      <c r="DJ27" s="194">
        <f t="shared" si="23"/>
        <v>50170.16</v>
      </c>
      <c r="DK27" s="195">
        <f t="shared" si="24"/>
        <v>6888</v>
      </c>
      <c r="DL27" s="192">
        <f t="shared" si="25"/>
        <v>0.13729276526126286</v>
      </c>
    </row>
    <row r="28" spans="1:116">
      <c r="A28" s="549" t="s">
        <v>582</v>
      </c>
      <c r="B28" s="550"/>
      <c r="C28" s="542"/>
      <c r="D28" s="545"/>
      <c r="E28" s="1"/>
      <c r="F28" s="1"/>
      <c r="G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  <c r="AV28" s="193">
        <v>21000</v>
      </c>
      <c r="AW28" s="193"/>
      <c r="AX28" s="193"/>
      <c r="AY28" s="193">
        <f t="shared" si="4"/>
        <v>21000</v>
      </c>
      <c r="AZ28" s="193"/>
      <c r="BA28" s="193"/>
      <c r="BB28" s="193">
        <f t="shared" si="5"/>
        <v>42000</v>
      </c>
      <c r="BC28" s="193"/>
      <c r="BD28" s="193"/>
      <c r="BE28" s="193">
        <f t="shared" si="6"/>
        <v>42000</v>
      </c>
      <c r="BF28" s="192" t="e">
        <f>IF(AV28&lt;=#REF!,#REF!,IF(AV28&lt;=#REF!,#REF!,IF(AV28&lt;=#REF!,#REF!,IF(AV28&lt;=#REF!,#REF!,IF(AV28&lt;=#REF!,#REF!,IF(AV28&lt;=#REF!,#REF!,IF(AV28&lt;=#REF!,#REF!,0.05)))))))</f>
        <v>#REF!</v>
      </c>
      <c r="BG28" s="193" t="e">
        <f t="shared" si="7"/>
        <v>#REF!</v>
      </c>
      <c r="BH28" s="192"/>
      <c r="BI28" s="192" t="e">
        <f>IF(AY28&lt;=#REF!,#REF!,IF(AY28&lt;=#REF!,#REF!,IF(AY28&lt;=#REF!,#REF!,IF(AY28&lt;=#REF!,#REF!,IF(AY28&lt;=#REF!,#REF!,IF(AY28&lt;=#REF!,#REF!,IF(AY28&lt;=#REF!,#REF!,0.05)))))))</f>
        <v>#REF!</v>
      </c>
      <c r="BJ28" s="193" t="e">
        <f t="shared" si="8"/>
        <v>#REF!</v>
      </c>
      <c r="BK28" s="192"/>
      <c r="BL28" s="192" t="e">
        <f>IF(BB28&lt;=#REF!,#REF!,IF(BB28&lt;=#REF!,#REF!,IF(BB28&lt;=#REF!,#REF!,IF(BB28&lt;=#REF!,#REF!,IF(BB28&lt;=#REF!,#REF!,IF(BB28&lt;=#REF!,#REF!,IF(BB28&lt;=#REF!,#REF!,0.05)))))))</f>
        <v>#REF!</v>
      </c>
      <c r="BM28" s="193" t="e">
        <f t="shared" si="9"/>
        <v>#REF!</v>
      </c>
      <c r="BN28" s="192"/>
      <c r="BO28" s="196" t="e">
        <f>IF(BE28&lt;=#REF!,#REF!,IF(BE28&lt;=#REF!,#REF!,IF(BE28&lt;=#REF!,#REF!,IF(BE28&lt;=#REF!,#REF!,IF(BE28&lt;=#REF!,#REF!,IF(BE28&lt;=#REF!,#REF!,IF(BE28&lt;=#REF!,#REF!,0.05)))))))</f>
        <v>#REF!</v>
      </c>
      <c r="BP28" s="193" t="e">
        <f t="shared" si="10"/>
        <v>#REF!</v>
      </c>
      <c r="BR28" s="194" t="e">
        <f t="shared" si="11"/>
        <v>#REF!</v>
      </c>
      <c r="BT28" s="194" t="e">
        <f t="shared" si="12"/>
        <v>#REF!</v>
      </c>
      <c r="BU28" s="195" t="e">
        <f t="shared" si="13"/>
        <v>#REF!</v>
      </c>
      <c r="BV28" s="192" t="e">
        <f t="shared" si="14"/>
        <v>#REF!</v>
      </c>
      <c r="CL28" s="193">
        <v>21000</v>
      </c>
      <c r="CM28" s="193"/>
      <c r="CN28" s="193"/>
      <c r="CO28" s="193">
        <f t="shared" si="15"/>
        <v>21000</v>
      </c>
      <c r="CP28" s="193"/>
      <c r="CQ28" s="193"/>
      <c r="CR28" s="193">
        <f t="shared" si="16"/>
        <v>42000</v>
      </c>
      <c r="CS28" s="193"/>
      <c r="CT28" s="193"/>
      <c r="CU28" s="193">
        <f t="shared" si="17"/>
        <v>42000</v>
      </c>
      <c r="CV28" s="192">
        <f t="shared" si="28"/>
        <v>0.05</v>
      </c>
      <c r="CW28" s="193">
        <f t="shared" si="18"/>
        <v>1050</v>
      </c>
      <c r="CX28" s="192"/>
      <c r="CY28" s="192">
        <f t="shared" si="29"/>
        <v>0.03</v>
      </c>
      <c r="CZ28" s="193">
        <f t="shared" si="19"/>
        <v>630</v>
      </c>
      <c r="DA28" s="192"/>
      <c r="DB28" s="192">
        <f t="shared" si="30"/>
        <v>0.18</v>
      </c>
      <c r="DC28" s="193">
        <f t="shared" si="20"/>
        <v>7862.4</v>
      </c>
      <c r="DD28" s="192"/>
      <c r="DE28" s="196">
        <f t="shared" si="31"/>
        <v>-5.5E-2</v>
      </c>
      <c r="DF28" s="193">
        <f t="shared" si="21"/>
        <v>-2310</v>
      </c>
      <c r="DH28" s="194">
        <f t="shared" si="22"/>
        <v>3446.2680000000005</v>
      </c>
      <c r="DJ28" s="194">
        <f t="shared" si="23"/>
        <v>52678.667999999998</v>
      </c>
      <c r="DK28" s="195">
        <f t="shared" si="24"/>
        <v>7232.4</v>
      </c>
      <c r="DL28" s="192">
        <f t="shared" si="25"/>
        <v>0.13729276526126286</v>
      </c>
    </row>
    <row r="29" spans="1:116">
      <c r="A29" s="47" t="s">
        <v>579</v>
      </c>
      <c r="B29" s="56">
        <v>6</v>
      </c>
      <c r="C29" s="7">
        <v>240</v>
      </c>
      <c r="D29" s="9">
        <f t="shared" si="27"/>
        <v>1440</v>
      </c>
      <c r="E29" s="1"/>
      <c r="F29" s="1"/>
      <c r="G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  <c r="AV29" s="193">
        <v>22000</v>
      </c>
      <c r="AW29" s="193"/>
      <c r="AX29" s="193"/>
      <c r="AY29" s="193">
        <f t="shared" si="4"/>
        <v>22000</v>
      </c>
      <c r="AZ29" s="193"/>
      <c r="BA29" s="193"/>
      <c r="BB29" s="193">
        <f t="shared" si="5"/>
        <v>44000</v>
      </c>
      <c r="BC29" s="193"/>
      <c r="BD29" s="193"/>
      <c r="BE29" s="193">
        <f t="shared" si="6"/>
        <v>44000</v>
      </c>
      <c r="BF29" s="192" t="e">
        <f>IF(AV29&lt;=#REF!,#REF!,IF(AV29&lt;=#REF!,#REF!,IF(AV29&lt;=#REF!,#REF!,IF(AV29&lt;=#REF!,#REF!,IF(AV29&lt;=#REF!,#REF!,IF(AV29&lt;=#REF!,#REF!,IF(AV29&lt;=#REF!,#REF!,0.05)))))))</f>
        <v>#REF!</v>
      </c>
      <c r="BG29" s="193" t="e">
        <f t="shared" si="7"/>
        <v>#REF!</v>
      </c>
      <c r="BH29" s="192"/>
      <c r="BI29" s="192" t="e">
        <f>IF(AY29&lt;=#REF!,#REF!,IF(AY29&lt;=#REF!,#REF!,IF(AY29&lt;=#REF!,#REF!,IF(AY29&lt;=#REF!,#REF!,IF(AY29&lt;=#REF!,#REF!,IF(AY29&lt;=#REF!,#REF!,IF(AY29&lt;=#REF!,#REF!,0.05)))))))</f>
        <v>#REF!</v>
      </c>
      <c r="BJ29" s="193" t="e">
        <f t="shared" si="8"/>
        <v>#REF!</v>
      </c>
      <c r="BK29" s="192"/>
      <c r="BL29" s="192" t="e">
        <f>IF(BB29&lt;=#REF!,#REF!,IF(BB29&lt;=#REF!,#REF!,IF(BB29&lt;=#REF!,#REF!,IF(BB29&lt;=#REF!,#REF!,IF(BB29&lt;=#REF!,#REF!,IF(BB29&lt;=#REF!,#REF!,IF(BB29&lt;=#REF!,#REF!,0.05)))))))</f>
        <v>#REF!</v>
      </c>
      <c r="BM29" s="193" t="e">
        <f t="shared" si="9"/>
        <v>#REF!</v>
      </c>
      <c r="BN29" s="192"/>
      <c r="BO29" s="196" t="e">
        <f>IF(BE29&lt;=#REF!,#REF!,IF(BE29&lt;=#REF!,#REF!,IF(BE29&lt;=#REF!,#REF!,IF(BE29&lt;=#REF!,#REF!,IF(BE29&lt;=#REF!,#REF!,IF(BE29&lt;=#REF!,#REF!,IF(BE29&lt;=#REF!,#REF!,0.05)))))))</f>
        <v>#REF!</v>
      </c>
      <c r="BP29" s="193" t="e">
        <f t="shared" si="10"/>
        <v>#REF!</v>
      </c>
      <c r="BR29" s="194" t="e">
        <f t="shared" si="11"/>
        <v>#REF!</v>
      </c>
      <c r="BT29" s="194" t="e">
        <f t="shared" si="12"/>
        <v>#REF!</v>
      </c>
      <c r="BU29" s="195" t="e">
        <f t="shared" si="13"/>
        <v>#REF!</v>
      </c>
      <c r="BV29" s="192" t="e">
        <f t="shared" si="14"/>
        <v>#REF!</v>
      </c>
      <c r="CL29" s="193">
        <v>22000</v>
      </c>
      <c r="CM29" s="193"/>
      <c r="CN29" s="193"/>
      <c r="CO29" s="193">
        <f t="shared" si="15"/>
        <v>22000</v>
      </c>
      <c r="CP29" s="193"/>
      <c r="CQ29" s="193"/>
      <c r="CR29" s="193">
        <f t="shared" si="16"/>
        <v>44000</v>
      </c>
      <c r="CS29" s="193"/>
      <c r="CT29" s="193"/>
      <c r="CU29" s="193">
        <f t="shared" si="17"/>
        <v>44000</v>
      </c>
      <c r="CV29" s="192">
        <f t="shared" si="28"/>
        <v>0.05</v>
      </c>
      <c r="CW29" s="193">
        <f t="shared" si="18"/>
        <v>1100</v>
      </c>
      <c r="CX29" s="192"/>
      <c r="CY29" s="192">
        <f t="shared" si="29"/>
        <v>0.03</v>
      </c>
      <c r="CZ29" s="193">
        <f t="shared" si="19"/>
        <v>660</v>
      </c>
      <c r="DA29" s="192"/>
      <c r="DB29" s="192">
        <f t="shared" si="30"/>
        <v>0.18</v>
      </c>
      <c r="DC29" s="193">
        <f t="shared" si="20"/>
        <v>8236.7999999999993</v>
      </c>
      <c r="DD29" s="192"/>
      <c r="DE29" s="196">
        <f t="shared" si="31"/>
        <v>-5.5E-2</v>
      </c>
      <c r="DF29" s="193">
        <f t="shared" si="21"/>
        <v>-2420</v>
      </c>
      <c r="DH29" s="194">
        <f t="shared" si="22"/>
        <v>3610.3760000000007</v>
      </c>
      <c r="DJ29" s="194">
        <f t="shared" si="23"/>
        <v>55187.175999999999</v>
      </c>
      <c r="DK29" s="195">
        <f t="shared" si="24"/>
        <v>7576.7999999999993</v>
      </c>
      <c r="DL29" s="192">
        <f t="shared" si="25"/>
        <v>0.13729276526126286</v>
      </c>
    </row>
    <row r="30" spans="1:116" ht="16.05" customHeight="1">
      <c r="A30" s="47"/>
      <c r="B30" s="56"/>
      <c r="C30" s="7"/>
      <c r="D30" s="9">
        <f t="shared" si="27"/>
        <v>0</v>
      </c>
      <c r="E30" s="1"/>
      <c r="F30" s="1"/>
      <c r="G30" s="1"/>
      <c r="Q30" s="1"/>
      <c r="R30" s="1"/>
      <c r="S30" s="1"/>
      <c r="T30" s="1"/>
      <c r="AV30" s="193">
        <v>23000</v>
      </c>
      <c r="AW30" s="193"/>
      <c r="AX30" s="193"/>
      <c r="AY30" s="193">
        <f t="shared" si="4"/>
        <v>23000</v>
      </c>
      <c r="AZ30" s="193"/>
      <c r="BA30" s="193"/>
      <c r="BB30" s="193">
        <f t="shared" si="5"/>
        <v>46000</v>
      </c>
      <c r="BC30" s="193"/>
      <c r="BD30" s="193"/>
      <c r="BE30" s="193">
        <f t="shared" si="6"/>
        <v>46000</v>
      </c>
      <c r="BF30" s="192" t="e">
        <f>IF(AV30&lt;=#REF!,#REF!,IF(AV30&lt;=#REF!,#REF!,IF(AV30&lt;=#REF!,#REF!,IF(AV30&lt;=#REF!,#REF!,IF(AV30&lt;=#REF!,#REF!,IF(AV30&lt;=#REF!,#REF!,IF(AV30&lt;=#REF!,#REF!,0.05)))))))</f>
        <v>#REF!</v>
      </c>
      <c r="BG30" s="193" t="e">
        <f t="shared" si="7"/>
        <v>#REF!</v>
      </c>
      <c r="BH30" s="192"/>
      <c r="BI30" s="192" t="e">
        <f>IF(AY30&lt;=#REF!,#REF!,IF(AY30&lt;=#REF!,#REF!,IF(AY30&lt;=#REF!,#REF!,IF(AY30&lt;=#REF!,#REF!,IF(AY30&lt;=#REF!,#REF!,IF(AY30&lt;=#REF!,#REF!,IF(AY30&lt;=#REF!,#REF!,0.05)))))))</f>
        <v>#REF!</v>
      </c>
      <c r="BJ30" s="193" t="e">
        <f t="shared" si="8"/>
        <v>#REF!</v>
      </c>
      <c r="BK30" s="192"/>
      <c r="BL30" s="192" t="e">
        <f>IF(BB30&lt;=#REF!,#REF!,IF(BB30&lt;=#REF!,#REF!,IF(BB30&lt;=#REF!,#REF!,IF(BB30&lt;=#REF!,#REF!,IF(BB30&lt;=#REF!,#REF!,IF(BB30&lt;=#REF!,#REF!,IF(BB30&lt;=#REF!,#REF!,0.05)))))))</f>
        <v>#REF!</v>
      </c>
      <c r="BM30" s="193" t="e">
        <f t="shared" si="9"/>
        <v>#REF!</v>
      </c>
      <c r="BN30" s="192"/>
      <c r="BO30" s="196" t="e">
        <f>IF(BE30&lt;=#REF!,#REF!,IF(BE30&lt;=#REF!,#REF!,IF(BE30&lt;=#REF!,#REF!,IF(BE30&lt;=#REF!,#REF!,IF(BE30&lt;=#REF!,#REF!,IF(BE30&lt;=#REF!,#REF!,IF(BE30&lt;=#REF!,#REF!,0.05)))))))</f>
        <v>#REF!</v>
      </c>
      <c r="BP30" s="193" t="e">
        <f t="shared" si="10"/>
        <v>#REF!</v>
      </c>
      <c r="BR30" s="194" t="e">
        <f t="shared" si="11"/>
        <v>#REF!</v>
      </c>
      <c r="BT30" s="194" t="e">
        <f t="shared" si="12"/>
        <v>#REF!</v>
      </c>
      <c r="BU30" s="195" t="e">
        <f t="shared" si="13"/>
        <v>#REF!</v>
      </c>
      <c r="BV30" s="192" t="e">
        <f t="shared" si="14"/>
        <v>#REF!</v>
      </c>
      <c r="CL30" s="193">
        <v>23000</v>
      </c>
      <c r="CM30" s="193"/>
      <c r="CN30" s="193"/>
      <c r="CO30" s="193">
        <f t="shared" si="15"/>
        <v>23000</v>
      </c>
      <c r="CP30" s="193"/>
      <c r="CQ30" s="193"/>
      <c r="CR30" s="193">
        <f t="shared" si="16"/>
        <v>46000</v>
      </c>
      <c r="CS30" s="193"/>
      <c r="CT30" s="193"/>
      <c r="CU30" s="193">
        <f t="shared" si="17"/>
        <v>46000</v>
      </c>
      <c r="CV30" s="192">
        <f t="shared" si="28"/>
        <v>0.05</v>
      </c>
      <c r="CW30" s="193">
        <f t="shared" si="18"/>
        <v>1150</v>
      </c>
      <c r="CX30" s="192"/>
      <c r="CY30" s="192">
        <f t="shared" si="29"/>
        <v>0.03</v>
      </c>
      <c r="CZ30" s="193">
        <f t="shared" si="19"/>
        <v>690</v>
      </c>
      <c r="DA30" s="192"/>
      <c r="DB30" s="192">
        <f t="shared" si="30"/>
        <v>0.18</v>
      </c>
      <c r="DC30" s="193">
        <f t="shared" si="20"/>
        <v>8611.1999999999989</v>
      </c>
      <c r="DD30" s="192"/>
      <c r="DE30" s="196">
        <f t="shared" si="31"/>
        <v>-0.06</v>
      </c>
      <c r="DF30" s="193">
        <f t="shared" si="21"/>
        <v>-2760</v>
      </c>
      <c r="DH30" s="194">
        <f t="shared" si="22"/>
        <v>3758.384</v>
      </c>
      <c r="DJ30" s="194">
        <f t="shared" si="23"/>
        <v>57449.584000000003</v>
      </c>
      <c r="DK30" s="195">
        <f t="shared" si="24"/>
        <v>7691.1999999999989</v>
      </c>
      <c r="DL30" s="192">
        <f t="shared" si="25"/>
        <v>0.13387738369001939</v>
      </c>
    </row>
    <row r="31" spans="1:116" ht="16.05" customHeight="1">
      <c r="A31" s="47"/>
      <c r="B31" s="56"/>
      <c r="C31" s="7"/>
      <c r="D31" s="9">
        <f t="shared" si="27"/>
        <v>0</v>
      </c>
      <c r="E31" s="1"/>
      <c r="F31" s="1"/>
      <c r="G31" s="1"/>
      <c r="Q31" s="1"/>
      <c r="R31" s="1"/>
      <c r="S31" s="1"/>
      <c r="T31" s="1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192"/>
      <c r="BG31" s="193"/>
      <c r="BH31" s="192"/>
      <c r="BI31" s="192"/>
      <c r="BJ31" s="193"/>
      <c r="BK31" s="192"/>
      <c r="BL31" s="192"/>
      <c r="BM31" s="193"/>
      <c r="BN31" s="192"/>
      <c r="BO31" s="196"/>
      <c r="BP31" s="193"/>
      <c r="BR31" s="194"/>
      <c r="BT31" s="194"/>
      <c r="BU31" s="195"/>
      <c r="BV31" s="192"/>
      <c r="CL31" s="193"/>
      <c r="CM31" s="193"/>
      <c r="CN31" s="193"/>
      <c r="CO31" s="193"/>
      <c r="CP31" s="193"/>
      <c r="CQ31" s="193"/>
      <c r="CR31" s="193"/>
      <c r="CS31" s="193"/>
      <c r="CT31" s="193"/>
      <c r="CU31" s="193"/>
      <c r="CV31" s="192"/>
      <c r="CW31" s="193"/>
      <c r="CX31" s="192"/>
      <c r="CY31" s="192"/>
      <c r="CZ31" s="193"/>
      <c r="DA31" s="192"/>
      <c r="DB31" s="192"/>
      <c r="DC31" s="193"/>
      <c r="DD31" s="192"/>
      <c r="DE31" s="196"/>
      <c r="DF31" s="193"/>
      <c r="DH31" s="194"/>
      <c r="DJ31" s="194"/>
      <c r="DK31" s="195"/>
      <c r="DL31" s="192"/>
    </row>
    <row r="32" spans="1:116">
      <c r="A32" s="551" t="s">
        <v>327</v>
      </c>
      <c r="B32" s="550"/>
      <c r="C32" s="542"/>
      <c r="D32" s="545"/>
      <c r="E32" s="81">
        <v>0</v>
      </c>
      <c r="F32" s="82" t="s">
        <v>48</v>
      </c>
      <c r="G32" s="1"/>
      <c r="O32" s="1"/>
      <c r="P32" s="1"/>
      <c r="Q32" s="1"/>
      <c r="R32" s="1"/>
      <c r="AV32" s="193">
        <v>24000</v>
      </c>
      <c r="AW32" s="193"/>
      <c r="AX32" s="193"/>
      <c r="AY32" s="193">
        <f t="shared" si="4"/>
        <v>24000</v>
      </c>
      <c r="AZ32" s="193"/>
      <c r="BA32" s="193"/>
      <c r="BB32" s="193">
        <f t="shared" si="5"/>
        <v>48000</v>
      </c>
      <c r="BC32" s="193"/>
      <c r="BD32" s="193"/>
      <c r="BE32" s="193">
        <f t="shared" si="6"/>
        <v>48000</v>
      </c>
      <c r="BF32" s="192" t="e">
        <f>IF(AV32&lt;=#REF!,#REF!,IF(AV32&lt;=#REF!,#REF!,IF(AV32&lt;=#REF!,#REF!,IF(AV32&lt;=#REF!,#REF!,IF(AV32&lt;=#REF!,#REF!,IF(AV32&lt;=#REF!,#REF!,IF(AV32&lt;=#REF!,#REF!,0.05)))))))</f>
        <v>#REF!</v>
      </c>
      <c r="BG32" s="193" t="e">
        <f t="shared" si="7"/>
        <v>#REF!</v>
      </c>
      <c r="BH32" s="192"/>
      <c r="BI32" s="192" t="e">
        <f>IF(AY32&lt;=#REF!,#REF!,IF(AY32&lt;=#REF!,#REF!,IF(AY32&lt;=#REF!,#REF!,IF(AY32&lt;=#REF!,#REF!,IF(AY32&lt;=#REF!,#REF!,IF(AY32&lt;=#REF!,#REF!,IF(AY32&lt;=#REF!,#REF!,0.05)))))))</f>
        <v>#REF!</v>
      </c>
      <c r="BJ32" s="193" t="e">
        <f t="shared" si="8"/>
        <v>#REF!</v>
      </c>
      <c r="BK32" s="192"/>
      <c r="BL32" s="192" t="e">
        <f>IF(BB32&lt;=#REF!,#REF!,IF(BB32&lt;=#REF!,#REF!,IF(BB32&lt;=#REF!,#REF!,IF(BB32&lt;=#REF!,#REF!,IF(BB32&lt;=#REF!,#REF!,IF(BB32&lt;=#REF!,#REF!,IF(BB32&lt;=#REF!,#REF!,0.05)))))))</f>
        <v>#REF!</v>
      </c>
      <c r="BM32" s="193" t="e">
        <f t="shared" si="9"/>
        <v>#REF!</v>
      </c>
      <c r="BN32" s="192"/>
      <c r="BO32" s="196" t="e">
        <f>IF(BE32&lt;=#REF!,#REF!,IF(BE32&lt;=#REF!,#REF!,IF(BE32&lt;=#REF!,#REF!,IF(BE32&lt;=#REF!,#REF!,IF(BE32&lt;=#REF!,#REF!,IF(BE32&lt;=#REF!,#REF!,IF(BE32&lt;=#REF!,#REF!,0.05)))))))</f>
        <v>#REF!</v>
      </c>
      <c r="BP32" s="193" t="e">
        <f t="shared" si="10"/>
        <v>#REF!</v>
      </c>
      <c r="BR32" s="194" t="e">
        <f t="shared" si="11"/>
        <v>#REF!</v>
      </c>
      <c r="BT32" s="194" t="e">
        <f t="shared" si="12"/>
        <v>#REF!</v>
      </c>
      <c r="BU32" s="195" t="e">
        <f t="shared" si="13"/>
        <v>#REF!</v>
      </c>
      <c r="BV32" s="192" t="e">
        <f t="shared" si="14"/>
        <v>#REF!</v>
      </c>
      <c r="CL32" s="193">
        <v>24000</v>
      </c>
      <c r="CM32" s="193"/>
      <c r="CN32" s="193"/>
      <c r="CO32" s="193">
        <f t="shared" si="15"/>
        <v>24000</v>
      </c>
      <c r="CP32" s="193"/>
      <c r="CQ32" s="193"/>
      <c r="CR32" s="193">
        <f t="shared" si="16"/>
        <v>48000</v>
      </c>
      <c r="CS32" s="193"/>
      <c r="CT32" s="193"/>
      <c r="CU32" s="193">
        <f t="shared" si="17"/>
        <v>48000</v>
      </c>
      <c r="CV32" s="192">
        <f t="shared" si="28"/>
        <v>0.05</v>
      </c>
      <c r="CW32" s="193">
        <f t="shared" si="18"/>
        <v>1200</v>
      </c>
      <c r="CX32" s="192"/>
      <c r="CY32" s="192">
        <f t="shared" si="29"/>
        <v>0.03</v>
      </c>
      <c r="CZ32" s="193">
        <f t="shared" si="19"/>
        <v>720</v>
      </c>
      <c r="DA32" s="192"/>
      <c r="DB32" s="192">
        <f t="shared" si="30"/>
        <v>0.18</v>
      </c>
      <c r="DC32" s="193">
        <f t="shared" si="20"/>
        <v>8985.6</v>
      </c>
      <c r="DD32" s="192"/>
      <c r="DE32" s="196">
        <f t="shared" si="31"/>
        <v>-0.06</v>
      </c>
      <c r="DF32" s="193">
        <f t="shared" si="21"/>
        <v>-2880</v>
      </c>
      <c r="DH32" s="194">
        <f t="shared" si="22"/>
        <v>3921.7920000000004</v>
      </c>
      <c r="DJ32" s="194">
        <f t="shared" si="23"/>
        <v>59947.392</v>
      </c>
      <c r="DK32" s="195">
        <f t="shared" si="24"/>
        <v>8025.6</v>
      </c>
      <c r="DL32" s="192">
        <f t="shared" si="25"/>
        <v>0.13387738369001942</v>
      </c>
    </row>
    <row r="33" spans="1:116" ht="16.05" customHeight="1">
      <c r="A33" s="47"/>
      <c r="B33" s="56"/>
      <c r="C33" s="7"/>
      <c r="D33" s="9">
        <f t="shared" si="27"/>
        <v>0</v>
      </c>
      <c r="E33" s="1"/>
      <c r="F33" s="1"/>
      <c r="G33" s="1"/>
      <c r="O33" s="1"/>
      <c r="P33" s="1"/>
      <c r="Q33" s="1"/>
      <c r="R33" s="1"/>
      <c r="AV33" s="193">
        <v>25000</v>
      </c>
      <c r="AW33" s="193"/>
      <c r="AX33" s="193"/>
      <c r="AY33" s="193">
        <f t="shared" si="4"/>
        <v>25000</v>
      </c>
      <c r="AZ33" s="193"/>
      <c r="BA33" s="193"/>
      <c r="BB33" s="193">
        <f t="shared" si="5"/>
        <v>50000</v>
      </c>
      <c r="BC33" s="193"/>
      <c r="BD33" s="193"/>
      <c r="BE33" s="193">
        <f t="shared" si="6"/>
        <v>50000</v>
      </c>
      <c r="BF33" s="192" t="e">
        <f>IF(AV33&lt;=#REF!,#REF!,IF(AV33&lt;=#REF!,#REF!,IF(AV33&lt;=#REF!,#REF!,IF(AV33&lt;=#REF!,#REF!,IF(AV33&lt;=#REF!,#REF!,IF(AV33&lt;=#REF!,#REF!,IF(AV33&lt;=#REF!,#REF!,0.05)))))))</f>
        <v>#REF!</v>
      </c>
      <c r="BG33" s="193" t="e">
        <f t="shared" si="7"/>
        <v>#REF!</v>
      </c>
      <c r="BH33" s="192"/>
      <c r="BI33" s="192" t="e">
        <f>IF(AY33&lt;=#REF!,#REF!,IF(AY33&lt;=#REF!,#REF!,IF(AY33&lt;=#REF!,#REF!,IF(AY33&lt;=#REF!,#REF!,IF(AY33&lt;=#REF!,#REF!,IF(AY33&lt;=#REF!,#REF!,IF(AY33&lt;=#REF!,#REF!,0.05)))))))</f>
        <v>#REF!</v>
      </c>
      <c r="BJ33" s="193" t="e">
        <f t="shared" si="8"/>
        <v>#REF!</v>
      </c>
      <c r="BK33" s="192"/>
      <c r="BL33" s="192" t="e">
        <f>IF(BB33&lt;=#REF!,#REF!,IF(BB33&lt;=#REF!,#REF!,IF(BB33&lt;=#REF!,#REF!,IF(BB33&lt;=#REF!,#REF!,IF(BB33&lt;=#REF!,#REF!,IF(BB33&lt;=#REF!,#REF!,IF(BB33&lt;=#REF!,#REF!,0.05)))))))</f>
        <v>#REF!</v>
      </c>
      <c r="BM33" s="193" t="e">
        <f t="shared" si="9"/>
        <v>#REF!</v>
      </c>
      <c r="BN33" s="192"/>
      <c r="BO33" s="196" t="e">
        <f>IF(BE33&lt;=#REF!,#REF!,IF(BE33&lt;=#REF!,#REF!,IF(BE33&lt;=#REF!,#REF!,IF(BE33&lt;=#REF!,#REF!,IF(BE33&lt;=#REF!,#REF!,IF(BE33&lt;=#REF!,#REF!,IF(BE33&lt;=#REF!,#REF!,0.05)))))))</f>
        <v>#REF!</v>
      </c>
      <c r="BP33" s="193" t="e">
        <f t="shared" si="10"/>
        <v>#REF!</v>
      </c>
      <c r="BR33" s="194" t="e">
        <f t="shared" si="11"/>
        <v>#REF!</v>
      </c>
      <c r="BT33" s="194" t="e">
        <f t="shared" si="12"/>
        <v>#REF!</v>
      </c>
      <c r="BU33" s="195" t="e">
        <f t="shared" si="13"/>
        <v>#REF!</v>
      </c>
      <c r="BV33" s="192" t="e">
        <f t="shared" si="14"/>
        <v>#REF!</v>
      </c>
      <c r="CL33" s="193">
        <v>25000</v>
      </c>
      <c r="CM33" s="193"/>
      <c r="CN33" s="193"/>
      <c r="CO33" s="193">
        <f t="shared" si="15"/>
        <v>25000</v>
      </c>
      <c r="CP33" s="193"/>
      <c r="CQ33" s="193"/>
      <c r="CR33" s="193">
        <f t="shared" si="16"/>
        <v>50000</v>
      </c>
      <c r="CS33" s="193"/>
      <c r="CT33" s="193"/>
      <c r="CU33" s="193">
        <f t="shared" si="17"/>
        <v>50000</v>
      </c>
      <c r="CV33" s="192">
        <f t="shared" si="28"/>
        <v>0.05</v>
      </c>
      <c r="CW33" s="193">
        <f t="shared" si="18"/>
        <v>1250</v>
      </c>
      <c r="CX33" s="192"/>
      <c r="CY33" s="192">
        <f t="shared" si="29"/>
        <v>0.03</v>
      </c>
      <c r="CZ33" s="193">
        <f t="shared" si="19"/>
        <v>750</v>
      </c>
      <c r="DA33" s="192"/>
      <c r="DB33" s="192">
        <f t="shared" si="30"/>
        <v>0.18</v>
      </c>
      <c r="DC33" s="193">
        <f t="shared" si="20"/>
        <v>9360</v>
      </c>
      <c r="DD33" s="192"/>
      <c r="DE33" s="196">
        <f t="shared" si="31"/>
        <v>-0.06</v>
      </c>
      <c r="DF33" s="193">
        <f t="shared" si="21"/>
        <v>-3000</v>
      </c>
      <c r="DH33" s="194">
        <f t="shared" si="22"/>
        <v>4085.2000000000003</v>
      </c>
      <c r="DJ33" s="194">
        <f t="shared" si="23"/>
        <v>62445.2</v>
      </c>
      <c r="DK33" s="195">
        <f t="shared" si="24"/>
        <v>8360</v>
      </c>
      <c r="DL33" s="192">
        <f t="shared" si="25"/>
        <v>0.13387738369001942</v>
      </c>
    </row>
    <row r="34" spans="1:116">
      <c r="A34" s="47"/>
      <c r="B34" s="56"/>
      <c r="C34" s="7"/>
      <c r="D34" s="9">
        <f t="shared" si="27"/>
        <v>0</v>
      </c>
      <c r="E34" s="1"/>
      <c r="F34" s="1"/>
      <c r="G34" s="1"/>
      <c r="Q34" s="1916"/>
      <c r="R34" s="1916"/>
      <c r="AV34" s="193">
        <v>26000</v>
      </c>
      <c r="AW34" s="193"/>
      <c r="AX34" s="193"/>
      <c r="AY34" s="193">
        <f t="shared" si="4"/>
        <v>26000</v>
      </c>
      <c r="AZ34" s="193"/>
      <c r="BA34" s="193"/>
      <c r="BB34" s="193">
        <f t="shared" ref="BB34:BB48" si="32">AV34+AY34</f>
        <v>52000</v>
      </c>
      <c r="BC34" s="193"/>
      <c r="BD34" s="193"/>
      <c r="BE34" s="193">
        <f t="shared" ref="BE34:BE48" si="33">BB34</f>
        <v>52000</v>
      </c>
      <c r="BF34" s="192" t="e">
        <f>IF(AV34&lt;=#REF!,#REF!,IF(AV34&lt;=#REF!,#REF!,IF(AV34&lt;=#REF!,#REF!,IF(AV34&lt;=#REF!,#REF!,IF(AV34&lt;=#REF!,#REF!,IF(AV34&lt;=#REF!,#REF!,IF(AV34&lt;=#REF!,#REF!,0.05)))))))</f>
        <v>#REF!</v>
      </c>
      <c r="BG34" s="193" t="e">
        <f t="shared" ref="BG34:BG48" si="34">BF34*AV34</f>
        <v>#REF!</v>
      </c>
      <c r="BH34" s="192"/>
      <c r="BI34" s="192" t="e">
        <f>IF(AY34&lt;=#REF!,#REF!,IF(AY34&lt;=#REF!,#REF!,IF(AY34&lt;=#REF!,#REF!,IF(AY34&lt;=#REF!,#REF!,IF(AY34&lt;=#REF!,#REF!,IF(AY34&lt;=#REF!,#REF!,IF(AY34&lt;=#REF!,#REF!,0.05)))))))</f>
        <v>#REF!</v>
      </c>
      <c r="BJ34" s="193" t="e">
        <f t="shared" ref="BJ34:BJ48" si="35">BI34*AY34</f>
        <v>#REF!</v>
      </c>
      <c r="BK34" s="192"/>
      <c r="BL34" s="192" t="e">
        <f>IF(BB34&lt;=#REF!,#REF!,IF(BB34&lt;=#REF!,#REF!,IF(BB34&lt;=#REF!,#REF!,IF(BB34&lt;=#REF!,#REF!,IF(BB34&lt;=#REF!,#REF!,IF(BB34&lt;=#REF!,#REF!,IF(BB34&lt;=#REF!,#REF!,0.05)))))))</f>
        <v>#REF!</v>
      </c>
      <c r="BM34" s="193" t="e">
        <f t="shared" ref="BM34:BM48" si="36">BL34*SUM(BJ34,BG34,BB34)</f>
        <v>#REF!</v>
      </c>
      <c r="BN34" s="192"/>
      <c r="BO34" s="196" t="e">
        <f>IF(BE34&lt;=#REF!,#REF!,IF(BE34&lt;=#REF!,#REF!,IF(BE34&lt;=#REF!,#REF!,IF(BE34&lt;=#REF!,#REF!,IF(BE34&lt;=#REF!,#REF!,IF(BE34&lt;=#REF!,#REF!,IF(BE34&lt;=#REF!,#REF!,0.05)))))))</f>
        <v>#REF!</v>
      </c>
      <c r="BP34" s="193" t="e">
        <f t="shared" ref="BP34:BP48" si="37">BO34*BE34</f>
        <v>#REF!</v>
      </c>
      <c r="BR34" s="194" t="e">
        <f t="shared" ref="BR34:BR48" si="38">0.07*SUM(BB34,BG34,BJ34,BM34,BP34)</f>
        <v>#REF!</v>
      </c>
      <c r="BT34" s="194" t="e">
        <f t="shared" ref="BT34:BT48" si="39">SUM(BR34,BP34,BM34,BJ34,BG34,BB34)</f>
        <v>#REF!</v>
      </c>
      <c r="BU34" s="195" t="e">
        <f t="shared" ref="BU34:BU48" si="40">SUM(BP34,BM34,BJ34,BG34)</f>
        <v>#REF!</v>
      </c>
      <c r="BV34" s="192" t="e">
        <f t="shared" ref="BV34:BV48" si="41">BU34/BT34</f>
        <v>#REF!</v>
      </c>
      <c r="CL34" s="193">
        <v>26000</v>
      </c>
      <c r="CM34" s="193"/>
      <c r="CN34" s="193"/>
      <c r="CO34" s="193">
        <f t="shared" si="15"/>
        <v>26000</v>
      </c>
      <c r="CP34" s="193"/>
      <c r="CQ34" s="193"/>
      <c r="CR34" s="193">
        <f t="shared" si="16"/>
        <v>52000</v>
      </c>
      <c r="CS34" s="193"/>
      <c r="CT34" s="193"/>
      <c r="CU34" s="193">
        <f t="shared" si="17"/>
        <v>52000</v>
      </c>
      <c r="CV34" s="192">
        <f t="shared" si="28"/>
        <v>0.05</v>
      </c>
      <c r="CW34" s="193">
        <f t="shared" si="18"/>
        <v>1300</v>
      </c>
      <c r="CX34" s="192"/>
      <c r="CY34" s="192">
        <f t="shared" si="29"/>
        <v>0.03</v>
      </c>
      <c r="CZ34" s="193">
        <f t="shared" si="19"/>
        <v>780</v>
      </c>
      <c r="DA34" s="192"/>
      <c r="DB34" s="192">
        <f t="shared" si="30"/>
        <v>0.18</v>
      </c>
      <c r="DC34" s="193">
        <f t="shared" si="20"/>
        <v>9734.4</v>
      </c>
      <c r="DD34" s="192"/>
      <c r="DE34" s="196">
        <f t="shared" si="31"/>
        <v>-0.06</v>
      </c>
      <c r="DF34" s="193">
        <f t="shared" si="21"/>
        <v>-3120</v>
      </c>
      <c r="DH34" s="194">
        <f t="shared" si="22"/>
        <v>4248.6080000000002</v>
      </c>
      <c r="DJ34" s="194">
        <f t="shared" si="23"/>
        <v>64943.008000000002</v>
      </c>
      <c r="DK34" s="195">
        <f t="shared" si="24"/>
        <v>8694.4</v>
      </c>
      <c r="DL34" s="192">
        <f t="shared" si="25"/>
        <v>0.13387738369001939</v>
      </c>
    </row>
    <row r="35" spans="1:116">
      <c r="A35" s="47"/>
      <c r="B35" s="56"/>
      <c r="C35" s="7"/>
      <c r="D35" s="9">
        <f t="shared" si="27"/>
        <v>0</v>
      </c>
      <c r="E35" s="1"/>
      <c r="F35" s="1"/>
      <c r="G35" s="1"/>
      <c r="H35" s="1"/>
      <c r="Q35" s="1916"/>
      <c r="R35" s="1916"/>
      <c r="AV35" s="193">
        <v>27000</v>
      </c>
      <c r="AW35" s="193"/>
      <c r="AX35" s="193"/>
      <c r="AY35" s="193">
        <f t="shared" si="4"/>
        <v>27000</v>
      </c>
      <c r="AZ35" s="193"/>
      <c r="BA35" s="193"/>
      <c r="BB35" s="193">
        <f t="shared" si="32"/>
        <v>54000</v>
      </c>
      <c r="BC35" s="193"/>
      <c r="BD35" s="193"/>
      <c r="BE35" s="193">
        <f t="shared" si="33"/>
        <v>54000</v>
      </c>
      <c r="BF35" s="192" t="e">
        <f>IF(AV35&lt;=#REF!,#REF!,IF(AV35&lt;=#REF!,#REF!,IF(AV35&lt;=#REF!,#REF!,IF(AV35&lt;=#REF!,#REF!,IF(AV35&lt;=#REF!,#REF!,IF(AV35&lt;=#REF!,#REF!,IF(AV35&lt;=#REF!,#REF!,0.05)))))))</f>
        <v>#REF!</v>
      </c>
      <c r="BG35" s="193" t="e">
        <f t="shared" si="34"/>
        <v>#REF!</v>
      </c>
      <c r="BH35" s="192"/>
      <c r="BI35" s="192" t="e">
        <f>IF(AY35&lt;=#REF!,#REF!,IF(AY35&lt;=#REF!,#REF!,IF(AY35&lt;=#REF!,#REF!,IF(AY35&lt;=#REF!,#REF!,IF(AY35&lt;=#REF!,#REF!,IF(AY35&lt;=#REF!,#REF!,IF(AY35&lt;=#REF!,#REF!,0.05)))))))</f>
        <v>#REF!</v>
      </c>
      <c r="BJ35" s="193" t="e">
        <f t="shared" si="35"/>
        <v>#REF!</v>
      </c>
      <c r="BK35" s="192"/>
      <c r="BL35" s="192" t="e">
        <f>IF(BB35&lt;=#REF!,#REF!,IF(BB35&lt;=#REF!,#REF!,IF(BB35&lt;=#REF!,#REF!,IF(BB35&lt;=#REF!,#REF!,IF(BB35&lt;=#REF!,#REF!,IF(BB35&lt;=#REF!,#REF!,IF(BB35&lt;=#REF!,#REF!,0.05)))))))</f>
        <v>#REF!</v>
      </c>
      <c r="BM35" s="193" t="e">
        <f t="shared" si="36"/>
        <v>#REF!</v>
      </c>
      <c r="BN35" s="192"/>
      <c r="BO35" s="196" t="e">
        <f>IF(BE35&lt;=#REF!,#REF!,IF(BE35&lt;=#REF!,#REF!,IF(BE35&lt;=#REF!,#REF!,IF(BE35&lt;=#REF!,#REF!,IF(BE35&lt;=#REF!,#REF!,IF(BE35&lt;=#REF!,#REF!,IF(BE35&lt;=#REF!,#REF!,0.05)))))))</f>
        <v>#REF!</v>
      </c>
      <c r="BP35" s="193" t="e">
        <f t="shared" si="37"/>
        <v>#REF!</v>
      </c>
      <c r="BR35" s="194" t="e">
        <f t="shared" si="38"/>
        <v>#REF!</v>
      </c>
      <c r="BT35" s="194" t="e">
        <f t="shared" si="39"/>
        <v>#REF!</v>
      </c>
      <c r="BU35" s="195" t="e">
        <f t="shared" si="40"/>
        <v>#REF!</v>
      </c>
      <c r="BV35" s="192" t="e">
        <f t="shared" si="41"/>
        <v>#REF!</v>
      </c>
      <c r="CL35" s="193">
        <v>27000</v>
      </c>
      <c r="CM35" s="193"/>
      <c r="CN35" s="193"/>
      <c r="CO35" s="193">
        <f t="shared" si="15"/>
        <v>27000</v>
      </c>
      <c r="CP35" s="193"/>
      <c r="CQ35" s="193"/>
      <c r="CR35" s="193">
        <f t="shared" si="16"/>
        <v>54000</v>
      </c>
      <c r="CS35" s="193"/>
      <c r="CT35" s="193"/>
      <c r="CU35" s="193">
        <f t="shared" si="17"/>
        <v>54000</v>
      </c>
      <c r="CV35" s="192">
        <f t="shared" si="28"/>
        <v>0.05</v>
      </c>
      <c r="CW35" s="193">
        <f t="shared" si="18"/>
        <v>1350</v>
      </c>
      <c r="CX35" s="192"/>
      <c r="CY35" s="192">
        <f t="shared" si="29"/>
        <v>0.03</v>
      </c>
      <c r="CZ35" s="193">
        <f t="shared" si="19"/>
        <v>810</v>
      </c>
      <c r="DA35" s="192"/>
      <c r="DB35" s="192">
        <f t="shared" si="30"/>
        <v>0.18</v>
      </c>
      <c r="DC35" s="193">
        <f t="shared" si="20"/>
        <v>10108.799999999999</v>
      </c>
      <c r="DD35" s="192"/>
      <c r="DE35" s="196">
        <f t="shared" si="31"/>
        <v>-0.06</v>
      </c>
      <c r="DF35" s="193">
        <f t="shared" si="21"/>
        <v>-3240</v>
      </c>
      <c r="DH35" s="194">
        <f t="shared" si="22"/>
        <v>4412.0160000000005</v>
      </c>
      <c r="DJ35" s="194">
        <f t="shared" si="23"/>
        <v>67440.815999999992</v>
      </c>
      <c r="DK35" s="195">
        <f t="shared" si="24"/>
        <v>9028.7999999999993</v>
      </c>
      <c r="DL35" s="192">
        <f t="shared" si="25"/>
        <v>0.13387738369001942</v>
      </c>
    </row>
    <row r="36" spans="1:116">
      <c r="A36" s="48"/>
      <c r="B36" s="57"/>
      <c r="C36" s="26"/>
      <c r="D36" s="27">
        <f t="shared" si="27"/>
        <v>0</v>
      </c>
      <c r="E36" s="1"/>
      <c r="F36" s="1"/>
      <c r="G36" s="1"/>
      <c r="H36" s="1"/>
      <c r="Q36" s="1916"/>
      <c r="R36" s="1916"/>
      <c r="AV36" s="193">
        <v>28000</v>
      </c>
      <c r="AW36" s="193"/>
      <c r="AX36" s="193"/>
      <c r="AY36" s="193">
        <f t="shared" si="4"/>
        <v>28000</v>
      </c>
      <c r="AZ36" s="193"/>
      <c r="BA36" s="193"/>
      <c r="BB36" s="193">
        <f t="shared" si="32"/>
        <v>56000</v>
      </c>
      <c r="BC36" s="193"/>
      <c r="BD36" s="193"/>
      <c r="BE36" s="193">
        <f t="shared" si="33"/>
        <v>56000</v>
      </c>
      <c r="BF36" s="192" t="e">
        <f>IF(AV36&lt;=#REF!,#REF!,IF(AV36&lt;=#REF!,#REF!,IF(AV36&lt;=#REF!,#REF!,IF(AV36&lt;=#REF!,#REF!,IF(AV36&lt;=#REF!,#REF!,IF(AV36&lt;=#REF!,#REF!,IF(AV36&lt;=#REF!,#REF!,0.05)))))))</f>
        <v>#REF!</v>
      </c>
      <c r="BG36" s="193" t="e">
        <f t="shared" si="34"/>
        <v>#REF!</v>
      </c>
      <c r="BH36" s="192"/>
      <c r="BI36" s="192" t="e">
        <f>IF(AY36&lt;=#REF!,#REF!,IF(AY36&lt;=#REF!,#REF!,IF(AY36&lt;=#REF!,#REF!,IF(AY36&lt;=#REF!,#REF!,IF(AY36&lt;=#REF!,#REF!,IF(AY36&lt;=#REF!,#REF!,IF(AY36&lt;=#REF!,#REF!,0.05)))))))</f>
        <v>#REF!</v>
      </c>
      <c r="BJ36" s="193" t="e">
        <f t="shared" si="35"/>
        <v>#REF!</v>
      </c>
      <c r="BK36" s="192"/>
      <c r="BL36" s="192" t="e">
        <f>IF(BB36&lt;=#REF!,#REF!,IF(BB36&lt;=#REF!,#REF!,IF(BB36&lt;=#REF!,#REF!,IF(BB36&lt;=#REF!,#REF!,IF(BB36&lt;=#REF!,#REF!,IF(BB36&lt;=#REF!,#REF!,IF(BB36&lt;=#REF!,#REF!,0.05)))))))</f>
        <v>#REF!</v>
      </c>
      <c r="BM36" s="193" t="e">
        <f t="shared" si="36"/>
        <v>#REF!</v>
      </c>
      <c r="BN36" s="192"/>
      <c r="BO36" s="196" t="e">
        <f>IF(BE36&lt;=#REF!,#REF!,IF(BE36&lt;=#REF!,#REF!,IF(BE36&lt;=#REF!,#REF!,IF(BE36&lt;=#REF!,#REF!,IF(BE36&lt;=#REF!,#REF!,IF(BE36&lt;=#REF!,#REF!,IF(BE36&lt;=#REF!,#REF!,0.05)))))))</f>
        <v>#REF!</v>
      </c>
      <c r="BP36" s="193" t="e">
        <f t="shared" si="37"/>
        <v>#REF!</v>
      </c>
      <c r="BR36" s="194" t="e">
        <f t="shared" si="38"/>
        <v>#REF!</v>
      </c>
      <c r="BT36" s="194" t="e">
        <f t="shared" si="39"/>
        <v>#REF!</v>
      </c>
      <c r="BU36" s="195" t="e">
        <f t="shared" si="40"/>
        <v>#REF!</v>
      </c>
      <c r="BV36" s="192" t="e">
        <f t="shared" si="41"/>
        <v>#REF!</v>
      </c>
      <c r="CL36" s="193">
        <v>28000</v>
      </c>
      <c r="CM36" s="193"/>
      <c r="CN36" s="193"/>
      <c r="CO36" s="193">
        <f t="shared" si="15"/>
        <v>28000</v>
      </c>
      <c r="CP36" s="193"/>
      <c r="CQ36" s="193"/>
      <c r="CR36" s="193">
        <f t="shared" si="16"/>
        <v>56000</v>
      </c>
      <c r="CS36" s="193"/>
      <c r="CT36" s="193"/>
      <c r="CU36" s="193">
        <f t="shared" si="17"/>
        <v>56000</v>
      </c>
      <c r="CV36" s="192">
        <f t="shared" si="28"/>
        <v>0.05</v>
      </c>
      <c r="CW36" s="193">
        <f t="shared" si="18"/>
        <v>1400</v>
      </c>
      <c r="CX36" s="192"/>
      <c r="CY36" s="192">
        <f t="shared" si="29"/>
        <v>0.03</v>
      </c>
      <c r="CZ36" s="193">
        <f t="shared" si="19"/>
        <v>840</v>
      </c>
      <c r="DA36" s="192"/>
      <c r="DB36" s="192">
        <f t="shared" si="30"/>
        <v>0.18</v>
      </c>
      <c r="DC36" s="193">
        <f t="shared" si="20"/>
        <v>10483.199999999999</v>
      </c>
      <c r="DD36" s="192"/>
      <c r="DE36" s="196">
        <f t="shared" si="31"/>
        <v>-0.06</v>
      </c>
      <c r="DF36" s="193">
        <f t="shared" si="21"/>
        <v>-3360</v>
      </c>
      <c r="DH36" s="194">
        <f t="shared" si="22"/>
        <v>4575.424</v>
      </c>
      <c r="DJ36" s="194">
        <f t="shared" si="23"/>
        <v>69938.623999999996</v>
      </c>
      <c r="DK36" s="195">
        <f t="shared" si="24"/>
        <v>9363.1999999999989</v>
      </c>
      <c r="DL36" s="192">
        <f t="shared" si="25"/>
        <v>0.13387738369001939</v>
      </c>
    </row>
    <row r="37" spans="1:116" ht="16.05" customHeight="1">
      <c r="A37" s="1786" t="s">
        <v>10</v>
      </c>
      <c r="B37" s="1787"/>
      <c r="C37" s="1788"/>
      <c r="D37" s="19">
        <f>ROUNDUP(SUM(D18:D36),0)</f>
        <v>1440</v>
      </c>
      <c r="E37" s="1"/>
      <c r="F37" s="1"/>
      <c r="G37" s="1"/>
      <c r="H37" s="1"/>
      <c r="Q37" s="1916"/>
      <c r="R37" s="1916"/>
      <c r="AV37" s="193">
        <v>29000</v>
      </c>
      <c r="AW37" s="193"/>
      <c r="AX37" s="193"/>
      <c r="AY37" s="193">
        <f t="shared" si="4"/>
        <v>29000</v>
      </c>
      <c r="AZ37" s="193"/>
      <c r="BA37" s="193"/>
      <c r="BB37" s="193">
        <f t="shared" si="32"/>
        <v>58000</v>
      </c>
      <c r="BC37" s="193"/>
      <c r="BD37" s="193"/>
      <c r="BE37" s="193">
        <f t="shared" si="33"/>
        <v>58000</v>
      </c>
      <c r="BF37" s="192" t="e">
        <f>IF(AV37&lt;=#REF!,#REF!,IF(AV37&lt;=#REF!,#REF!,IF(AV37&lt;=#REF!,#REF!,IF(AV37&lt;=#REF!,#REF!,IF(AV37&lt;=#REF!,#REF!,IF(AV37&lt;=#REF!,#REF!,IF(AV37&lt;=#REF!,#REF!,0.05)))))))</f>
        <v>#REF!</v>
      </c>
      <c r="BG37" s="193" t="e">
        <f t="shared" si="34"/>
        <v>#REF!</v>
      </c>
      <c r="BH37" s="192"/>
      <c r="BI37" s="192" t="e">
        <f>IF(AY37&lt;=#REF!,#REF!,IF(AY37&lt;=#REF!,#REF!,IF(AY37&lt;=#REF!,#REF!,IF(AY37&lt;=#REF!,#REF!,IF(AY37&lt;=#REF!,#REF!,IF(AY37&lt;=#REF!,#REF!,IF(AY37&lt;=#REF!,#REF!,0.05)))))))</f>
        <v>#REF!</v>
      </c>
      <c r="BJ37" s="193" t="e">
        <f t="shared" si="35"/>
        <v>#REF!</v>
      </c>
      <c r="BK37" s="192"/>
      <c r="BL37" s="192" t="e">
        <f>IF(BB37&lt;=#REF!,#REF!,IF(BB37&lt;=#REF!,#REF!,IF(BB37&lt;=#REF!,#REF!,IF(BB37&lt;=#REF!,#REF!,IF(BB37&lt;=#REF!,#REF!,IF(BB37&lt;=#REF!,#REF!,IF(BB37&lt;=#REF!,#REF!,0.05)))))))</f>
        <v>#REF!</v>
      </c>
      <c r="BM37" s="193" t="e">
        <f t="shared" si="36"/>
        <v>#REF!</v>
      </c>
      <c r="BN37" s="192"/>
      <c r="BO37" s="196" t="e">
        <f>IF(BE37&lt;=#REF!,#REF!,IF(BE37&lt;=#REF!,#REF!,IF(BE37&lt;=#REF!,#REF!,IF(BE37&lt;=#REF!,#REF!,IF(BE37&lt;=#REF!,#REF!,IF(BE37&lt;=#REF!,#REF!,IF(BE37&lt;=#REF!,#REF!,0.05)))))))</f>
        <v>#REF!</v>
      </c>
      <c r="BP37" s="193" t="e">
        <f t="shared" si="37"/>
        <v>#REF!</v>
      </c>
      <c r="BR37" s="194" t="e">
        <f t="shared" si="38"/>
        <v>#REF!</v>
      </c>
      <c r="BT37" s="194" t="e">
        <f t="shared" si="39"/>
        <v>#REF!</v>
      </c>
      <c r="BU37" s="195" t="e">
        <f t="shared" si="40"/>
        <v>#REF!</v>
      </c>
      <c r="BV37" s="192" t="e">
        <f t="shared" si="41"/>
        <v>#REF!</v>
      </c>
      <c r="CL37" s="193">
        <v>29000</v>
      </c>
      <c r="CM37" s="193"/>
      <c r="CN37" s="193"/>
      <c r="CO37" s="193">
        <f t="shared" si="15"/>
        <v>29000</v>
      </c>
      <c r="CP37" s="193"/>
      <c r="CQ37" s="193"/>
      <c r="CR37" s="193">
        <f t="shared" si="16"/>
        <v>58000</v>
      </c>
      <c r="CS37" s="193"/>
      <c r="CT37" s="193"/>
      <c r="CU37" s="193">
        <f t="shared" si="17"/>
        <v>58000</v>
      </c>
      <c r="CV37" s="192">
        <f t="shared" si="28"/>
        <v>0.05</v>
      </c>
      <c r="CW37" s="193">
        <f t="shared" si="18"/>
        <v>1450</v>
      </c>
      <c r="CX37" s="192"/>
      <c r="CY37" s="192">
        <f t="shared" si="29"/>
        <v>0.03</v>
      </c>
      <c r="CZ37" s="193">
        <f t="shared" si="19"/>
        <v>870</v>
      </c>
      <c r="DA37" s="192"/>
      <c r="DB37" s="192">
        <f t="shared" si="30"/>
        <v>0.18</v>
      </c>
      <c r="DC37" s="193">
        <f t="shared" si="20"/>
        <v>10857.6</v>
      </c>
      <c r="DD37" s="192"/>
      <c r="DE37" s="196">
        <f t="shared" si="31"/>
        <v>-0.06</v>
      </c>
      <c r="DF37" s="193">
        <f t="shared" si="21"/>
        <v>-3480</v>
      </c>
      <c r="DH37" s="194">
        <f t="shared" si="22"/>
        <v>4738.8320000000012</v>
      </c>
      <c r="DJ37" s="194">
        <f t="shared" si="23"/>
        <v>72436.432000000001</v>
      </c>
      <c r="DK37" s="195">
        <f t="shared" si="24"/>
        <v>9697.6</v>
      </c>
      <c r="DL37" s="192">
        <f t="shared" si="25"/>
        <v>0.13387738369001942</v>
      </c>
    </row>
    <row r="38" spans="1:116">
      <c r="A38" s="20" t="s">
        <v>219</v>
      </c>
      <c r="B38" s="270">
        <v>0</v>
      </c>
      <c r="C38" s="1790"/>
      <c r="D38" s="22">
        <f>ROUNDUP(SUM(D21:D27)*B38,0)</f>
        <v>0</v>
      </c>
      <c r="E38" s="1"/>
      <c r="F38" s="1"/>
      <c r="G38" s="296"/>
      <c r="J38" s="219"/>
      <c r="AV38" s="193">
        <v>30000</v>
      </c>
      <c r="AW38" s="193"/>
      <c r="AX38" s="193"/>
      <c r="AY38" s="193">
        <f t="shared" si="4"/>
        <v>30000</v>
      </c>
      <c r="AZ38" s="193"/>
      <c r="BA38" s="193"/>
      <c r="BB38" s="193">
        <f t="shared" si="32"/>
        <v>60000</v>
      </c>
      <c r="BC38" s="193"/>
      <c r="BD38" s="193"/>
      <c r="BE38" s="193">
        <f t="shared" si="33"/>
        <v>60000</v>
      </c>
      <c r="BF38" s="192" t="e">
        <f>IF(AV38&lt;=#REF!,#REF!,IF(AV38&lt;=#REF!,#REF!,IF(AV38&lt;=#REF!,#REF!,IF(AV38&lt;=#REF!,#REF!,IF(AV38&lt;=#REF!,#REF!,IF(AV38&lt;=#REF!,#REF!,IF(AV38&lt;=#REF!,#REF!,0.05)))))))</f>
        <v>#REF!</v>
      </c>
      <c r="BG38" s="193" t="e">
        <f t="shared" si="34"/>
        <v>#REF!</v>
      </c>
      <c r="BH38" s="192"/>
      <c r="BI38" s="192" t="e">
        <f>IF(AY38&lt;=#REF!,#REF!,IF(AY38&lt;=#REF!,#REF!,IF(AY38&lt;=#REF!,#REF!,IF(AY38&lt;=#REF!,#REF!,IF(AY38&lt;=#REF!,#REF!,IF(AY38&lt;=#REF!,#REF!,IF(AY38&lt;=#REF!,#REF!,0.05)))))))</f>
        <v>#REF!</v>
      </c>
      <c r="BJ38" s="193" t="e">
        <f t="shared" si="35"/>
        <v>#REF!</v>
      </c>
      <c r="BK38" s="192"/>
      <c r="BL38" s="192" t="e">
        <f>IF(BB38&lt;=#REF!,#REF!,IF(BB38&lt;=#REF!,#REF!,IF(BB38&lt;=#REF!,#REF!,IF(BB38&lt;=#REF!,#REF!,IF(BB38&lt;=#REF!,#REF!,IF(BB38&lt;=#REF!,#REF!,IF(BB38&lt;=#REF!,#REF!,0.05)))))))</f>
        <v>#REF!</v>
      </c>
      <c r="BM38" s="193" t="e">
        <f t="shared" si="36"/>
        <v>#REF!</v>
      </c>
      <c r="BN38" s="192"/>
      <c r="BO38" s="196" t="e">
        <f>IF(BE38&lt;=#REF!,#REF!,IF(BE38&lt;=#REF!,#REF!,IF(BE38&lt;=#REF!,#REF!,IF(BE38&lt;=#REF!,#REF!,IF(BE38&lt;=#REF!,#REF!,IF(BE38&lt;=#REF!,#REF!,IF(BE38&lt;=#REF!,#REF!,0.05)))))))</f>
        <v>#REF!</v>
      </c>
      <c r="BP38" s="193" t="e">
        <f t="shared" si="37"/>
        <v>#REF!</v>
      </c>
      <c r="BR38" s="194" t="e">
        <f t="shared" si="38"/>
        <v>#REF!</v>
      </c>
      <c r="BT38" s="194" t="e">
        <f t="shared" si="39"/>
        <v>#REF!</v>
      </c>
      <c r="BU38" s="195" t="e">
        <f t="shared" si="40"/>
        <v>#REF!</v>
      </c>
      <c r="BV38" s="192" t="e">
        <f t="shared" si="41"/>
        <v>#REF!</v>
      </c>
      <c r="CL38" s="193">
        <v>30000</v>
      </c>
      <c r="CM38" s="193"/>
      <c r="CN38" s="193"/>
      <c r="CO38" s="193">
        <f t="shared" si="15"/>
        <v>30000</v>
      </c>
      <c r="CP38" s="193"/>
      <c r="CQ38" s="193"/>
      <c r="CR38" s="193">
        <f t="shared" si="16"/>
        <v>60000</v>
      </c>
      <c r="CS38" s="193"/>
      <c r="CT38" s="193"/>
      <c r="CU38" s="193">
        <f t="shared" si="17"/>
        <v>60000</v>
      </c>
      <c r="CV38" s="192">
        <f t="shared" si="28"/>
        <v>0.05</v>
      </c>
      <c r="CW38" s="193">
        <f t="shared" si="18"/>
        <v>1500</v>
      </c>
      <c r="CX38" s="192"/>
      <c r="CY38" s="192">
        <f t="shared" si="29"/>
        <v>0.03</v>
      </c>
      <c r="CZ38" s="193">
        <f t="shared" si="19"/>
        <v>900</v>
      </c>
      <c r="DA38" s="192"/>
      <c r="DB38" s="192">
        <f t="shared" si="30"/>
        <v>0.18</v>
      </c>
      <c r="DC38" s="193">
        <f t="shared" si="20"/>
        <v>11232</v>
      </c>
      <c r="DD38" s="192"/>
      <c r="DE38" s="196">
        <f t="shared" si="31"/>
        <v>-0.06</v>
      </c>
      <c r="DF38" s="193">
        <f t="shared" si="21"/>
        <v>-3600</v>
      </c>
      <c r="DH38" s="194">
        <f t="shared" si="22"/>
        <v>4902.2400000000007</v>
      </c>
      <c r="DJ38" s="194">
        <f t="shared" si="23"/>
        <v>74934.240000000005</v>
      </c>
      <c r="DK38" s="195">
        <f t="shared" si="24"/>
        <v>10032</v>
      </c>
      <c r="DL38" s="192">
        <f t="shared" si="25"/>
        <v>0.13387738369001939</v>
      </c>
    </row>
    <row r="39" spans="1:116">
      <c r="A39" s="446" t="s">
        <v>427</v>
      </c>
      <c r="B39" s="447">
        <f>0.05+IF(D37&lt;=5000,0.1,IF(D37&lt;=10000,0.06,0.04))</f>
        <v>0.15000000000000002</v>
      </c>
      <c r="C39" s="41"/>
      <c r="D39" s="42">
        <f>ROUNDUP(D37*B39,0)</f>
        <v>216</v>
      </c>
      <c r="E39" s="1"/>
      <c r="G39" s="38"/>
      <c r="H39" s="230" t="s">
        <v>201</v>
      </c>
      <c r="I39" s="133"/>
      <c r="K39" s="1095" t="s">
        <v>672</v>
      </c>
      <c r="L39" s="1092">
        <f>B42/M39</f>
        <v>0</v>
      </c>
      <c r="M39" s="1096">
        <v>2</v>
      </c>
      <c r="N39" s="1097" t="s">
        <v>673</v>
      </c>
      <c r="AV39" s="193">
        <v>31000</v>
      </c>
      <c r="AW39" s="193"/>
      <c r="AX39" s="193"/>
      <c r="AY39" s="193">
        <f t="shared" si="4"/>
        <v>31000</v>
      </c>
      <c r="AZ39" s="193"/>
      <c r="BA39" s="193"/>
      <c r="BB39" s="193">
        <f t="shared" si="32"/>
        <v>62000</v>
      </c>
      <c r="BC39" s="193"/>
      <c r="BD39" s="193"/>
      <c r="BE39" s="193">
        <f t="shared" si="33"/>
        <v>62000</v>
      </c>
      <c r="BF39" s="192" t="e">
        <f>IF(AV39&lt;=#REF!,#REF!,IF(AV39&lt;=#REF!,#REF!,IF(AV39&lt;=#REF!,#REF!,IF(AV39&lt;=#REF!,#REF!,IF(AV39&lt;=#REF!,#REF!,IF(AV39&lt;=#REF!,#REF!,IF(AV39&lt;=#REF!,#REF!,0.05)))))))</f>
        <v>#REF!</v>
      </c>
      <c r="BG39" s="193" t="e">
        <f t="shared" si="34"/>
        <v>#REF!</v>
      </c>
      <c r="BH39" s="192"/>
      <c r="BI39" s="192" t="e">
        <f>IF(AY39&lt;=#REF!,#REF!,IF(AY39&lt;=#REF!,#REF!,IF(AY39&lt;=#REF!,#REF!,IF(AY39&lt;=#REF!,#REF!,IF(AY39&lt;=#REF!,#REF!,IF(AY39&lt;=#REF!,#REF!,IF(AY39&lt;=#REF!,#REF!,0.05)))))))</f>
        <v>#REF!</v>
      </c>
      <c r="BJ39" s="193" t="e">
        <f t="shared" si="35"/>
        <v>#REF!</v>
      </c>
      <c r="BK39" s="192"/>
      <c r="BL39" s="192" t="e">
        <f>IF(BB39&lt;=#REF!,#REF!,IF(BB39&lt;=#REF!,#REF!,IF(BB39&lt;=#REF!,#REF!,IF(BB39&lt;=#REF!,#REF!,IF(BB39&lt;=#REF!,#REF!,IF(BB39&lt;=#REF!,#REF!,IF(BB39&lt;=#REF!,#REF!,0.05)))))))</f>
        <v>#REF!</v>
      </c>
      <c r="BM39" s="193" t="e">
        <f t="shared" si="36"/>
        <v>#REF!</v>
      </c>
      <c r="BN39" s="192"/>
      <c r="BO39" s="196" t="e">
        <f>IF(BE39&lt;=#REF!,#REF!,IF(BE39&lt;=#REF!,#REF!,IF(BE39&lt;=#REF!,#REF!,IF(BE39&lt;=#REF!,#REF!,IF(BE39&lt;=#REF!,#REF!,IF(BE39&lt;=#REF!,#REF!,IF(BE39&lt;=#REF!,#REF!,0.05)))))))</f>
        <v>#REF!</v>
      </c>
      <c r="BP39" s="193" t="e">
        <f t="shared" si="37"/>
        <v>#REF!</v>
      </c>
      <c r="BR39" s="194" t="e">
        <f t="shared" si="38"/>
        <v>#REF!</v>
      </c>
      <c r="BT39" s="194" t="e">
        <f t="shared" si="39"/>
        <v>#REF!</v>
      </c>
      <c r="BU39" s="195" t="e">
        <f t="shared" si="40"/>
        <v>#REF!</v>
      </c>
      <c r="BV39" s="192" t="e">
        <f t="shared" si="41"/>
        <v>#REF!</v>
      </c>
      <c r="CL39" s="193">
        <v>31000</v>
      </c>
      <c r="CM39" s="193"/>
      <c r="CN39" s="193"/>
      <c r="CO39" s="193">
        <f t="shared" si="15"/>
        <v>31000</v>
      </c>
      <c r="CP39" s="193"/>
      <c r="CQ39" s="193"/>
      <c r="CR39" s="193">
        <f t="shared" si="16"/>
        <v>62000</v>
      </c>
      <c r="CS39" s="193"/>
      <c r="CT39" s="193"/>
      <c r="CU39" s="193">
        <f t="shared" si="17"/>
        <v>62000</v>
      </c>
      <c r="CV39" s="192">
        <f t="shared" si="28"/>
        <v>0.05</v>
      </c>
      <c r="CW39" s="193">
        <f t="shared" si="18"/>
        <v>1550</v>
      </c>
      <c r="CX39" s="192"/>
      <c r="CY39" s="192">
        <f t="shared" si="29"/>
        <v>0.03</v>
      </c>
      <c r="CZ39" s="193">
        <f t="shared" si="19"/>
        <v>930</v>
      </c>
      <c r="DA39" s="192"/>
      <c r="DB39" s="192">
        <f t="shared" si="30"/>
        <v>0.18</v>
      </c>
      <c r="DC39" s="193">
        <f t="shared" si="20"/>
        <v>11606.4</v>
      </c>
      <c r="DD39" s="192"/>
      <c r="DE39" s="196">
        <f t="shared" si="31"/>
        <v>-0.06</v>
      </c>
      <c r="DF39" s="193">
        <f t="shared" si="21"/>
        <v>-3720</v>
      </c>
      <c r="DH39" s="194">
        <f t="shared" si="22"/>
        <v>5065.6480000000001</v>
      </c>
      <c r="DJ39" s="194">
        <f t="shared" si="23"/>
        <v>77432.047999999995</v>
      </c>
      <c r="DK39" s="195">
        <f t="shared" si="24"/>
        <v>10366.4</v>
      </c>
      <c r="DL39" s="192">
        <f t="shared" si="25"/>
        <v>0.13387738369001942</v>
      </c>
    </row>
    <row r="40" spans="1:116">
      <c r="A40" s="228" t="s">
        <v>3</v>
      </c>
      <c r="B40" s="36"/>
      <c r="C40" s="13"/>
      <c r="D40" s="13">
        <f>SUM(D37:D39)</f>
        <v>1656</v>
      </c>
      <c r="E40" s="123" t="e">
        <f>D40/B42</f>
        <v>#DIV/0!</v>
      </c>
      <c r="F40" s="124" t="s">
        <v>80</v>
      </c>
      <c r="G40" s="7"/>
      <c r="H40" s="229">
        <f>D40</f>
        <v>1656</v>
      </c>
      <c r="I40" s="192"/>
      <c r="J40" s="1"/>
      <c r="K40" s="1"/>
      <c r="AV40" s="193">
        <v>32000</v>
      </c>
      <c r="AW40" s="193"/>
      <c r="AX40" s="193"/>
      <c r="AY40" s="193">
        <f t="shared" si="4"/>
        <v>32000</v>
      </c>
      <c r="AZ40" s="193"/>
      <c r="BA40" s="193"/>
      <c r="BB40" s="193">
        <f t="shared" si="32"/>
        <v>64000</v>
      </c>
      <c r="BC40" s="193"/>
      <c r="BD40" s="193"/>
      <c r="BE40" s="193">
        <f t="shared" si="33"/>
        <v>64000</v>
      </c>
      <c r="BF40" s="192" t="e">
        <f>IF(AV40&lt;=#REF!,#REF!,IF(AV40&lt;=#REF!,#REF!,IF(AV40&lt;=#REF!,#REF!,IF(AV40&lt;=#REF!,#REF!,IF(AV40&lt;=#REF!,#REF!,IF(AV40&lt;=#REF!,#REF!,IF(AV40&lt;=#REF!,#REF!,0.05)))))))</f>
        <v>#REF!</v>
      </c>
      <c r="BG40" s="193" t="e">
        <f t="shared" si="34"/>
        <v>#REF!</v>
      </c>
      <c r="BH40" s="192"/>
      <c r="BI40" s="192" t="e">
        <f>IF(AY40&lt;=#REF!,#REF!,IF(AY40&lt;=#REF!,#REF!,IF(AY40&lt;=#REF!,#REF!,IF(AY40&lt;=#REF!,#REF!,IF(AY40&lt;=#REF!,#REF!,IF(AY40&lt;=#REF!,#REF!,IF(AY40&lt;=#REF!,#REF!,0.05)))))))</f>
        <v>#REF!</v>
      </c>
      <c r="BJ40" s="193" t="e">
        <f t="shared" si="35"/>
        <v>#REF!</v>
      </c>
      <c r="BK40" s="192"/>
      <c r="BL40" s="192" t="e">
        <f>IF(BB40&lt;=#REF!,#REF!,IF(BB40&lt;=#REF!,#REF!,IF(BB40&lt;=#REF!,#REF!,IF(BB40&lt;=#REF!,#REF!,IF(BB40&lt;=#REF!,#REF!,IF(BB40&lt;=#REF!,#REF!,IF(BB40&lt;=#REF!,#REF!,0.05)))))))</f>
        <v>#REF!</v>
      </c>
      <c r="BM40" s="193" t="e">
        <f t="shared" si="36"/>
        <v>#REF!</v>
      </c>
      <c r="BN40" s="192"/>
      <c r="BO40" s="196" t="e">
        <f>IF(BE40&lt;=#REF!,#REF!,IF(BE40&lt;=#REF!,#REF!,IF(BE40&lt;=#REF!,#REF!,IF(BE40&lt;=#REF!,#REF!,IF(BE40&lt;=#REF!,#REF!,IF(BE40&lt;=#REF!,#REF!,IF(BE40&lt;=#REF!,#REF!,0.05)))))))</f>
        <v>#REF!</v>
      </c>
      <c r="BP40" s="193" t="e">
        <f t="shared" si="37"/>
        <v>#REF!</v>
      </c>
      <c r="BR40" s="194" t="e">
        <f t="shared" si="38"/>
        <v>#REF!</v>
      </c>
      <c r="BT40" s="194" t="e">
        <f t="shared" si="39"/>
        <v>#REF!</v>
      </c>
      <c r="BU40" s="195" t="e">
        <f t="shared" si="40"/>
        <v>#REF!</v>
      </c>
      <c r="BV40" s="192" t="e">
        <f t="shared" si="41"/>
        <v>#REF!</v>
      </c>
      <c r="CL40" s="193">
        <v>32000</v>
      </c>
      <c r="CM40" s="193"/>
      <c r="CN40" s="193"/>
      <c r="CO40" s="193">
        <f t="shared" si="15"/>
        <v>32000</v>
      </c>
      <c r="CP40" s="193"/>
      <c r="CQ40" s="193"/>
      <c r="CR40" s="193">
        <f t="shared" si="16"/>
        <v>64000</v>
      </c>
      <c r="CS40" s="193"/>
      <c r="CT40" s="193"/>
      <c r="CU40" s="193">
        <f t="shared" si="17"/>
        <v>64000</v>
      </c>
      <c r="CV40" s="192">
        <f t="shared" si="28"/>
        <v>0.05</v>
      </c>
      <c r="CW40" s="193">
        <f t="shared" si="18"/>
        <v>1600</v>
      </c>
      <c r="CX40" s="192"/>
      <c r="CY40" s="192">
        <f t="shared" si="29"/>
        <v>0.03</v>
      </c>
      <c r="CZ40" s="193">
        <f t="shared" si="19"/>
        <v>960</v>
      </c>
      <c r="DA40" s="192"/>
      <c r="DB40" s="192">
        <f t="shared" si="30"/>
        <v>0.18</v>
      </c>
      <c r="DC40" s="193">
        <f t="shared" si="20"/>
        <v>11980.8</v>
      </c>
      <c r="DD40" s="192"/>
      <c r="DE40" s="196">
        <f t="shared" si="31"/>
        <v>-0.06</v>
      </c>
      <c r="DF40" s="193">
        <f t="shared" si="21"/>
        <v>-3840</v>
      </c>
      <c r="DH40" s="194">
        <f t="shared" si="22"/>
        <v>5229.0560000000005</v>
      </c>
      <c r="DJ40" s="194">
        <f t="shared" si="23"/>
        <v>79929.856</v>
      </c>
      <c r="DK40" s="195">
        <f t="shared" si="24"/>
        <v>10700.8</v>
      </c>
      <c r="DL40" s="192">
        <f t="shared" si="25"/>
        <v>0.13387738369001939</v>
      </c>
    </row>
    <row r="41" spans="1:116">
      <c r="A41" s="482" t="s">
        <v>569</v>
      </c>
      <c r="B41" s="552">
        <f>E20</f>
        <v>0</v>
      </c>
      <c r="C41" s="7"/>
      <c r="D41" s="7"/>
      <c r="E41" s="1"/>
      <c r="G41" s="233"/>
      <c r="H41" s="1"/>
      <c r="I41" s="1"/>
      <c r="L41" s="567" t="s">
        <v>600</v>
      </c>
      <c r="AV41" s="193">
        <v>33000</v>
      </c>
      <c r="AW41" s="193"/>
      <c r="AX41" s="193"/>
      <c r="AY41" s="193">
        <f t="shared" si="4"/>
        <v>33000</v>
      </c>
      <c r="AZ41" s="193"/>
      <c r="BA41" s="193"/>
      <c r="BB41" s="193">
        <f t="shared" si="32"/>
        <v>66000</v>
      </c>
      <c r="BC41" s="193"/>
      <c r="BD41" s="193"/>
      <c r="BE41" s="193">
        <f t="shared" si="33"/>
        <v>66000</v>
      </c>
      <c r="BF41" s="192" t="e">
        <f>IF(AV41&lt;=#REF!,#REF!,IF(AV41&lt;=#REF!,#REF!,IF(AV41&lt;=#REF!,#REF!,IF(AV41&lt;=#REF!,#REF!,IF(AV41&lt;=#REF!,#REF!,IF(AV41&lt;=#REF!,#REF!,IF(AV41&lt;=#REF!,#REF!,0.05)))))))</f>
        <v>#REF!</v>
      </c>
      <c r="BG41" s="193" t="e">
        <f t="shared" si="34"/>
        <v>#REF!</v>
      </c>
      <c r="BH41" s="192"/>
      <c r="BI41" s="192" t="e">
        <f>IF(AY41&lt;=#REF!,#REF!,IF(AY41&lt;=#REF!,#REF!,IF(AY41&lt;=#REF!,#REF!,IF(AY41&lt;=#REF!,#REF!,IF(AY41&lt;=#REF!,#REF!,IF(AY41&lt;=#REF!,#REF!,IF(AY41&lt;=#REF!,#REF!,0.05)))))))</f>
        <v>#REF!</v>
      </c>
      <c r="BJ41" s="193" t="e">
        <f t="shared" si="35"/>
        <v>#REF!</v>
      </c>
      <c r="BK41" s="192"/>
      <c r="BL41" s="192" t="e">
        <f>IF(BB41&lt;=#REF!,#REF!,IF(BB41&lt;=#REF!,#REF!,IF(BB41&lt;=#REF!,#REF!,IF(BB41&lt;=#REF!,#REF!,IF(BB41&lt;=#REF!,#REF!,IF(BB41&lt;=#REF!,#REF!,IF(BB41&lt;=#REF!,#REF!,0.05)))))))</f>
        <v>#REF!</v>
      </c>
      <c r="BM41" s="193" t="e">
        <f t="shared" si="36"/>
        <v>#REF!</v>
      </c>
      <c r="BN41" s="192"/>
      <c r="BO41" s="196" t="e">
        <f>IF(BE41&lt;=#REF!,#REF!,IF(BE41&lt;=#REF!,#REF!,IF(BE41&lt;=#REF!,#REF!,IF(BE41&lt;=#REF!,#REF!,IF(BE41&lt;=#REF!,#REF!,IF(BE41&lt;=#REF!,#REF!,IF(BE41&lt;=#REF!,#REF!,0.05)))))))</f>
        <v>#REF!</v>
      </c>
      <c r="BP41" s="193" t="e">
        <f t="shared" si="37"/>
        <v>#REF!</v>
      </c>
      <c r="BR41" s="194" t="e">
        <f t="shared" si="38"/>
        <v>#REF!</v>
      </c>
      <c r="BT41" s="194" t="e">
        <f t="shared" si="39"/>
        <v>#REF!</v>
      </c>
      <c r="BU41" s="195" t="e">
        <f t="shared" si="40"/>
        <v>#REF!</v>
      </c>
      <c r="BV41" s="192" t="e">
        <f t="shared" si="41"/>
        <v>#REF!</v>
      </c>
      <c r="CL41" s="193">
        <v>33000</v>
      </c>
      <c r="CM41" s="193"/>
      <c r="CN41" s="193"/>
      <c r="CO41" s="193">
        <f t="shared" si="15"/>
        <v>33000</v>
      </c>
      <c r="CP41" s="193"/>
      <c r="CQ41" s="193"/>
      <c r="CR41" s="193">
        <f t="shared" si="16"/>
        <v>66000</v>
      </c>
      <c r="CS41" s="193"/>
      <c r="CT41" s="193"/>
      <c r="CU41" s="193">
        <f t="shared" si="17"/>
        <v>66000</v>
      </c>
      <c r="CV41" s="192">
        <f t="shared" si="28"/>
        <v>0.05</v>
      </c>
      <c r="CW41" s="193">
        <f t="shared" si="18"/>
        <v>1650</v>
      </c>
      <c r="CX41" s="192"/>
      <c r="CY41" s="192">
        <f t="shared" si="29"/>
        <v>0.03</v>
      </c>
      <c r="CZ41" s="193">
        <f t="shared" si="19"/>
        <v>990</v>
      </c>
      <c r="DA41" s="192"/>
      <c r="DB41" s="192">
        <f t="shared" si="30"/>
        <v>0.18</v>
      </c>
      <c r="DC41" s="193">
        <f t="shared" si="20"/>
        <v>12355.199999999999</v>
      </c>
      <c r="DD41" s="192"/>
      <c r="DE41" s="196">
        <f t="shared" si="31"/>
        <v>-0.06</v>
      </c>
      <c r="DF41" s="193">
        <f t="shared" si="21"/>
        <v>-3960</v>
      </c>
      <c r="DH41" s="194">
        <f t="shared" si="22"/>
        <v>5392.4639999999999</v>
      </c>
      <c r="DJ41" s="194">
        <f t="shared" si="23"/>
        <v>82427.66399999999</v>
      </c>
      <c r="DK41" s="195">
        <f t="shared" si="24"/>
        <v>11035.199999999999</v>
      </c>
      <c r="DL41" s="192">
        <f t="shared" si="25"/>
        <v>0.13387738369001942</v>
      </c>
    </row>
    <row r="42" spans="1:116">
      <c r="A42" s="215" t="s">
        <v>45</v>
      </c>
      <c r="B42" s="216">
        <f>E20</f>
        <v>0</v>
      </c>
      <c r="C42" s="215" t="s">
        <v>46</v>
      </c>
      <c r="D42" s="217">
        <f>E32</f>
        <v>0</v>
      </c>
      <c r="E42" s="561" t="s">
        <v>580</v>
      </c>
      <c r="F42" s="159" t="e">
        <f>D42/B42</f>
        <v>#DIV/0!</v>
      </c>
      <c r="G42" s="125" t="s">
        <v>81</v>
      </c>
      <c r="H42" s="126" t="s">
        <v>82</v>
      </c>
      <c r="I42" s="525" t="s">
        <v>204</v>
      </c>
      <c r="J42" s="526" t="s">
        <v>48</v>
      </c>
      <c r="K42" s="527" t="s">
        <v>506</v>
      </c>
      <c r="L42" s="566" t="s">
        <v>597</v>
      </c>
      <c r="M42" s="566" t="s">
        <v>598</v>
      </c>
      <c r="AV42" s="193">
        <v>34000</v>
      </c>
      <c r="AW42" s="193"/>
      <c r="AX42" s="193"/>
      <c r="AY42" s="193">
        <f t="shared" si="4"/>
        <v>34000</v>
      </c>
      <c r="AZ42" s="193"/>
      <c r="BA42" s="193"/>
      <c r="BB42" s="193">
        <f t="shared" si="32"/>
        <v>68000</v>
      </c>
      <c r="BC42" s="193"/>
      <c r="BD42" s="193"/>
      <c r="BE42" s="193">
        <f t="shared" si="33"/>
        <v>68000</v>
      </c>
      <c r="BF42" s="192" t="e">
        <f>IF(AV42&lt;=#REF!,#REF!,IF(AV42&lt;=#REF!,#REF!,IF(AV42&lt;=#REF!,#REF!,IF(AV42&lt;=#REF!,#REF!,IF(AV42&lt;=#REF!,#REF!,IF(AV42&lt;=#REF!,#REF!,IF(AV42&lt;=#REF!,#REF!,0.05)))))))</f>
        <v>#REF!</v>
      </c>
      <c r="BG42" s="193" t="e">
        <f t="shared" si="34"/>
        <v>#REF!</v>
      </c>
      <c r="BH42" s="192"/>
      <c r="BI42" s="192" t="e">
        <f>IF(AY42&lt;=#REF!,#REF!,IF(AY42&lt;=#REF!,#REF!,IF(AY42&lt;=#REF!,#REF!,IF(AY42&lt;=#REF!,#REF!,IF(AY42&lt;=#REF!,#REF!,IF(AY42&lt;=#REF!,#REF!,IF(AY42&lt;=#REF!,#REF!,0.05)))))))</f>
        <v>#REF!</v>
      </c>
      <c r="BJ42" s="193" t="e">
        <f t="shared" si="35"/>
        <v>#REF!</v>
      </c>
      <c r="BK42" s="192"/>
      <c r="BL42" s="192" t="e">
        <f>IF(BB42&lt;=#REF!,#REF!,IF(BB42&lt;=#REF!,#REF!,IF(BB42&lt;=#REF!,#REF!,IF(BB42&lt;=#REF!,#REF!,IF(BB42&lt;=#REF!,#REF!,IF(BB42&lt;=#REF!,#REF!,IF(BB42&lt;=#REF!,#REF!,0.05)))))))</f>
        <v>#REF!</v>
      </c>
      <c r="BM42" s="193" t="e">
        <f t="shared" si="36"/>
        <v>#REF!</v>
      </c>
      <c r="BN42" s="192"/>
      <c r="BO42" s="196" t="e">
        <f>IF(BE42&lt;=#REF!,#REF!,IF(BE42&lt;=#REF!,#REF!,IF(BE42&lt;=#REF!,#REF!,IF(BE42&lt;=#REF!,#REF!,IF(BE42&lt;=#REF!,#REF!,IF(BE42&lt;=#REF!,#REF!,IF(BE42&lt;=#REF!,#REF!,0.05)))))))</f>
        <v>#REF!</v>
      </c>
      <c r="BP42" s="193" t="e">
        <f t="shared" si="37"/>
        <v>#REF!</v>
      </c>
      <c r="BR42" s="194" t="e">
        <f t="shared" si="38"/>
        <v>#REF!</v>
      </c>
      <c r="BT42" s="194" t="e">
        <f t="shared" si="39"/>
        <v>#REF!</v>
      </c>
      <c r="BU42" s="195" t="e">
        <f t="shared" si="40"/>
        <v>#REF!</v>
      </c>
      <c r="BV42" s="192" t="e">
        <f t="shared" si="41"/>
        <v>#REF!</v>
      </c>
      <c r="CL42" s="193">
        <v>34000</v>
      </c>
      <c r="CM42" s="193"/>
      <c r="CN42" s="193"/>
      <c r="CO42" s="193">
        <f t="shared" si="15"/>
        <v>34000</v>
      </c>
      <c r="CP42" s="193"/>
      <c r="CQ42" s="193"/>
      <c r="CR42" s="193">
        <f t="shared" si="16"/>
        <v>68000</v>
      </c>
      <c r="CS42" s="193"/>
      <c r="CT42" s="193"/>
      <c r="CU42" s="193">
        <f t="shared" si="17"/>
        <v>68000</v>
      </c>
      <c r="CV42" s="192">
        <f t="shared" si="28"/>
        <v>0.05</v>
      </c>
      <c r="CW42" s="193">
        <f t="shared" si="18"/>
        <v>1700</v>
      </c>
      <c r="CX42" s="192"/>
      <c r="CY42" s="192">
        <f t="shared" si="29"/>
        <v>0.03</v>
      </c>
      <c r="CZ42" s="193">
        <f t="shared" si="19"/>
        <v>1020</v>
      </c>
      <c r="DA42" s="192"/>
      <c r="DB42" s="192">
        <f t="shared" si="30"/>
        <v>0.18</v>
      </c>
      <c r="DC42" s="193">
        <f t="shared" si="20"/>
        <v>12729.6</v>
      </c>
      <c r="DD42" s="192"/>
      <c r="DE42" s="196">
        <f t="shared" si="31"/>
        <v>-0.06</v>
      </c>
      <c r="DF42" s="193">
        <f t="shared" si="21"/>
        <v>-4080</v>
      </c>
      <c r="DH42" s="194">
        <f t="shared" si="22"/>
        <v>5555.8720000000012</v>
      </c>
      <c r="DJ42" s="194">
        <f t="shared" si="23"/>
        <v>84925.472000000009</v>
      </c>
      <c r="DK42" s="195">
        <f t="shared" si="24"/>
        <v>11369.6</v>
      </c>
      <c r="DL42" s="192">
        <f t="shared" si="25"/>
        <v>0.13387738369001939</v>
      </c>
    </row>
    <row r="43" spans="1:116">
      <c r="A43" s="85" t="s">
        <v>52</v>
      </c>
      <c r="B43" s="68" t="s">
        <v>42</v>
      </c>
      <c r="C43" s="68" t="s">
        <v>47</v>
      </c>
      <c r="D43" s="87" t="s">
        <v>51</v>
      </c>
      <c r="E43" s="775" t="str">
        <f>(IF(D5="Yes","PW","-"))</f>
        <v>-</v>
      </c>
      <c r="F43" s="156" t="s">
        <v>86</v>
      </c>
      <c r="G43" s="127" t="s">
        <v>93</v>
      </c>
      <c r="H43" s="128"/>
      <c r="K43" s="530"/>
      <c r="L43" s="568">
        <v>2</v>
      </c>
      <c r="M43" s="568">
        <v>2</v>
      </c>
      <c r="N43" t="s">
        <v>188</v>
      </c>
      <c r="AV43" s="193">
        <v>35000</v>
      </c>
      <c r="AW43" s="193"/>
      <c r="AX43" s="193"/>
      <c r="AY43" s="193">
        <f t="shared" si="4"/>
        <v>35000</v>
      </c>
      <c r="AZ43" s="193"/>
      <c r="BA43" s="193"/>
      <c r="BB43" s="193">
        <f t="shared" si="32"/>
        <v>70000</v>
      </c>
      <c r="BC43" s="193"/>
      <c r="BD43" s="193"/>
      <c r="BE43" s="193">
        <f t="shared" si="33"/>
        <v>70000</v>
      </c>
      <c r="BF43" s="192" t="e">
        <f>IF(AV43&lt;=#REF!,#REF!,IF(AV43&lt;=#REF!,#REF!,IF(AV43&lt;=#REF!,#REF!,IF(AV43&lt;=#REF!,#REF!,IF(AV43&lt;=#REF!,#REF!,IF(AV43&lt;=#REF!,#REF!,IF(AV43&lt;=#REF!,#REF!,0.05)))))))</f>
        <v>#REF!</v>
      </c>
      <c r="BG43" s="193" t="e">
        <f t="shared" si="34"/>
        <v>#REF!</v>
      </c>
      <c r="BH43" s="192"/>
      <c r="BI43" s="192" t="e">
        <f>IF(AY43&lt;=#REF!,#REF!,IF(AY43&lt;=#REF!,#REF!,IF(AY43&lt;=#REF!,#REF!,IF(AY43&lt;=#REF!,#REF!,IF(AY43&lt;=#REF!,#REF!,IF(AY43&lt;=#REF!,#REF!,IF(AY43&lt;=#REF!,#REF!,0.05)))))))</f>
        <v>#REF!</v>
      </c>
      <c r="BJ43" s="193" t="e">
        <f t="shared" si="35"/>
        <v>#REF!</v>
      </c>
      <c r="BK43" s="192"/>
      <c r="BL43" s="192" t="e">
        <f>IF(BB43&lt;=#REF!,#REF!,IF(BB43&lt;=#REF!,#REF!,IF(BB43&lt;=#REF!,#REF!,IF(BB43&lt;=#REF!,#REF!,IF(BB43&lt;=#REF!,#REF!,IF(BB43&lt;=#REF!,#REF!,IF(BB43&lt;=#REF!,#REF!,0.05)))))))</f>
        <v>#REF!</v>
      </c>
      <c r="BM43" s="193" t="e">
        <f t="shared" si="36"/>
        <v>#REF!</v>
      </c>
      <c r="BN43" s="192"/>
      <c r="BO43" s="196" t="e">
        <f>IF(BE43&lt;=#REF!,#REF!,IF(BE43&lt;=#REF!,#REF!,IF(BE43&lt;=#REF!,#REF!,IF(BE43&lt;=#REF!,#REF!,IF(BE43&lt;=#REF!,#REF!,IF(BE43&lt;=#REF!,#REF!,IF(BE43&lt;=#REF!,#REF!,0.05)))))))</f>
        <v>#REF!</v>
      </c>
      <c r="BP43" s="193" t="e">
        <f t="shared" si="37"/>
        <v>#REF!</v>
      </c>
      <c r="BR43" s="194" t="e">
        <f t="shared" si="38"/>
        <v>#REF!</v>
      </c>
      <c r="BT43" s="194" t="e">
        <f t="shared" si="39"/>
        <v>#REF!</v>
      </c>
      <c r="BU43" s="195" t="e">
        <f t="shared" si="40"/>
        <v>#REF!</v>
      </c>
      <c r="BV43" s="192" t="e">
        <f t="shared" si="41"/>
        <v>#REF!</v>
      </c>
      <c r="CL43" s="193">
        <v>35000</v>
      </c>
      <c r="CM43" s="193"/>
      <c r="CN43" s="193"/>
      <c r="CO43" s="193">
        <f t="shared" si="15"/>
        <v>35000</v>
      </c>
      <c r="CP43" s="193"/>
      <c r="CQ43" s="193"/>
      <c r="CR43" s="193">
        <f t="shared" si="16"/>
        <v>70000</v>
      </c>
      <c r="CS43" s="193"/>
      <c r="CT43" s="193"/>
      <c r="CU43" s="193">
        <f t="shared" si="17"/>
        <v>70000</v>
      </c>
      <c r="CV43" s="192">
        <f t="shared" si="28"/>
        <v>0.05</v>
      </c>
      <c r="CW43" s="193">
        <f t="shared" si="18"/>
        <v>1750</v>
      </c>
      <c r="CX43" s="192"/>
      <c r="CY43" s="192">
        <f t="shared" si="29"/>
        <v>0.03</v>
      </c>
      <c r="CZ43" s="193">
        <f t="shared" si="19"/>
        <v>1050</v>
      </c>
      <c r="DA43" s="192"/>
      <c r="DB43" s="192">
        <f t="shared" si="30"/>
        <v>0.18</v>
      </c>
      <c r="DC43" s="193">
        <f t="shared" si="20"/>
        <v>13104</v>
      </c>
      <c r="DD43" s="192"/>
      <c r="DE43" s="196">
        <f t="shared" si="31"/>
        <v>-0.06</v>
      </c>
      <c r="DF43" s="193">
        <f t="shared" si="21"/>
        <v>-4200</v>
      </c>
      <c r="DH43" s="194">
        <f t="shared" si="22"/>
        <v>5719.2800000000007</v>
      </c>
      <c r="DJ43" s="194">
        <f t="shared" si="23"/>
        <v>87423.28</v>
      </c>
      <c r="DK43" s="195">
        <f t="shared" si="24"/>
        <v>11704</v>
      </c>
      <c r="DL43" s="192">
        <f t="shared" si="25"/>
        <v>0.13387738369001942</v>
      </c>
    </row>
    <row r="44" spans="1:116">
      <c r="A44" s="69">
        <v>6</v>
      </c>
      <c r="B44" s="1">
        <v>1</v>
      </c>
      <c r="C44" s="554">
        <v>32.520000000000003</v>
      </c>
      <c r="D44" s="70">
        <f>(A44*B44*C44)*IF($E$42="8 hour days",8,10)</f>
        <v>1951.2</v>
      </c>
      <c r="E44" s="453"/>
      <c r="F44" s="157">
        <f>I44/(D44/C44)</f>
        <v>0</v>
      </c>
      <c r="G44" s="129" t="s">
        <v>84</v>
      </c>
      <c r="H44" s="130"/>
      <c r="I44" s="239">
        <f>B42</f>
        <v>0</v>
      </c>
      <c r="J44" s="239">
        <f>D42</f>
        <v>0</v>
      </c>
      <c r="K44" s="530" t="e">
        <f>J44/I44</f>
        <v>#DIV/0!</v>
      </c>
      <c r="L44" s="44">
        <v>3</v>
      </c>
      <c r="M44" s="44">
        <v>3</v>
      </c>
      <c r="N44" s="1" t="s">
        <v>189</v>
      </c>
      <c r="AV44" s="193">
        <v>36000</v>
      </c>
      <c r="AW44" s="193"/>
      <c r="AX44" s="193"/>
      <c r="AY44" s="193">
        <f t="shared" si="4"/>
        <v>36000</v>
      </c>
      <c r="AZ44" s="193"/>
      <c r="BA44" s="193"/>
      <c r="BB44" s="193">
        <f t="shared" si="32"/>
        <v>72000</v>
      </c>
      <c r="BC44" s="193"/>
      <c r="BD44" s="193"/>
      <c r="BE44" s="193">
        <f t="shared" si="33"/>
        <v>72000</v>
      </c>
      <c r="BF44" s="192" t="e">
        <f>IF(AV44&lt;=#REF!,#REF!,IF(AV44&lt;=#REF!,#REF!,IF(AV44&lt;=#REF!,#REF!,IF(AV44&lt;=#REF!,#REF!,IF(AV44&lt;=#REF!,#REF!,IF(AV44&lt;=#REF!,#REF!,IF(AV44&lt;=#REF!,#REF!,0.05)))))))</f>
        <v>#REF!</v>
      </c>
      <c r="BG44" s="193" t="e">
        <f t="shared" si="34"/>
        <v>#REF!</v>
      </c>
      <c r="BH44" s="192"/>
      <c r="BI44" s="192" t="e">
        <f>IF(AY44&lt;=#REF!,#REF!,IF(AY44&lt;=#REF!,#REF!,IF(AY44&lt;=#REF!,#REF!,IF(AY44&lt;=#REF!,#REF!,IF(AY44&lt;=#REF!,#REF!,IF(AY44&lt;=#REF!,#REF!,IF(AY44&lt;=#REF!,#REF!,0.05)))))))</f>
        <v>#REF!</v>
      </c>
      <c r="BJ44" s="193" t="e">
        <f t="shared" si="35"/>
        <v>#REF!</v>
      </c>
      <c r="BK44" s="192"/>
      <c r="BL44" s="192" t="e">
        <f>IF(BB44&lt;=#REF!,#REF!,IF(BB44&lt;=#REF!,#REF!,IF(BB44&lt;=#REF!,#REF!,IF(BB44&lt;=#REF!,#REF!,IF(BB44&lt;=#REF!,#REF!,IF(BB44&lt;=#REF!,#REF!,IF(BB44&lt;=#REF!,#REF!,0.05)))))))</f>
        <v>#REF!</v>
      </c>
      <c r="BM44" s="193" t="e">
        <f t="shared" si="36"/>
        <v>#REF!</v>
      </c>
      <c r="BN44" s="192"/>
      <c r="BO44" s="196" t="e">
        <f>IF(BE44&lt;=#REF!,#REF!,IF(BE44&lt;=#REF!,#REF!,IF(BE44&lt;=#REF!,#REF!,IF(BE44&lt;=#REF!,#REF!,IF(BE44&lt;=#REF!,#REF!,IF(BE44&lt;=#REF!,#REF!,IF(BE44&lt;=#REF!,#REF!,0.05)))))))</f>
        <v>#REF!</v>
      </c>
      <c r="BP44" s="193" t="e">
        <f t="shared" si="37"/>
        <v>#REF!</v>
      </c>
      <c r="BR44" s="194" t="e">
        <f t="shared" si="38"/>
        <v>#REF!</v>
      </c>
      <c r="BT44" s="194" t="e">
        <f t="shared" si="39"/>
        <v>#REF!</v>
      </c>
      <c r="BU44" s="195" t="e">
        <f t="shared" si="40"/>
        <v>#REF!</v>
      </c>
      <c r="BV44" s="192" t="e">
        <f t="shared" si="41"/>
        <v>#REF!</v>
      </c>
      <c r="CL44" s="193">
        <v>36000</v>
      </c>
      <c r="CM44" s="193"/>
      <c r="CN44" s="193"/>
      <c r="CO44" s="193">
        <f t="shared" si="15"/>
        <v>36000</v>
      </c>
      <c r="CP44" s="193"/>
      <c r="CQ44" s="193"/>
      <c r="CR44" s="193">
        <f t="shared" si="16"/>
        <v>72000</v>
      </c>
      <c r="CS44" s="193"/>
      <c r="CT44" s="193"/>
      <c r="CU44" s="193">
        <f t="shared" si="17"/>
        <v>72000</v>
      </c>
      <c r="CV44" s="192">
        <f t="shared" si="28"/>
        <v>0.05</v>
      </c>
      <c r="CW44" s="193">
        <f t="shared" si="18"/>
        <v>1800</v>
      </c>
      <c r="CX44" s="192"/>
      <c r="CY44" s="192">
        <f t="shared" si="29"/>
        <v>0.03</v>
      </c>
      <c r="CZ44" s="193">
        <f t="shared" si="19"/>
        <v>1080</v>
      </c>
      <c r="DA44" s="192"/>
      <c r="DB44" s="192">
        <f t="shared" si="30"/>
        <v>0.18</v>
      </c>
      <c r="DC44" s="193">
        <f t="shared" si="20"/>
        <v>13478.4</v>
      </c>
      <c r="DD44" s="192"/>
      <c r="DE44" s="196">
        <f t="shared" si="31"/>
        <v>-0.06</v>
      </c>
      <c r="DF44" s="193">
        <f t="shared" si="21"/>
        <v>-4320</v>
      </c>
      <c r="DH44" s="194">
        <f t="shared" si="22"/>
        <v>5882.6880000000001</v>
      </c>
      <c r="DJ44" s="194">
        <f t="shared" si="23"/>
        <v>89921.088000000003</v>
      </c>
      <c r="DK44" s="195">
        <f t="shared" si="24"/>
        <v>12038.4</v>
      </c>
      <c r="DL44" s="192">
        <f t="shared" si="25"/>
        <v>0.13387738369001939</v>
      </c>
    </row>
    <row r="45" spans="1:116">
      <c r="A45" s="69"/>
      <c r="B45" s="1"/>
      <c r="C45" s="522">
        <f>C44</f>
        <v>32.520000000000003</v>
      </c>
      <c r="D45" s="70">
        <f t="shared" ref="D45:D46" si="42">(A45*B45*C45)*IF($E$42="8 hour days",8,10)</f>
        <v>0</v>
      </c>
      <c r="E45" s="453"/>
      <c r="F45" s="157" t="e">
        <f t="shared" ref="F45:F46" si="43">I45/(D45/C45)</f>
        <v>#DIV/0!</v>
      </c>
      <c r="G45" s="129" t="s">
        <v>84</v>
      </c>
      <c r="H45" s="130"/>
      <c r="I45" s="239">
        <f>H26</f>
        <v>0</v>
      </c>
      <c r="J45" s="239">
        <f>I26</f>
        <v>0</v>
      </c>
      <c r="K45" s="531" t="e">
        <f>J45/I45</f>
        <v>#DIV/0!</v>
      </c>
      <c r="L45" s="568">
        <v>3</v>
      </c>
      <c r="M45" s="568">
        <v>3.5</v>
      </c>
      <c r="N45" t="s">
        <v>599</v>
      </c>
      <c r="AV45" s="193">
        <v>37000</v>
      </c>
      <c r="AW45" s="193"/>
      <c r="AX45" s="193"/>
      <c r="AY45" s="193">
        <f t="shared" si="4"/>
        <v>37000</v>
      </c>
      <c r="AZ45" s="193"/>
      <c r="BA45" s="193"/>
      <c r="BB45" s="193">
        <f t="shared" si="32"/>
        <v>74000</v>
      </c>
      <c r="BC45" s="193"/>
      <c r="BD45" s="193"/>
      <c r="BE45" s="193">
        <f t="shared" si="33"/>
        <v>74000</v>
      </c>
      <c r="BF45" s="192" t="e">
        <f>IF(AV45&lt;=#REF!,#REF!,IF(AV45&lt;=#REF!,#REF!,IF(AV45&lt;=#REF!,#REF!,IF(AV45&lt;=#REF!,#REF!,IF(AV45&lt;=#REF!,#REF!,IF(AV45&lt;=#REF!,#REF!,IF(AV45&lt;=#REF!,#REF!,0.05)))))))</f>
        <v>#REF!</v>
      </c>
      <c r="BG45" s="193" t="e">
        <f t="shared" si="34"/>
        <v>#REF!</v>
      </c>
      <c r="BH45" s="192"/>
      <c r="BI45" s="192" t="e">
        <f>IF(AY45&lt;=#REF!,#REF!,IF(AY45&lt;=#REF!,#REF!,IF(AY45&lt;=#REF!,#REF!,IF(AY45&lt;=#REF!,#REF!,IF(AY45&lt;=#REF!,#REF!,IF(AY45&lt;=#REF!,#REF!,IF(AY45&lt;=#REF!,#REF!,0.05)))))))</f>
        <v>#REF!</v>
      </c>
      <c r="BJ45" s="193" t="e">
        <f t="shared" si="35"/>
        <v>#REF!</v>
      </c>
      <c r="BK45" s="192"/>
      <c r="BL45" s="192" t="e">
        <f>IF(BB45&lt;=#REF!,#REF!,IF(BB45&lt;=#REF!,#REF!,IF(BB45&lt;=#REF!,#REF!,IF(BB45&lt;=#REF!,#REF!,IF(BB45&lt;=#REF!,#REF!,IF(BB45&lt;=#REF!,#REF!,IF(BB45&lt;=#REF!,#REF!,0.05)))))))</f>
        <v>#REF!</v>
      </c>
      <c r="BM45" s="193" t="e">
        <f t="shared" si="36"/>
        <v>#REF!</v>
      </c>
      <c r="BN45" s="192"/>
      <c r="BO45" s="196" t="e">
        <f>IF(BE45&lt;=#REF!,#REF!,IF(BE45&lt;=#REF!,#REF!,IF(BE45&lt;=#REF!,#REF!,IF(BE45&lt;=#REF!,#REF!,IF(BE45&lt;=#REF!,#REF!,IF(BE45&lt;=#REF!,#REF!,IF(BE45&lt;=#REF!,#REF!,0.05)))))))</f>
        <v>#REF!</v>
      </c>
      <c r="BP45" s="193" t="e">
        <f t="shared" si="37"/>
        <v>#REF!</v>
      </c>
      <c r="BR45" s="194" t="e">
        <f t="shared" si="38"/>
        <v>#REF!</v>
      </c>
      <c r="BT45" s="194" t="e">
        <f t="shared" si="39"/>
        <v>#REF!</v>
      </c>
      <c r="BU45" s="195" t="e">
        <f t="shared" si="40"/>
        <v>#REF!</v>
      </c>
      <c r="BV45" s="192" t="e">
        <f t="shared" si="41"/>
        <v>#REF!</v>
      </c>
      <c r="CL45" s="193">
        <v>37000</v>
      </c>
      <c r="CM45" s="193"/>
      <c r="CN45" s="193"/>
      <c r="CO45" s="193">
        <f t="shared" si="15"/>
        <v>37000</v>
      </c>
      <c r="CP45" s="193"/>
      <c r="CQ45" s="193"/>
      <c r="CR45" s="193">
        <f t="shared" si="16"/>
        <v>74000</v>
      </c>
      <c r="CS45" s="193"/>
      <c r="CT45" s="193"/>
      <c r="CU45" s="193">
        <f t="shared" si="17"/>
        <v>74000</v>
      </c>
      <c r="CV45" s="192">
        <f t="shared" si="28"/>
        <v>0.05</v>
      </c>
      <c r="CW45" s="193">
        <f t="shared" si="18"/>
        <v>1850</v>
      </c>
      <c r="CX45" s="192"/>
      <c r="CY45" s="192">
        <f t="shared" si="29"/>
        <v>0.03</v>
      </c>
      <c r="CZ45" s="193">
        <f t="shared" si="19"/>
        <v>1110</v>
      </c>
      <c r="DA45" s="192"/>
      <c r="DB45" s="192">
        <f t="shared" si="30"/>
        <v>0.18</v>
      </c>
      <c r="DC45" s="193">
        <f t="shared" si="20"/>
        <v>13852.8</v>
      </c>
      <c r="DD45" s="192"/>
      <c r="DE45" s="196">
        <f t="shared" si="31"/>
        <v>-0.06</v>
      </c>
      <c r="DF45" s="193">
        <f t="shared" si="21"/>
        <v>-4440</v>
      </c>
      <c r="DH45" s="194">
        <f t="shared" si="22"/>
        <v>6046.0960000000005</v>
      </c>
      <c r="DJ45" s="194">
        <f t="shared" si="23"/>
        <v>92418.896000000008</v>
      </c>
      <c r="DK45" s="195">
        <f t="shared" si="24"/>
        <v>12372.8</v>
      </c>
      <c r="DL45" s="192">
        <f t="shared" si="25"/>
        <v>0.13387738369001939</v>
      </c>
    </row>
    <row r="46" spans="1:116">
      <c r="A46" s="69"/>
      <c r="B46" s="1"/>
      <c r="C46" s="522">
        <f>C44</f>
        <v>32.520000000000003</v>
      </c>
      <c r="D46" s="70">
        <f t="shared" si="42"/>
        <v>0</v>
      </c>
      <c r="E46" s="453"/>
      <c r="F46" s="157" t="e">
        <f t="shared" si="43"/>
        <v>#DIV/0!</v>
      </c>
      <c r="G46" s="129" t="s">
        <v>84</v>
      </c>
      <c r="H46" s="130"/>
      <c r="I46" s="516">
        <f>H26</f>
        <v>0</v>
      </c>
      <c r="J46" s="524">
        <f>I26</f>
        <v>0</v>
      </c>
      <c r="K46" s="531" t="e">
        <f>J46/I46</f>
        <v>#DIV/0!</v>
      </c>
      <c r="L46" s="568">
        <v>4</v>
      </c>
      <c r="M46" s="568">
        <v>4.5</v>
      </c>
      <c r="N46" t="s">
        <v>602</v>
      </c>
      <c r="AV46" s="193">
        <v>37000</v>
      </c>
      <c r="AW46" s="193"/>
      <c r="AX46" s="193"/>
      <c r="AY46" s="193">
        <f t="shared" si="4"/>
        <v>37000</v>
      </c>
      <c r="AZ46" s="193"/>
      <c r="BA46" s="193"/>
      <c r="BB46" s="193">
        <f t="shared" si="32"/>
        <v>74000</v>
      </c>
      <c r="BC46" s="193"/>
      <c r="BD46" s="193"/>
      <c r="BE46" s="193">
        <f t="shared" si="33"/>
        <v>74000</v>
      </c>
      <c r="BF46" s="192" t="e">
        <f>IF(AV46&lt;=#REF!,#REF!,IF(AV46&lt;=#REF!,#REF!,IF(AV46&lt;=#REF!,#REF!,IF(AV46&lt;=#REF!,#REF!,IF(AV46&lt;=#REF!,#REF!,IF(AV46&lt;=#REF!,#REF!,IF(AV46&lt;=#REF!,#REF!,0.05)))))))</f>
        <v>#REF!</v>
      </c>
      <c r="BG46" s="193" t="e">
        <f t="shared" si="34"/>
        <v>#REF!</v>
      </c>
      <c r="BH46" s="192"/>
      <c r="BI46" s="192" t="e">
        <f>IF(AY46&lt;=#REF!,#REF!,IF(AY46&lt;=#REF!,#REF!,IF(AY46&lt;=#REF!,#REF!,IF(AY46&lt;=#REF!,#REF!,IF(AY46&lt;=#REF!,#REF!,IF(AY46&lt;=#REF!,#REF!,IF(AY46&lt;=#REF!,#REF!,0.05)))))))</f>
        <v>#REF!</v>
      </c>
      <c r="BJ46" s="193" t="e">
        <f t="shared" si="35"/>
        <v>#REF!</v>
      </c>
      <c r="BK46" s="192"/>
      <c r="BL46" s="192" t="e">
        <f>IF(BB46&lt;=#REF!,#REF!,IF(BB46&lt;=#REF!,#REF!,IF(BB46&lt;=#REF!,#REF!,IF(BB46&lt;=#REF!,#REF!,IF(BB46&lt;=#REF!,#REF!,IF(BB46&lt;=#REF!,#REF!,IF(BB46&lt;=#REF!,#REF!,0.05)))))))</f>
        <v>#REF!</v>
      </c>
      <c r="BM46" s="193" t="e">
        <f t="shared" si="36"/>
        <v>#REF!</v>
      </c>
      <c r="BN46" s="192"/>
      <c r="BO46" s="196" t="e">
        <f>IF(BE46&lt;=#REF!,#REF!,IF(BE46&lt;=#REF!,#REF!,IF(BE46&lt;=#REF!,#REF!,IF(BE46&lt;=#REF!,#REF!,IF(BE46&lt;=#REF!,#REF!,IF(BE46&lt;=#REF!,#REF!,IF(BE46&lt;=#REF!,#REF!,0.05)))))))</f>
        <v>#REF!</v>
      </c>
      <c r="BP46" s="193" t="e">
        <f t="shared" si="37"/>
        <v>#REF!</v>
      </c>
      <c r="BR46" s="194" t="e">
        <f t="shared" si="38"/>
        <v>#REF!</v>
      </c>
      <c r="BT46" s="194" t="e">
        <f t="shared" si="39"/>
        <v>#REF!</v>
      </c>
      <c r="BU46" s="195" t="e">
        <f t="shared" si="40"/>
        <v>#REF!</v>
      </c>
      <c r="BV46" s="192" t="e">
        <f t="shared" si="41"/>
        <v>#REF!</v>
      </c>
      <c r="CL46" s="193">
        <v>37000</v>
      </c>
      <c r="CM46" s="193"/>
      <c r="CN46" s="193"/>
      <c r="CO46" s="193">
        <f t="shared" si="15"/>
        <v>37000</v>
      </c>
      <c r="CP46" s="193"/>
      <c r="CQ46" s="193"/>
      <c r="CR46" s="193">
        <f t="shared" si="16"/>
        <v>74000</v>
      </c>
      <c r="CS46" s="193"/>
      <c r="CT46" s="193"/>
      <c r="CU46" s="193">
        <f t="shared" si="17"/>
        <v>74000</v>
      </c>
      <c r="CV46" s="192">
        <f t="shared" si="28"/>
        <v>0.05</v>
      </c>
      <c r="CW46" s="193">
        <f t="shared" si="18"/>
        <v>1850</v>
      </c>
      <c r="CX46" s="192"/>
      <c r="CY46" s="192">
        <f t="shared" si="29"/>
        <v>0.03</v>
      </c>
      <c r="CZ46" s="193">
        <f t="shared" si="19"/>
        <v>1110</v>
      </c>
      <c r="DA46" s="192"/>
      <c r="DB46" s="192">
        <f t="shared" si="30"/>
        <v>0.18</v>
      </c>
      <c r="DC46" s="193">
        <f t="shared" si="20"/>
        <v>13852.8</v>
      </c>
      <c r="DD46" s="192"/>
      <c r="DE46" s="196">
        <f t="shared" si="31"/>
        <v>-0.06</v>
      </c>
      <c r="DF46" s="193">
        <f t="shared" si="21"/>
        <v>-4440</v>
      </c>
      <c r="DH46" s="194">
        <f t="shared" si="22"/>
        <v>6046.0960000000005</v>
      </c>
      <c r="DJ46" s="194">
        <f t="shared" si="23"/>
        <v>92418.896000000008</v>
      </c>
      <c r="DK46" s="195">
        <f t="shared" si="24"/>
        <v>12372.8</v>
      </c>
      <c r="DL46" s="192">
        <f t="shared" si="25"/>
        <v>0.13387738369001939</v>
      </c>
    </row>
    <row r="47" spans="1:116">
      <c r="A47" s="86" t="s">
        <v>53</v>
      </c>
      <c r="B47" s="67" t="s">
        <v>44</v>
      </c>
      <c r="C47" s="67" t="s">
        <v>43</v>
      </c>
      <c r="D47" s="71"/>
      <c r="E47" s="453"/>
      <c r="F47" s="189"/>
      <c r="G47" s="1"/>
      <c r="H47" s="528" t="s">
        <v>504</v>
      </c>
      <c r="I47" s="517">
        <f>SUM(I44:I46)</f>
        <v>0</v>
      </c>
      <c r="J47" s="517">
        <f>SUM(J44:J46)</f>
        <v>0</v>
      </c>
      <c r="K47" s="7"/>
      <c r="L47" s="568">
        <v>4.5</v>
      </c>
      <c r="M47" s="568">
        <v>5</v>
      </c>
      <c r="N47" t="s">
        <v>603</v>
      </c>
      <c r="AV47" s="193">
        <v>38000</v>
      </c>
      <c r="AW47" s="193"/>
      <c r="AX47" s="193"/>
      <c r="AY47" s="193">
        <f t="shared" si="4"/>
        <v>38000</v>
      </c>
      <c r="AZ47" s="193"/>
      <c r="BA47" s="193"/>
      <c r="BB47" s="193">
        <f t="shared" si="32"/>
        <v>76000</v>
      </c>
      <c r="BC47" s="193"/>
      <c r="BD47" s="193"/>
      <c r="BE47" s="193">
        <f t="shared" si="33"/>
        <v>76000</v>
      </c>
      <c r="BF47" s="192" t="e">
        <f>IF(AV47&lt;=#REF!,#REF!,IF(AV47&lt;=#REF!,#REF!,IF(AV47&lt;=#REF!,#REF!,IF(AV47&lt;=#REF!,#REF!,IF(AV47&lt;=#REF!,#REF!,IF(AV47&lt;=#REF!,#REF!,IF(AV47&lt;=#REF!,#REF!,0.05)))))))</f>
        <v>#REF!</v>
      </c>
      <c r="BG47" s="193" t="e">
        <f t="shared" si="34"/>
        <v>#REF!</v>
      </c>
      <c r="BH47" s="192"/>
      <c r="BI47" s="192" t="e">
        <f>IF(AY47&lt;=#REF!,#REF!,IF(AY47&lt;=#REF!,#REF!,IF(AY47&lt;=#REF!,#REF!,IF(AY47&lt;=#REF!,#REF!,IF(AY47&lt;=#REF!,#REF!,IF(AY47&lt;=#REF!,#REF!,IF(AY47&lt;=#REF!,#REF!,0.05)))))))</f>
        <v>#REF!</v>
      </c>
      <c r="BJ47" s="193" t="e">
        <f t="shared" si="35"/>
        <v>#REF!</v>
      </c>
      <c r="BK47" s="192"/>
      <c r="BL47" s="192" t="e">
        <f>IF(BB47&lt;=#REF!,#REF!,IF(BB47&lt;=#REF!,#REF!,IF(BB47&lt;=#REF!,#REF!,IF(BB47&lt;=#REF!,#REF!,IF(BB47&lt;=#REF!,#REF!,IF(BB47&lt;=#REF!,#REF!,IF(BB47&lt;=#REF!,#REF!,0.05)))))))</f>
        <v>#REF!</v>
      </c>
      <c r="BM47" s="193" t="e">
        <f t="shared" si="36"/>
        <v>#REF!</v>
      </c>
      <c r="BN47" s="192"/>
      <c r="BO47" s="196" t="e">
        <f>IF(BE47&lt;=#REF!,#REF!,IF(BE47&lt;=#REF!,#REF!,IF(BE47&lt;=#REF!,#REF!,IF(BE47&lt;=#REF!,#REF!,IF(BE47&lt;=#REF!,#REF!,IF(BE47&lt;=#REF!,#REF!,IF(BE47&lt;=#REF!,#REF!,0.05)))))))</f>
        <v>#REF!</v>
      </c>
      <c r="BP47" s="193" t="e">
        <f t="shared" si="37"/>
        <v>#REF!</v>
      </c>
      <c r="BR47" s="194" t="e">
        <f t="shared" si="38"/>
        <v>#REF!</v>
      </c>
      <c r="BT47" s="194" t="e">
        <f t="shared" si="39"/>
        <v>#REF!</v>
      </c>
      <c r="BU47" s="195" t="e">
        <f t="shared" si="40"/>
        <v>#REF!</v>
      </c>
      <c r="BV47" s="192" t="e">
        <f t="shared" si="41"/>
        <v>#REF!</v>
      </c>
      <c r="CL47" s="193">
        <v>38000</v>
      </c>
      <c r="CM47" s="193"/>
      <c r="CN47" s="193"/>
      <c r="CO47" s="193">
        <f t="shared" si="15"/>
        <v>38000</v>
      </c>
      <c r="CP47" s="193"/>
      <c r="CQ47" s="193"/>
      <c r="CR47" s="193">
        <f t="shared" si="16"/>
        <v>76000</v>
      </c>
      <c r="CS47" s="193"/>
      <c r="CT47" s="193"/>
      <c r="CU47" s="193">
        <f t="shared" si="17"/>
        <v>76000</v>
      </c>
      <c r="CV47" s="192">
        <f t="shared" si="28"/>
        <v>0.05</v>
      </c>
      <c r="CW47" s="193">
        <f t="shared" si="18"/>
        <v>1900</v>
      </c>
      <c r="CX47" s="192"/>
      <c r="CY47" s="192">
        <f t="shared" si="29"/>
        <v>0.03</v>
      </c>
      <c r="CZ47" s="193">
        <f t="shared" si="19"/>
        <v>1140</v>
      </c>
      <c r="DA47" s="192"/>
      <c r="DB47" s="192">
        <f t="shared" si="30"/>
        <v>0.18</v>
      </c>
      <c r="DC47" s="193">
        <f t="shared" si="20"/>
        <v>14227.199999999999</v>
      </c>
      <c r="DD47" s="192"/>
      <c r="DE47" s="196">
        <f t="shared" si="31"/>
        <v>-0.06</v>
      </c>
      <c r="DF47" s="193">
        <f t="shared" si="21"/>
        <v>-4560</v>
      </c>
      <c r="DH47" s="194">
        <f t="shared" si="22"/>
        <v>6209.5040000000008</v>
      </c>
      <c r="DJ47" s="194">
        <f t="shared" si="23"/>
        <v>94916.703999999998</v>
      </c>
      <c r="DK47" s="195">
        <f t="shared" si="24"/>
        <v>12707.199999999999</v>
      </c>
      <c r="DL47" s="192">
        <f t="shared" si="25"/>
        <v>0.13387738369001939</v>
      </c>
    </row>
    <row r="48" spans="1:116">
      <c r="A48" s="533">
        <f>(A44*B44)+(A45*B45)+(A46*B46)</f>
        <v>6</v>
      </c>
      <c r="B48" s="529">
        <v>1</v>
      </c>
      <c r="C48" s="553">
        <v>32.520000000000003</v>
      </c>
      <c r="D48" s="218">
        <f>A48*B48*C48</f>
        <v>195.12</v>
      </c>
      <c r="E48" s="758" t="s">
        <v>1142</v>
      </c>
      <c r="F48" s="189"/>
      <c r="G48" s="585"/>
      <c r="H48" s="774"/>
      <c r="I48" s="1168">
        <f>(((D49-D48)/C44)/A44)/40</f>
        <v>0.2500871258712587</v>
      </c>
      <c r="J48" s="234" t="s">
        <v>117</v>
      </c>
      <c r="K48" s="238"/>
      <c r="L48" s="76"/>
      <c r="M48" s="76"/>
      <c r="N48" s="76"/>
      <c r="AV48" s="193">
        <v>39000</v>
      </c>
      <c r="AW48" s="193"/>
      <c r="AX48" s="193"/>
      <c r="AY48" s="193">
        <f t="shared" si="4"/>
        <v>39000</v>
      </c>
      <c r="AZ48" s="193"/>
      <c r="BA48" s="193"/>
      <c r="BB48" s="193">
        <f t="shared" si="32"/>
        <v>78000</v>
      </c>
      <c r="BC48" s="193"/>
      <c r="BD48" s="193"/>
      <c r="BE48" s="193">
        <f t="shared" si="33"/>
        <v>78000</v>
      </c>
      <c r="BF48" s="192" t="e">
        <f>IF(AV48&lt;=#REF!,#REF!,IF(AV48&lt;=#REF!,#REF!,IF(AV48&lt;=#REF!,#REF!,IF(AV48&lt;=#REF!,#REF!,IF(AV48&lt;=#REF!,#REF!,IF(AV48&lt;=#REF!,#REF!,IF(AV48&lt;=#REF!,#REF!,0.05)))))))</f>
        <v>#REF!</v>
      </c>
      <c r="BG48" s="193" t="e">
        <f t="shared" si="34"/>
        <v>#REF!</v>
      </c>
      <c r="BH48" s="192"/>
      <c r="BI48" s="192" t="e">
        <f>IF(AY48&lt;=#REF!,#REF!,IF(AY48&lt;=#REF!,#REF!,IF(AY48&lt;=#REF!,#REF!,IF(AY48&lt;=#REF!,#REF!,IF(AY48&lt;=#REF!,#REF!,IF(AY48&lt;=#REF!,#REF!,IF(AY48&lt;=#REF!,#REF!,0.05)))))))</f>
        <v>#REF!</v>
      </c>
      <c r="BJ48" s="193" t="e">
        <f t="shared" si="35"/>
        <v>#REF!</v>
      </c>
      <c r="BK48" s="192"/>
      <c r="BL48" s="192" t="e">
        <f>IF(BB48&lt;=#REF!,#REF!,IF(BB48&lt;=#REF!,#REF!,IF(BB48&lt;=#REF!,#REF!,IF(BB48&lt;=#REF!,#REF!,IF(BB48&lt;=#REF!,#REF!,IF(BB48&lt;=#REF!,#REF!,IF(BB48&lt;=#REF!,#REF!,0.05)))))))</f>
        <v>#REF!</v>
      </c>
      <c r="BM48" s="193" t="e">
        <f t="shared" si="36"/>
        <v>#REF!</v>
      </c>
      <c r="BN48" s="192"/>
      <c r="BO48" s="196" t="e">
        <f>IF(BE48&lt;=#REF!,#REF!,IF(BE48&lt;=#REF!,#REF!,IF(BE48&lt;=#REF!,#REF!,IF(BE48&lt;=#REF!,#REF!,IF(BE48&lt;=#REF!,#REF!,IF(BE48&lt;=#REF!,#REF!,IF(BE48&lt;=#REF!,#REF!,0.05)))))))</f>
        <v>#REF!</v>
      </c>
      <c r="BP48" s="193" t="e">
        <f t="shared" si="37"/>
        <v>#REF!</v>
      </c>
      <c r="BR48" s="194" t="e">
        <f t="shared" si="38"/>
        <v>#REF!</v>
      </c>
      <c r="BT48" s="194" t="e">
        <f t="shared" si="39"/>
        <v>#REF!</v>
      </c>
      <c r="BU48" s="195" t="e">
        <f t="shared" si="40"/>
        <v>#REF!</v>
      </c>
      <c r="BV48" s="192" t="e">
        <f t="shared" si="41"/>
        <v>#REF!</v>
      </c>
      <c r="CL48" s="193">
        <v>39000</v>
      </c>
      <c r="CM48" s="193"/>
      <c r="CN48" s="193"/>
      <c r="CO48" s="193">
        <f t="shared" si="15"/>
        <v>39000</v>
      </c>
      <c r="CP48" s="193"/>
      <c r="CQ48" s="193"/>
      <c r="CR48" s="193">
        <f t="shared" si="16"/>
        <v>78000</v>
      </c>
      <c r="CS48" s="193"/>
      <c r="CT48" s="193"/>
      <c r="CU48" s="193">
        <f t="shared" si="17"/>
        <v>78000</v>
      </c>
      <c r="CV48" s="192">
        <f t="shared" si="28"/>
        <v>0.05</v>
      </c>
      <c r="CW48" s="193">
        <f t="shared" si="18"/>
        <v>1950</v>
      </c>
      <c r="CX48" s="192"/>
      <c r="CY48" s="192">
        <f t="shared" si="29"/>
        <v>0.03</v>
      </c>
      <c r="CZ48" s="193">
        <f t="shared" si="19"/>
        <v>1170</v>
      </c>
      <c r="DA48" s="192"/>
      <c r="DB48" s="192">
        <f t="shared" si="30"/>
        <v>0.18</v>
      </c>
      <c r="DC48" s="193">
        <f t="shared" si="20"/>
        <v>14601.6</v>
      </c>
      <c r="DD48" s="192"/>
      <c r="DE48" s="196">
        <f t="shared" si="31"/>
        <v>-0.06</v>
      </c>
      <c r="DF48" s="193">
        <f t="shared" si="21"/>
        <v>-4680</v>
      </c>
      <c r="DH48" s="194">
        <f t="shared" si="22"/>
        <v>6372.9120000000012</v>
      </c>
      <c r="DJ48" s="194">
        <f t="shared" si="23"/>
        <v>97414.512000000002</v>
      </c>
      <c r="DK48" s="195">
        <f t="shared" si="24"/>
        <v>13041.6</v>
      </c>
      <c r="DL48" s="192">
        <f t="shared" si="25"/>
        <v>0.13387738369001942</v>
      </c>
    </row>
    <row r="49" spans="1:13">
      <c r="A49" s="224" t="s">
        <v>144</v>
      </c>
      <c r="B49" s="225"/>
      <c r="C49" s="164"/>
      <c r="D49" s="519">
        <f>ROUNDUP(SUM(D44:D48),0)</f>
        <v>2147</v>
      </c>
      <c r="E49" s="164" t="e">
        <f>D49/B42</f>
        <v>#DIV/0!</v>
      </c>
      <c r="F49" s="124" t="s">
        <v>87</v>
      </c>
      <c r="G49" s="705"/>
      <c r="H49" s="1143"/>
      <c r="I49" s="222">
        <f>ROUNDUP(I48,0)</f>
        <v>1</v>
      </c>
      <c r="J49" s="236" t="s">
        <v>118</v>
      </c>
      <c r="K49" s="238"/>
      <c r="M49" s="571" t="s">
        <v>604</v>
      </c>
    </row>
    <row r="50" spans="1:13" ht="16.2" thickBot="1">
      <c r="A50" s="1527" t="s">
        <v>1030</v>
      </c>
      <c r="B50" s="1533" t="s">
        <v>1047</v>
      </c>
      <c r="C50" s="1557">
        <f>IF(D5="Yes",5%,0)</f>
        <v>0</v>
      </c>
      <c r="D50" s="1529">
        <f>ROUNDUP((D49*C50),0)</f>
        <v>0</v>
      </c>
      <c r="E50" s="1556" t="s">
        <v>1044</v>
      </c>
      <c r="F50" s="1558"/>
      <c r="G50" s="705"/>
      <c r="H50" s="705"/>
      <c r="I50" s="1531"/>
      <c r="J50" s="1532"/>
      <c r="K50" s="7"/>
      <c r="M50" s="76" t="s">
        <v>62</v>
      </c>
    </row>
    <row r="51" spans="1:13">
      <c r="A51" s="226" t="s">
        <v>145</v>
      </c>
      <c r="B51" s="164"/>
      <c r="C51" s="227">
        <v>0.12</v>
      </c>
      <c r="D51" s="520">
        <f>ROUNDUP((D49+D50)*C51,0)</f>
        <v>258</v>
      </c>
      <c r="E51" s="1"/>
      <c r="F51" s="1"/>
      <c r="G51" s="705"/>
      <c r="I51" s="1585" t="s">
        <v>1052</v>
      </c>
      <c r="J51" s="1586"/>
      <c r="K51" s="1587" t="s">
        <v>1062</v>
      </c>
      <c r="L51" s="1588"/>
      <c r="M51" s="76" t="s">
        <v>63</v>
      </c>
    </row>
    <row r="52" spans="1:13">
      <c r="A52" s="1"/>
      <c r="B52" s="32"/>
      <c r="C52" s="7"/>
      <c r="D52" s="7"/>
      <c r="E52" s="7"/>
      <c r="F52" s="1"/>
      <c r="G52" s="1"/>
      <c r="H52" s="834"/>
      <c r="I52" s="1576" t="s">
        <v>1049</v>
      </c>
      <c r="J52" s="1577">
        <f>SUM(J53:J54)</f>
        <v>0</v>
      </c>
      <c r="K52" s="1576" t="s">
        <v>1049</v>
      </c>
      <c r="L52" s="1577">
        <f>SUM(L53:L54)</f>
        <v>0</v>
      </c>
      <c r="M52" s="76" t="s">
        <v>64</v>
      </c>
    </row>
    <row r="53" spans="1:13">
      <c r="A53" s="5" t="s">
        <v>130</v>
      </c>
      <c r="B53" s="30" t="s">
        <v>11</v>
      </c>
      <c r="C53" s="11" t="s">
        <v>1</v>
      </c>
      <c r="D53" s="12" t="s">
        <v>51</v>
      </c>
      <c r="E53" s="1"/>
      <c r="F53" s="1"/>
      <c r="G53" s="97"/>
      <c r="H53" s="834"/>
      <c r="I53" s="1578" t="s">
        <v>1050</v>
      </c>
      <c r="J53" s="1579">
        <v>0</v>
      </c>
      <c r="K53" s="1578" t="s">
        <v>1050</v>
      </c>
      <c r="L53" s="1579">
        <v>0</v>
      </c>
      <c r="M53" s="76" t="s">
        <v>65</v>
      </c>
    </row>
    <row r="54" spans="1:13">
      <c r="A54" s="6" t="s">
        <v>17</v>
      </c>
      <c r="B54" s="37">
        <f>ROUNDUP(IF(B42&gt;2000,B42/1000,2),0)</f>
        <v>2</v>
      </c>
      <c r="C54" s="7">
        <v>35</v>
      </c>
      <c r="D54" s="9">
        <f t="shared" ref="D54:D57" si="44">ROUNDUP(B54*C54,0)</f>
        <v>70</v>
      </c>
      <c r="E54" s="1"/>
      <c r="F54" s="1"/>
      <c r="G54" s="92"/>
      <c r="H54" s="93"/>
      <c r="I54" s="1580" t="s">
        <v>1051</v>
      </c>
      <c r="J54" s="1581">
        <v>0</v>
      </c>
      <c r="K54" s="1580" t="s">
        <v>1051</v>
      </c>
      <c r="L54" s="1581">
        <v>0</v>
      </c>
      <c r="M54" s="76" t="s">
        <v>66</v>
      </c>
    </row>
    <row r="55" spans="1:13">
      <c r="A55" s="6" t="s">
        <v>75</v>
      </c>
      <c r="B55" s="37">
        <f>B42</f>
        <v>0</v>
      </c>
      <c r="C55" s="7">
        <v>0.33</v>
      </c>
      <c r="D55" s="9">
        <f>ROUNDUP(IF((B55*C55)&gt;150,(B55*C55),150),0)</f>
        <v>150</v>
      </c>
      <c r="E55" s="1"/>
      <c r="F55" s="1"/>
      <c r="G55" s="1"/>
      <c r="H55" s="37"/>
      <c r="I55" s="864" t="s">
        <v>1070</v>
      </c>
      <c r="J55" s="1582"/>
      <c r="K55" s="864" t="s">
        <v>1071</v>
      </c>
      <c r="L55" s="1582"/>
      <c r="M55" s="76" t="s">
        <v>67</v>
      </c>
    </row>
    <row r="56" spans="1:13" ht="16.2" thickBot="1">
      <c r="A56" s="6" t="s">
        <v>174</v>
      </c>
      <c r="B56" s="37"/>
      <c r="C56" s="7">
        <v>0.33</v>
      </c>
      <c r="D56" s="9">
        <f t="shared" si="44"/>
        <v>0</v>
      </c>
      <c r="E56" s="787" t="s">
        <v>1246</v>
      </c>
      <c r="F56" s="1"/>
      <c r="G56" s="74" t="s">
        <v>173</v>
      </c>
      <c r="H56" s="37"/>
      <c r="I56" s="1583" t="s">
        <v>1082</v>
      </c>
      <c r="J56" s="1584"/>
      <c r="K56" s="1583" t="s">
        <v>1083</v>
      </c>
      <c r="L56" s="1584"/>
    </row>
    <row r="57" spans="1:13" ht="16.2" thickBot="1">
      <c r="A57" s="6" t="s">
        <v>28</v>
      </c>
      <c r="B57" s="37"/>
      <c r="C57" s="7"/>
      <c r="D57" s="9">
        <f t="shared" si="44"/>
        <v>0</v>
      </c>
      <c r="E57" s="1"/>
      <c r="F57" s="1"/>
      <c r="G57" s="1"/>
      <c r="H57" s="93"/>
      <c r="I57" s="1593" t="s">
        <v>1075</v>
      </c>
      <c r="J57" s="1591">
        <f>IF((J52/2)&lt;23,23,(J52/2))</f>
        <v>23</v>
      </c>
      <c r="K57" s="1592" t="s">
        <v>1075</v>
      </c>
      <c r="L57" s="1591">
        <f>IF((L52/2)&lt;23,23,(L52/2))</f>
        <v>23</v>
      </c>
    </row>
    <row r="58" spans="1:13" ht="16.2" thickBot="1">
      <c r="A58" s="1570" t="s">
        <v>132</v>
      </c>
      <c r="B58" s="1571"/>
      <c r="C58" s="1572"/>
      <c r="D58" s="1573">
        <f>SUM(D54:D57)</f>
        <v>220</v>
      </c>
      <c r="E58" s="1"/>
      <c r="F58" s="1"/>
      <c r="G58" s="74"/>
      <c r="H58" s="80"/>
      <c r="I58" s="629"/>
      <c r="J58" s="1595" t="s">
        <v>1076</v>
      </c>
      <c r="K58" s="1594"/>
      <c r="L58" s="590" t="s">
        <v>1080</v>
      </c>
    </row>
    <row r="59" spans="1:13">
      <c r="A59" s="1"/>
      <c r="B59" s="32"/>
      <c r="C59" s="7"/>
      <c r="D59" s="7"/>
      <c r="E59" s="1"/>
      <c r="F59" s="1"/>
      <c r="G59" s="1"/>
      <c r="H59" s="1450" t="str">
        <f>E42</f>
        <v>10 hour days</v>
      </c>
      <c r="I59" s="714"/>
      <c r="J59" s="1561"/>
      <c r="K59" s="585"/>
    </row>
    <row r="60" spans="1:13">
      <c r="A60" s="5" t="s">
        <v>131</v>
      </c>
      <c r="B60" s="30" t="s">
        <v>11</v>
      </c>
      <c r="C60" s="11" t="s">
        <v>1</v>
      </c>
      <c r="D60" s="12" t="s">
        <v>51</v>
      </c>
      <c r="E60" s="1"/>
      <c r="F60" s="1"/>
      <c r="G60" s="1409" t="s">
        <v>567</v>
      </c>
      <c r="H60" s="1410">
        <f>(((A44*B44)+(A45*B45)+(A46*B46))*IF($E$42="8 hour days",8,10))+(A48*B48)</f>
        <v>66</v>
      </c>
      <c r="I60" s="600"/>
      <c r="J60" s="605"/>
      <c r="K60" s="605"/>
    </row>
    <row r="61" spans="1:13">
      <c r="A61" s="6" t="s">
        <v>68</v>
      </c>
      <c r="B61" s="37" t="b">
        <f>IF(B4="No",((D49-D48)/C44)/8)</f>
        <v>0</v>
      </c>
      <c r="C61" s="7">
        <v>70</v>
      </c>
      <c r="D61" s="9">
        <f t="shared" ref="D61:D62" si="45">ROUNDUP(B61*C61,0)</f>
        <v>0</v>
      </c>
      <c r="E61" s="1"/>
      <c r="F61" s="1"/>
      <c r="G61" s="1048" t="s">
        <v>568</v>
      </c>
      <c r="H61" s="1389">
        <f>H60/IF($E$42="8 hour days",8,10)/H62</f>
        <v>1.0999999999999999</v>
      </c>
      <c r="I61" s="629"/>
      <c r="J61" s="1562"/>
      <c r="K61" s="585"/>
      <c r="L61" s="585"/>
    </row>
    <row r="62" spans="1:13">
      <c r="A62" s="6" t="s">
        <v>69</v>
      </c>
      <c r="B62" s="37" t="b">
        <f>B61</f>
        <v>0</v>
      </c>
      <c r="C62" s="7">
        <v>45</v>
      </c>
      <c r="D62" s="9">
        <f t="shared" si="45"/>
        <v>0</v>
      </c>
      <c r="E62" s="43"/>
      <c r="F62" s="1"/>
      <c r="G62" s="1444" t="s">
        <v>931</v>
      </c>
      <c r="H62" s="1445">
        <f>A44</f>
        <v>6</v>
      </c>
      <c r="I62" s="662"/>
      <c r="J62" s="1562"/>
      <c r="K62" s="585"/>
      <c r="L62" s="585"/>
    </row>
    <row r="63" spans="1:13">
      <c r="A63" s="6"/>
      <c r="B63" s="37"/>
      <c r="C63" s="7"/>
      <c r="D63" s="9"/>
      <c r="E63" s="1"/>
      <c r="F63" s="1"/>
      <c r="G63" s="1"/>
      <c r="H63" s="37"/>
      <c r="I63" s="629"/>
      <c r="J63" s="1562"/>
      <c r="K63" s="585"/>
      <c r="L63" s="585"/>
    </row>
    <row r="64" spans="1:13">
      <c r="A64" s="1570" t="s">
        <v>133</v>
      </c>
      <c r="B64" s="1571"/>
      <c r="C64" s="1572"/>
      <c r="D64" s="1573">
        <f>SUM(D61:D63)</f>
        <v>0</v>
      </c>
      <c r="E64" s="1"/>
      <c r="F64" s="1"/>
      <c r="G64" s="74"/>
      <c r="H64" s="80"/>
      <c r="I64" s="714"/>
      <c r="J64" s="1561"/>
      <c r="K64" s="585"/>
      <c r="L64" s="585"/>
    </row>
    <row r="65" spans="1:12">
      <c r="A65" s="1"/>
      <c r="B65" s="32"/>
      <c r="C65" s="7"/>
      <c r="D65" s="7"/>
      <c r="E65" s="1"/>
      <c r="F65" s="1"/>
      <c r="G65" s="1"/>
      <c r="I65" s="714"/>
      <c r="J65" s="1561"/>
      <c r="K65" s="585"/>
      <c r="L65" s="585"/>
    </row>
    <row r="66" spans="1:12">
      <c r="A66" s="165" t="s">
        <v>9</v>
      </c>
      <c r="B66" s="166"/>
      <c r="C66" s="404"/>
      <c r="D66" s="167">
        <f>ROUNDUP(SUM(D40,D49,D58,D64,D51),0)</f>
        <v>4281</v>
      </c>
      <c r="E66" s="393" t="e">
        <f>D66/B42</f>
        <v>#DIV/0!</v>
      </c>
      <c r="F66" s="235" t="s">
        <v>377</v>
      </c>
      <c r="G66" s="1"/>
    </row>
    <row r="67" spans="1:12">
      <c r="A67" s="1"/>
      <c r="B67" s="32"/>
      <c r="C67" s="7"/>
      <c r="D67" s="7"/>
      <c r="E67" s="1"/>
      <c r="F67" s="1"/>
      <c r="G67" s="1"/>
    </row>
    <row r="68" spans="1:12">
      <c r="A68" s="621" t="s">
        <v>8</v>
      </c>
      <c r="B68" s="622" t="s">
        <v>7</v>
      </c>
      <c r="C68" s="816"/>
      <c r="D68" s="12" t="s">
        <v>51</v>
      </c>
      <c r="E68" s="600"/>
      <c r="F68" s="810">
        <f>SUM(D66,D78,D81)</f>
        <v>4438</v>
      </c>
      <c r="G68" s="811" t="s">
        <v>428</v>
      </c>
      <c r="H68" s="812"/>
      <c r="I68" s="813" t="e">
        <f>F68/C83</f>
        <v>#DIV/0!</v>
      </c>
    </row>
    <row r="69" spans="1:12">
      <c r="A69" s="817" t="s">
        <v>215</v>
      </c>
      <c r="B69" s="122">
        <f>IF(D66&lt;6500,0.52,IF(D66&lt;15000,0.45,IF(D66&lt;22500,0.35,IF(D66&lt;32500,0.32,0.3))))</f>
        <v>0.52</v>
      </c>
      <c r="C69" s="629"/>
      <c r="D69" s="9">
        <f>ROUNDUP(SUM(D66,D76,D79)/(1-B69),0)-ROUNDUP(SUM(D66,D76,D79,),0)</f>
        <v>4808</v>
      </c>
      <c r="E69" s="600"/>
      <c r="F69" s="814">
        <f>(((A44*B44)+(A45*B45)+(A46*B46))*IF($E$42="8 hour days",8,10))+(A48*B48)</f>
        <v>66</v>
      </c>
      <c r="G69" s="815" t="s">
        <v>505</v>
      </c>
      <c r="H69" s="815"/>
      <c r="I69" s="585"/>
    </row>
    <row r="70" spans="1:12">
      <c r="A70" s="817" t="s">
        <v>148</v>
      </c>
      <c r="B70" s="818" t="b">
        <f>IF(B5="yes",IF(D66&gt;=60000,-0.04,IF(B4="yes",IF(D66&gt;=13000,-0.025,0))))</f>
        <v>0</v>
      </c>
      <c r="C70" s="629"/>
      <c r="D70" s="648">
        <f>ROUNDUP(SUM(D66,D69)*B70,0)</f>
        <v>0</v>
      </c>
      <c r="E70" s="600"/>
      <c r="F70" s="1446">
        <f>F83/H61</f>
        <v>4370.909090909091</v>
      </c>
      <c r="G70" s="1447" t="s">
        <v>1036</v>
      </c>
      <c r="H70" s="809" t="str">
        <f>E42</f>
        <v>10 hour days</v>
      </c>
      <c r="I70" s="585"/>
    </row>
    <row r="71" spans="1:12">
      <c r="A71" s="628" t="s">
        <v>724</v>
      </c>
      <c r="B71" s="819">
        <v>0.03</v>
      </c>
      <c r="C71" s="803"/>
      <c r="D71" s="648">
        <f>ROUNDUP(SUM(D66:D70,D73,D76,D79)*B71,0)</f>
        <v>278</v>
      </c>
      <c r="E71" s="600"/>
      <c r="F71" s="585"/>
      <c r="G71" s="585"/>
      <c r="H71" s="585"/>
      <c r="I71" s="585"/>
    </row>
    <row r="72" spans="1:12">
      <c r="A72" s="628" t="s">
        <v>135</v>
      </c>
      <c r="B72" s="819">
        <v>0.13</v>
      </c>
      <c r="C72" s="803"/>
      <c r="D72" s="648">
        <f>(ROUNDUP(SUM(D66:D71,D73,D76,D79)*B72,0))+0</f>
        <v>1239</v>
      </c>
      <c r="E72" s="600"/>
      <c r="F72" s="600"/>
      <c r="G72" s="775"/>
      <c r="H72" s="585"/>
      <c r="I72" s="808"/>
    </row>
    <row r="73" spans="1:12">
      <c r="A73" s="820" t="s">
        <v>210</v>
      </c>
      <c r="B73" s="1575" t="s">
        <v>1060</v>
      </c>
      <c r="C73" s="1563"/>
      <c r="D73" s="1574">
        <v>0</v>
      </c>
      <c r="E73" s="600"/>
      <c r="F73" s="585"/>
      <c r="G73" s="585"/>
      <c r="H73" s="585"/>
      <c r="I73" s="585"/>
      <c r="J73" s="98"/>
    </row>
    <row r="74" spans="1:12">
      <c r="A74" s="600"/>
      <c r="B74" s="775"/>
      <c r="C74" s="629"/>
      <c r="D74" s="629"/>
      <c r="E74" s="600"/>
      <c r="F74" s="585"/>
      <c r="G74" s="585"/>
      <c r="H74" s="585"/>
      <c r="I74" s="585"/>
    </row>
    <row r="75" spans="1:12">
      <c r="A75" s="621" t="s">
        <v>152</v>
      </c>
      <c r="B75" s="622" t="s">
        <v>7</v>
      </c>
      <c r="C75" s="778"/>
      <c r="D75" s="779" t="s">
        <v>51</v>
      </c>
      <c r="E75" s="600"/>
      <c r="H75" s="585"/>
      <c r="I75" s="585"/>
      <c r="J75" s="1646">
        <f>(J78-J76-J77)</f>
        <v>10763</v>
      </c>
      <c r="K75" s="590"/>
    </row>
    <row r="76" spans="1:12">
      <c r="A76" s="628" t="s">
        <v>15</v>
      </c>
      <c r="B76" s="802">
        <f>IF($B$6="no",0,0.09475)</f>
        <v>9.4750000000000001E-2</v>
      </c>
      <c r="C76" s="803"/>
      <c r="D76" s="648">
        <f>ROUNDUP(SUM(D40)*B76,0)</f>
        <v>157</v>
      </c>
      <c r="E76" s="600"/>
      <c r="H76" s="585"/>
      <c r="I76" s="585"/>
      <c r="J76" s="1646"/>
      <c r="K76" s="585" t="s">
        <v>1118</v>
      </c>
    </row>
    <row r="77" spans="1:12">
      <c r="A77" s="804" t="str">
        <f>Polish!A75</f>
        <v>Kansas Remodel Tax</v>
      </c>
      <c r="B77" s="805">
        <f>IF(D6="yes",0.1,0)</f>
        <v>0</v>
      </c>
      <c r="C77" s="629"/>
      <c r="D77" s="648">
        <f>ROUNDUP(SUM(D49:D51,D58,D64,D69:D73,D79)*B77,0)</f>
        <v>0</v>
      </c>
      <c r="E77" s="758" t="str">
        <f>IF(D6="yes","*10% is placeholder. Adjust to actual if project awarded"," ")</f>
        <v xml:space="preserve"> </v>
      </c>
      <c r="H77" s="585"/>
      <c r="I77" s="585"/>
      <c r="J77" s="1647"/>
      <c r="K77" s="784" t="s">
        <v>1119</v>
      </c>
    </row>
    <row r="78" spans="1:12">
      <c r="A78" s="1565" t="s">
        <v>1054</v>
      </c>
      <c r="B78" s="1566"/>
      <c r="C78" s="1567"/>
      <c r="D78" s="1568">
        <f>SUM(D76:D77)</f>
        <v>157</v>
      </c>
      <c r="E78" s="758"/>
      <c r="H78" s="585"/>
      <c r="I78" s="585"/>
      <c r="J78" s="1646">
        <f>D84</f>
        <v>10763</v>
      </c>
      <c r="K78" s="590" t="s">
        <v>1117</v>
      </c>
    </row>
    <row r="79" spans="1:12">
      <c r="A79" s="628" t="s">
        <v>1055</v>
      </c>
      <c r="B79" s="802"/>
      <c r="C79" s="629"/>
      <c r="D79" s="648">
        <f>ROUNDUP(B79*C79,0)</f>
        <v>0</v>
      </c>
      <c r="E79" s="600"/>
      <c r="F79" s="600"/>
      <c r="G79" s="600"/>
      <c r="H79" s="585"/>
      <c r="I79" s="585"/>
    </row>
    <row r="80" spans="1:12">
      <c r="A80" s="635" t="s">
        <v>20</v>
      </c>
      <c r="B80" s="806">
        <v>0</v>
      </c>
      <c r="C80" s="636"/>
      <c r="D80" s="807">
        <f>ROUNDUP(SUM(D66,D69,D70,D71:D73,D76,D77:D79)*B80,0)</f>
        <v>0</v>
      </c>
      <c r="E80" s="600"/>
      <c r="F80" s="600"/>
      <c r="G80" s="600"/>
      <c r="H80" s="585"/>
      <c r="I80" s="585"/>
    </row>
    <row r="81" spans="1:14">
      <c r="A81" s="789" t="s">
        <v>1061</v>
      </c>
      <c r="B81" s="790"/>
      <c r="C81" s="791"/>
      <c r="D81" s="792">
        <f>ROUNDUP(SUM(D79:D80),0)</f>
        <v>0</v>
      </c>
      <c r="E81" s="600"/>
      <c r="F81" s="600"/>
      <c r="G81" s="585"/>
      <c r="H81" s="585"/>
      <c r="I81" s="585"/>
      <c r="J81" s="1468"/>
      <c r="K81" s="1435" t="s">
        <v>211</v>
      </c>
      <c r="L81" s="1467"/>
    </row>
    <row r="82" spans="1:14">
      <c r="A82" s="1"/>
      <c r="B82" s="8"/>
      <c r="C82" s="7"/>
      <c r="D82" s="7"/>
      <c r="E82" s="1"/>
      <c r="F82" s="759" t="s">
        <v>70</v>
      </c>
      <c r="G82" s="822" t="s">
        <v>378</v>
      </c>
      <c r="H82" s="1618" t="s">
        <v>1098</v>
      </c>
      <c r="I82" s="823"/>
      <c r="J82" s="480" t="s">
        <v>212</v>
      </c>
      <c r="K82" s="232" t="s">
        <v>213</v>
      </c>
      <c r="L82" s="232" t="s">
        <v>214</v>
      </c>
    </row>
    <row r="83" spans="1:14" ht="16.2" thickBot="1">
      <c r="A83" s="1"/>
      <c r="B83" s="190" t="s">
        <v>45</v>
      </c>
      <c r="C83" s="99">
        <f>B42</f>
        <v>0</v>
      </c>
      <c r="D83" s="7"/>
      <c r="E83" s="38" t="s">
        <v>18</v>
      </c>
      <c r="F83" s="1623">
        <f>SUM(D69,,D70,D73)</f>
        <v>4808</v>
      </c>
      <c r="G83" s="1622">
        <f>F83/F69</f>
        <v>72.848484848484844</v>
      </c>
      <c r="H83" s="1619">
        <f>SUM(D69:D73)</f>
        <v>6325</v>
      </c>
      <c r="I83" s="585"/>
      <c r="J83" s="242">
        <f>(H40+D58)/D84</f>
        <v>0.17430084548917588</v>
      </c>
      <c r="K83" s="242">
        <f>(SUM(D49:D51)/D84)</f>
        <v>0.22345071076837314</v>
      </c>
      <c r="L83" s="242">
        <f>D64/D84</f>
        <v>0</v>
      </c>
    </row>
    <row r="84" spans="1:14" ht="16.2" thickBot="1">
      <c r="A84" s="186" t="s">
        <v>6</v>
      </c>
      <c r="B84" s="187"/>
      <c r="C84" s="188" t="e">
        <f>D84/C83</f>
        <v>#DIV/0!</v>
      </c>
      <c r="D84" s="832">
        <f>SUM(D66,D69:D73,D78,D81)</f>
        <v>10763</v>
      </c>
      <c r="E84" s="629">
        <f>D84-(D76+D77)</f>
        <v>10606</v>
      </c>
      <c r="F84" s="1630">
        <f>F83/(D84)</f>
        <v>0.44671559973984948</v>
      </c>
      <c r="G84" s="1622">
        <f>C44</f>
        <v>32.520000000000003</v>
      </c>
      <c r="H84" s="1620">
        <f>H83/D84</f>
        <v>0.58766143268605409</v>
      </c>
      <c r="I84" s="1625" t="s">
        <v>1104</v>
      </c>
    </row>
    <row r="85" spans="1:14">
      <c r="A85" s="221"/>
      <c r="B85" s="1" t="s">
        <v>5</v>
      </c>
      <c r="C85" s="7" t="e">
        <f>D85/C83</f>
        <v>#DIV/0!</v>
      </c>
      <c r="D85" s="629">
        <f>D84-D77</f>
        <v>10763</v>
      </c>
      <c r="E85" s="753" t="s">
        <v>146</v>
      </c>
      <c r="F85" s="833"/>
      <c r="G85" s="1621" t="s">
        <v>1100</v>
      </c>
      <c r="H85" s="590"/>
      <c r="I85" s="1631" t="s">
        <v>1105</v>
      </c>
      <c r="J85" s="1098">
        <f>SUM(D40,D58)</f>
        <v>1876</v>
      </c>
      <c r="K85" s="1099">
        <f>J85/J88</f>
        <v>0.17430084548917588</v>
      </c>
      <c r="L85" s="1100" t="s">
        <v>674</v>
      </c>
      <c r="M85" s="759" t="s">
        <v>675</v>
      </c>
    </row>
    <row r="86" spans="1:14">
      <c r="A86" s="221"/>
      <c r="B86" s="515"/>
      <c r="C86" s="445"/>
      <c r="D86" s="445"/>
      <c r="E86" s="189"/>
      <c r="F86" s="585"/>
      <c r="G86" s="1391" t="s">
        <v>1102</v>
      </c>
      <c r="H86" s="1391"/>
      <c r="I86" s="585"/>
      <c r="J86" s="1101">
        <f>SUM(D49:D51,D64)</f>
        <v>2405</v>
      </c>
      <c r="K86" s="1102">
        <f>J86/J88</f>
        <v>0.22345071076837314</v>
      </c>
      <c r="L86" s="1103" t="s">
        <v>676</v>
      </c>
      <c r="M86" s="600"/>
    </row>
    <row r="87" spans="1:14">
      <c r="A87" s="221"/>
      <c r="B87" s="515"/>
      <c r="C87" s="445"/>
      <c r="D87" s="445"/>
      <c r="E87" s="189"/>
      <c r="F87" s="585"/>
      <c r="G87" s="1629" t="s">
        <v>1103</v>
      </c>
      <c r="H87" s="1629"/>
      <c r="I87" s="585"/>
      <c r="J87" s="1104">
        <f>SUM(D69:D73,D78,D81)</f>
        <v>6482</v>
      </c>
      <c r="K87" s="1105">
        <f>J87/J88</f>
        <v>0.60224844374245101</v>
      </c>
      <c r="L87" s="1106" t="s">
        <v>678</v>
      </c>
      <c r="M87" s="600"/>
    </row>
    <row r="88" spans="1:14">
      <c r="A88" s="73"/>
      <c r="B88" s="442"/>
      <c r="C88" s="409"/>
      <c r="D88" s="409"/>
      <c r="E88" s="32"/>
      <c r="J88" s="1104">
        <f>SUM(J85:J87)</f>
        <v>10763</v>
      </c>
      <c r="K88" s="1107">
        <f>SUM(K85:K87)</f>
        <v>1</v>
      </c>
      <c r="L88" s="1106" t="s">
        <v>2</v>
      </c>
      <c r="M88" s="585"/>
    </row>
    <row r="89" spans="1:14">
      <c r="A89" s="73"/>
      <c r="B89" s="442"/>
      <c r="C89" s="409"/>
      <c r="D89" s="409"/>
      <c r="E89" s="32"/>
    </row>
    <row r="90" spans="1:14" ht="16.05" customHeight="1">
      <c r="A90" s="560"/>
      <c r="B90" s="560"/>
      <c r="C90" s="560"/>
      <c r="D90" s="560"/>
      <c r="E90" s="560"/>
      <c r="F90" s="560"/>
      <c r="G90" s="560"/>
      <c r="H90" s="560"/>
      <c r="I90" s="560"/>
      <c r="J90" s="560"/>
      <c r="K90" s="560"/>
      <c r="L90" s="560"/>
      <c r="M90" s="560"/>
      <c r="N90" s="560"/>
    </row>
    <row r="91" spans="1:14"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</row>
    <row r="96" spans="1:14">
      <c r="D96" s="220"/>
    </row>
    <row r="100" spans="1:13">
      <c r="I100" s="243"/>
    </row>
    <row r="102" spans="1:13">
      <c r="A102" s="387"/>
    </row>
    <row r="103" spans="1:13">
      <c r="A103" s="388"/>
      <c r="G103" s="245"/>
    </row>
    <row r="104" spans="1:13">
      <c r="A104" s="389"/>
      <c r="G104" s="246"/>
    </row>
    <row r="105" spans="1:13">
      <c r="A105" s="390"/>
      <c r="G105" s="245"/>
    </row>
    <row r="106" spans="1:13">
      <c r="A106" s="391"/>
    </row>
    <row r="107" spans="1:13">
      <c r="A107" s="392"/>
    </row>
    <row r="108" spans="1:13">
      <c r="A108" s="448"/>
      <c r="I108" s="243"/>
      <c r="L108" s="247"/>
      <c r="M108" s="28"/>
    </row>
    <row r="109" spans="1:13">
      <c r="A109" s="543"/>
      <c r="I109" s="243"/>
      <c r="L109" s="247"/>
      <c r="M109" s="28"/>
    </row>
    <row r="110" spans="1:13">
      <c r="I110" s="243"/>
      <c r="L110" s="247"/>
      <c r="M110" s="28"/>
    </row>
    <row r="111" spans="1:13">
      <c r="I111" s="243"/>
      <c r="L111" s="247"/>
      <c r="M111" s="28"/>
    </row>
    <row r="112" spans="1:13" ht="16.05" customHeight="1">
      <c r="I112" s="243"/>
      <c r="L112" s="247"/>
      <c r="M112" s="28"/>
    </row>
    <row r="113" spans="1:13">
      <c r="I113" s="243"/>
      <c r="L113" s="247"/>
      <c r="M113" s="28"/>
    </row>
    <row r="114" spans="1:13">
      <c r="I114" s="243"/>
      <c r="L114" s="247"/>
      <c r="M114" s="28"/>
    </row>
    <row r="115" spans="1:13">
      <c r="I115" s="243"/>
      <c r="L115" s="247"/>
      <c r="M115" s="28"/>
    </row>
    <row r="116" spans="1:13">
      <c r="I116" s="243"/>
      <c r="L116" s="247"/>
      <c r="M116" s="28"/>
    </row>
    <row r="117" spans="1:13">
      <c r="I117" s="243"/>
      <c r="L117" s="247"/>
      <c r="M117" s="28"/>
    </row>
    <row r="118" spans="1:13">
      <c r="I118" s="243"/>
      <c r="L118" s="247"/>
      <c r="M118" s="28"/>
    </row>
    <row r="119" spans="1:13">
      <c r="I119" s="243"/>
      <c r="L119" s="247"/>
      <c r="M119" s="28"/>
    </row>
    <row r="120" spans="1:13">
      <c r="I120" s="243"/>
      <c r="L120" s="247"/>
      <c r="M120" s="28"/>
    </row>
    <row r="121" spans="1:13">
      <c r="I121" s="243"/>
      <c r="L121" s="247"/>
      <c r="M121" s="28"/>
    </row>
    <row r="122" spans="1:13">
      <c r="I122" s="243"/>
      <c r="L122" s="247"/>
      <c r="M122" s="28"/>
    </row>
    <row r="123" spans="1:13">
      <c r="I123" s="243"/>
      <c r="L123" s="247"/>
      <c r="M123" s="28"/>
    </row>
    <row r="124" spans="1:13">
      <c r="I124" s="243"/>
      <c r="L124" s="247"/>
      <c r="M124" s="28"/>
    </row>
    <row r="125" spans="1:13">
      <c r="I125" s="243"/>
      <c r="L125" s="247"/>
      <c r="M125" s="28"/>
    </row>
    <row r="126" spans="1:13">
      <c r="I126" s="243"/>
      <c r="L126" s="247"/>
      <c r="M126" s="28"/>
    </row>
    <row r="127" spans="1:13">
      <c r="I127" s="243"/>
      <c r="L127" s="247"/>
      <c r="M127" s="28"/>
    </row>
    <row r="128" spans="1:13">
      <c r="A128" s="7"/>
      <c r="B128" s="7"/>
      <c r="I128" s="243"/>
      <c r="L128" s="247"/>
      <c r="M128" s="28"/>
    </row>
    <row r="129" spans="1:13">
      <c r="A129" s="7"/>
      <c r="B129" s="7"/>
      <c r="I129" s="243"/>
      <c r="L129" s="247"/>
      <c r="M129" s="28"/>
    </row>
    <row r="130" spans="1:13">
      <c r="A130" s="7"/>
      <c r="B130" s="7"/>
      <c r="I130" s="243"/>
      <c r="L130" s="247"/>
      <c r="M130" s="28"/>
    </row>
    <row r="131" spans="1:13">
      <c r="A131" s="21"/>
      <c r="B131" s="21"/>
      <c r="I131" s="243"/>
      <c r="L131" s="247"/>
      <c r="M131" s="28"/>
    </row>
    <row r="132" spans="1:13">
      <c r="I132" s="243"/>
      <c r="L132" s="247"/>
      <c r="M132" s="28"/>
    </row>
    <row r="133" spans="1:13">
      <c r="A133" s="79"/>
      <c r="B133" s="79"/>
      <c r="I133" s="243"/>
      <c r="L133" s="247"/>
      <c r="M133" s="28"/>
    </row>
    <row r="134" spans="1:13">
      <c r="A134" s="7"/>
      <c r="B134" s="7"/>
      <c r="I134" s="243"/>
      <c r="L134" s="247"/>
      <c r="M134" s="28"/>
    </row>
    <row r="135" spans="1:13">
      <c r="A135" s="7"/>
      <c r="B135" s="7"/>
      <c r="I135" s="243"/>
      <c r="L135" s="247"/>
      <c r="M135" s="28"/>
    </row>
    <row r="136" spans="1:13">
      <c r="A136" s="7"/>
      <c r="B136" s="7"/>
      <c r="I136" s="243"/>
      <c r="L136" s="247"/>
      <c r="M136" s="28"/>
    </row>
    <row r="137" spans="1:13">
      <c r="A137" s="21"/>
      <c r="B137" s="21"/>
    </row>
    <row r="145" spans="1:5">
      <c r="A145" s="98"/>
    </row>
    <row r="157" spans="1:5">
      <c r="E157" s="1"/>
    </row>
    <row r="158" spans="1:5">
      <c r="E158" s="1"/>
    </row>
    <row r="159" spans="1:5">
      <c r="E159" s="1"/>
    </row>
    <row r="160" spans="1:5">
      <c r="E160" s="32"/>
    </row>
    <row r="161" spans="1:20">
      <c r="E161" s="1"/>
    </row>
    <row r="162" spans="1:20">
      <c r="E162" s="1"/>
    </row>
    <row r="163" spans="1:20">
      <c r="A163" s="1"/>
      <c r="B163" s="1"/>
      <c r="C163" s="207"/>
      <c r="D163" s="7"/>
      <c r="N163" s="32"/>
    </row>
    <row r="164" spans="1:20">
      <c r="A164" s="53"/>
      <c r="B164" s="53"/>
      <c r="C164" s="53"/>
      <c r="D164" s="53"/>
      <c r="E164" s="64"/>
      <c r="F164" s="64"/>
      <c r="G164" s="64"/>
      <c r="H164" s="64"/>
      <c r="I164" s="64"/>
      <c r="J164" s="64"/>
      <c r="K164" s="64"/>
      <c r="L164" s="53"/>
      <c r="M164" s="53"/>
      <c r="N164" s="53"/>
      <c r="O164" s="53"/>
      <c r="P164" s="53"/>
    </row>
    <row r="165" spans="1:20">
      <c r="A165" s="53"/>
      <c r="B165" s="53"/>
      <c r="C165" s="53"/>
      <c r="D165" s="53"/>
      <c r="E165" s="53"/>
      <c r="F165" s="53"/>
      <c r="G165" s="64"/>
      <c r="H165" s="64"/>
      <c r="I165" s="64"/>
      <c r="J165" s="64"/>
      <c r="K165" s="64"/>
      <c r="L165" s="53"/>
      <c r="M165" s="53"/>
      <c r="N165" s="53"/>
      <c r="O165" s="53"/>
      <c r="P165" s="79"/>
    </row>
    <row r="166" spans="1:20">
      <c r="A166" s="53"/>
      <c r="B166" s="101"/>
      <c r="C166" s="79"/>
      <c r="D166" s="79"/>
      <c r="E166" s="102"/>
      <c r="F166" s="53"/>
      <c r="G166" s="64"/>
      <c r="H166" s="64"/>
      <c r="I166" s="64"/>
      <c r="J166" s="64"/>
      <c r="K166" s="64"/>
      <c r="L166" s="53"/>
      <c r="M166" s="53"/>
      <c r="N166" s="79"/>
      <c r="O166" s="79"/>
      <c r="P166" s="79"/>
    </row>
    <row r="167" spans="1:20">
      <c r="A167" s="53"/>
      <c r="B167" s="53"/>
      <c r="C167" s="79"/>
      <c r="D167" s="79"/>
      <c r="E167" s="53"/>
      <c r="F167" s="53"/>
      <c r="G167" s="64"/>
      <c r="H167" s="64"/>
      <c r="I167" s="64"/>
      <c r="J167" s="64"/>
      <c r="K167" s="64"/>
      <c r="L167" s="53"/>
      <c r="M167" s="53"/>
      <c r="N167" s="79"/>
      <c r="O167" s="102"/>
      <c r="P167" s="79"/>
    </row>
    <row r="168" spans="1:20" s="64" customFormat="1">
      <c r="A168" s="53"/>
      <c r="B168" s="53"/>
      <c r="C168" s="79"/>
      <c r="D168" s="79"/>
      <c r="E168" s="53"/>
      <c r="F168" s="53"/>
      <c r="L168" s="53"/>
      <c r="M168" s="53"/>
      <c r="N168" s="79"/>
      <c r="O168" s="102"/>
      <c r="P168" s="79"/>
      <c r="Q168"/>
      <c r="R168"/>
      <c r="S168"/>
      <c r="T168"/>
    </row>
    <row r="169" spans="1:20" s="64" customFormat="1">
      <c r="A169" s="53"/>
      <c r="B169" s="53"/>
      <c r="C169" s="79"/>
      <c r="D169" s="79"/>
      <c r="E169" s="53"/>
      <c r="F169" s="53"/>
      <c r="L169" s="53"/>
      <c r="M169" s="79"/>
      <c r="N169" s="66"/>
      <c r="O169" s="53"/>
      <c r="P169" s="53"/>
      <c r="Q169" s="53"/>
      <c r="R169" s="53"/>
      <c r="S169" s="53"/>
    </row>
    <row r="170" spans="1:20" s="64" customFormat="1">
      <c r="A170" s="53"/>
      <c r="B170" s="53"/>
      <c r="C170" s="79"/>
      <c r="D170" s="79"/>
      <c r="E170" s="53"/>
      <c r="F170" s="53"/>
      <c r="L170" s="53"/>
      <c r="M170" s="53"/>
      <c r="N170" s="66"/>
      <c r="O170" s="53"/>
      <c r="P170" s="53"/>
      <c r="Q170" s="79"/>
      <c r="R170" s="79"/>
      <c r="S170" s="53"/>
    </row>
    <row r="171" spans="1:20" s="64" customFormat="1">
      <c r="A171" s="53"/>
      <c r="B171" s="53"/>
      <c r="C171" s="79"/>
      <c r="D171" s="79"/>
      <c r="E171" s="53"/>
      <c r="F171" s="53"/>
      <c r="L171" s="53"/>
      <c r="M171" s="53"/>
      <c r="N171" s="66"/>
      <c r="O171" s="53"/>
      <c r="P171" s="53"/>
      <c r="Q171" s="79"/>
      <c r="R171" s="79"/>
      <c r="S171" s="53"/>
    </row>
    <row r="172" spans="1:20" s="64" customFormat="1">
      <c r="A172" s="53"/>
      <c r="B172" s="53"/>
      <c r="C172" s="79"/>
      <c r="D172" s="79"/>
      <c r="E172" s="53"/>
      <c r="F172" s="53"/>
      <c r="L172" s="53"/>
      <c r="M172" s="53"/>
      <c r="N172" s="66"/>
      <c r="O172" s="53"/>
      <c r="P172" s="53"/>
      <c r="Q172" s="79"/>
      <c r="R172" s="79"/>
      <c r="S172" s="53"/>
    </row>
    <row r="173" spans="1:20" s="64" customFormat="1">
      <c r="A173" s="53"/>
      <c r="B173" s="53"/>
      <c r="C173" s="79"/>
      <c r="D173" s="79"/>
      <c r="E173" s="53"/>
      <c r="F173" s="53"/>
      <c r="L173" s="53"/>
      <c r="M173" s="53"/>
      <c r="N173" s="66"/>
      <c r="O173" s="53"/>
      <c r="P173" s="53"/>
      <c r="Q173" s="79"/>
      <c r="R173" s="79"/>
      <c r="S173" s="53"/>
    </row>
    <row r="174" spans="1:20" s="64" customFormat="1">
      <c r="A174" s="53"/>
      <c r="B174" s="53"/>
      <c r="C174" s="79"/>
      <c r="D174" s="79"/>
      <c r="E174" s="53"/>
      <c r="F174" s="53"/>
      <c r="L174" s="53"/>
      <c r="M174" s="53"/>
      <c r="N174" s="66"/>
      <c r="O174" s="53"/>
      <c r="P174" s="53"/>
      <c r="Q174" s="53"/>
      <c r="R174" s="53"/>
      <c r="S174" s="53"/>
    </row>
    <row r="175" spans="1:20" s="64" customFormat="1">
      <c r="A175" s="53"/>
      <c r="B175" s="53"/>
      <c r="C175" s="79"/>
      <c r="D175" s="79"/>
      <c r="E175" s="53"/>
      <c r="F175" s="53"/>
      <c r="L175" s="53"/>
      <c r="M175" s="53"/>
      <c r="N175" s="66"/>
      <c r="O175" s="53"/>
      <c r="P175" s="53"/>
      <c r="Q175" s="53"/>
      <c r="R175" s="53"/>
      <c r="S175" s="53"/>
    </row>
    <row r="176" spans="1:20" s="64" customFormat="1">
      <c r="A176" s="53"/>
      <c r="B176" s="53"/>
      <c r="C176" s="79"/>
      <c r="D176" s="79"/>
      <c r="E176" s="53"/>
      <c r="F176" s="53"/>
      <c r="Q176" s="53"/>
      <c r="R176" s="53"/>
      <c r="S176" s="53"/>
    </row>
    <row r="177" spans="1:19" s="64" customFormat="1">
      <c r="A177" s="53"/>
      <c r="B177" s="53"/>
      <c r="C177" s="79"/>
      <c r="D177" s="79"/>
      <c r="E177" s="53"/>
      <c r="F177" s="53"/>
      <c r="Q177" s="53"/>
      <c r="R177" s="53"/>
      <c r="S177" s="53"/>
    </row>
    <row r="178" spans="1:19" s="64" customFormat="1">
      <c r="A178" s="53"/>
      <c r="B178" s="53"/>
      <c r="C178" s="79"/>
      <c r="D178" s="79"/>
      <c r="E178" s="102"/>
      <c r="F178" s="53"/>
      <c r="Q178" s="53"/>
      <c r="R178" s="53"/>
      <c r="S178" s="53"/>
    </row>
    <row r="179" spans="1:19" s="64" customFormat="1">
      <c r="A179" s="53"/>
      <c r="B179" s="53"/>
      <c r="C179" s="79"/>
      <c r="D179" s="79"/>
      <c r="E179" s="53"/>
      <c r="F179" s="53"/>
      <c r="Q179" s="53"/>
      <c r="R179" s="53"/>
      <c r="S179" s="53"/>
    </row>
    <row r="180" spans="1:19" s="64" customFormat="1">
      <c r="A180" s="53"/>
      <c r="B180" s="53"/>
      <c r="C180" s="79"/>
      <c r="D180" s="79"/>
      <c r="E180" s="53"/>
      <c r="F180" s="53"/>
      <c r="Q180" s="53"/>
      <c r="R180" s="53"/>
      <c r="S180" s="53"/>
    </row>
    <row r="181" spans="1:19" s="64" customFormat="1">
      <c r="A181" s="53"/>
      <c r="B181" s="53"/>
      <c r="C181" s="79"/>
      <c r="D181" s="79"/>
      <c r="E181" s="53"/>
      <c r="F181" s="53"/>
    </row>
    <row r="182" spans="1:19" s="64" customFormat="1">
      <c r="A182" s="53"/>
      <c r="B182" s="53"/>
      <c r="C182" s="79"/>
      <c r="D182" s="79"/>
      <c r="E182" s="53"/>
      <c r="F182" s="53"/>
    </row>
    <row r="183" spans="1:19" s="64" customFormat="1">
      <c r="A183" s="103"/>
      <c r="B183" s="103"/>
      <c r="C183" s="104"/>
      <c r="D183" s="104"/>
      <c r="E183" s="53"/>
      <c r="F183" s="53"/>
    </row>
    <row r="184" spans="1:19" s="64" customFormat="1">
      <c r="A184" s="103"/>
      <c r="B184" s="105"/>
      <c r="C184" s="104"/>
      <c r="D184" s="104"/>
      <c r="E184" s="53"/>
      <c r="F184" s="53"/>
    </row>
    <row r="185" spans="1:19" s="64" customFormat="1">
      <c r="A185" s="103"/>
      <c r="B185" s="103"/>
      <c r="C185" s="104"/>
      <c r="D185" s="104"/>
      <c r="E185" s="53"/>
      <c r="F185" s="53"/>
    </row>
    <row r="186" spans="1:19" s="64" customFormat="1">
      <c r="A186" s="103"/>
      <c r="B186" s="105"/>
      <c r="C186" s="104"/>
      <c r="D186" s="104"/>
      <c r="E186" s="53"/>
      <c r="G186" s="53"/>
      <c r="H186" s="53"/>
      <c r="I186" s="53"/>
      <c r="J186" s="53"/>
      <c r="K186" s="53"/>
      <c r="L186" s="53"/>
    </row>
    <row r="187" spans="1:19" s="64" customFormat="1">
      <c r="A187" s="53"/>
      <c r="B187" s="53"/>
      <c r="C187" s="79"/>
      <c r="D187" s="79"/>
      <c r="E187" s="53"/>
      <c r="G187" s="53"/>
      <c r="H187" s="53"/>
      <c r="I187" s="53"/>
      <c r="J187" s="106"/>
      <c r="K187" s="106"/>
      <c r="L187" s="106"/>
    </row>
    <row r="188" spans="1:19" s="64" customFormat="1">
      <c r="A188" s="3"/>
      <c r="B188" s="102"/>
      <c r="C188" s="3"/>
      <c r="D188" s="102"/>
      <c r="E188" s="107"/>
      <c r="G188" s="53"/>
      <c r="H188" s="108"/>
      <c r="I188" s="53"/>
      <c r="J188" s="106"/>
      <c r="K188" s="106"/>
      <c r="L188" s="106"/>
    </row>
    <row r="189" spans="1:19" s="64" customFormat="1">
      <c r="A189" s="53"/>
      <c r="B189" s="53"/>
      <c r="C189" s="53"/>
      <c r="D189" s="53"/>
      <c r="E189" s="107"/>
      <c r="G189" s="53"/>
      <c r="H189" s="53"/>
      <c r="I189" s="53"/>
      <c r="J189" s="79"/>
      <c r="K189" s="79"/>
      <c r="L189" s="53"/>
    </row>
    <row r="190" spans="1:19" s="64" customFormat="1">
      <c r="A190" s="53"/>
      <c r="B190" s="53"/>
      <c r="C190" s="53"/>
      <c r="D190" s="106"/>
      <c r="E190" s="106"/>
      <c r="G190" s="53"/>
      <c r="H190" s="93"/>
      <c r="I190" s="79"/>
      <c r="J190" s="79"/>
      <c r="K190" s="79"/>
      <c r="L190" s="106"/>
    </row>
    <row r="191" spans="1:19" s="64" customFormat="1">
      <c r="A191" s="53"/>
      <c r="B191" s="53"/>
      <c r="C191" s="53"/>
      <c r="D191" s="53"/>
      <c r="E191" s="53"/>
      <c r="G191" s="53"/>
      <c r="H191" s="93"/>
      <c r="I191" s="79"/>
      <c r="J191" s="79"/>
      <c r="K191" s="79"/>
      <c r="L191" s="53"/>
    </row>
    <row r="192" spans="1:19" s="64" customFormat="1">
      <c r="A192" s="53"/>
      <c r="B192" s="53"/>
      <c r="C192" s="53"/>
      <c r="D192" s="106"/>
      <c r="E192" s="106"/>
      <c r="G192" s="53"/>
      <c r="H192" s="93"/>
      <c r="I192" s="79"/>
      <c r="J192" s="79"/>
      <c r="K192" s="79"/>
      <c r="L192" s="106"/>
    </row>
    <row r="193" spans="1:12" s="64" customFormat="1">
      <c r="A193" s="53"/>
      <c r="B193" s="53"/>
      <c r="C193" s="53"/>
      <c r="D193" s="109"/>
      <c r="E193" s="109"/>
      <c r="F193" s="53"/>
      <c r="G193" s="103"/>
      <c r="H193" s="103"/>
      <c r="I193" s="104"/>
      <c r="J193" s="104"/>
      <c r="K193" s="79"/>
      <c r="L193" s="106"/>
    </row>
    <row r="194" spans="1:12" s="64" customFormat="1">
      <c r="A194" s="53"/>
      <c r="B194" s="53"/>
      <c r="C194" s="79"/>
      <c r="D194" s="79"/>
      <c r="E194" s="79"/>
      <c r="F194" s="53"/>
      <c r="G194" s="53"/>
      <c r="H194" s="53"/>
    </row>
    <row r="195" spans="1:12" s="64" customFormat="1">
      <c r="A195" s="53"/>
      <c r="B195" s="53"/>
      <c r="C195" s="53"/>
      <c r="D195" s="79"/>
      <c r="E195" s="53"/>
      <c r="F195" s="53"/>
      <c r="G195" s="110"/>
      <c r="H195" s="53"/>
      <c r="I195" s="53"/>
      <c r="J195" s="79"/>
      <c r="K195" s="79"/>
    </row>
    <row r="196" spans="1:12" s="64" customFormat="1">
      <c r="A196" s="53"/>
      <c r="B196" s="93"/>
      <c r="C196" s="79"/>
      <c r="D196" s="79"/>
      <c r="E196" s="53"/>
      <c r="F196" s="53"/>
      <c r="G196" s="102"/>
      <c r="H196" s="93"/>
      <c r="I196" s="79"/>
      <c r="J196" s="79"/>
      <c r="K196" s="79"/>
    </row>
    <row r="197" spans="1:12" s="64" customFormat="1">
      <c r="A197" s="53"/>
      <c r="B197" s="93"/>
      <c r="C197" s="79"/>
      <c r="D197" s="79"/>
      <c r="E197" s="53"/>
      <c r="F197" s="53"/>
      <c r="G197" s="53"/>
      <c r="H197" s="93"/>
      <c r="I197" s="79"/>
      <c r="J197" s="79"/>
      <c r="K197" s="79"/>
    </row>
    <row r="198" spans="1:12" s="64" customFormat="1">
      <c r="A198" s="53"/>
      <c r="B198" s="93"/>
      <c r="C198" s="79"/>
      <c r="D198" s="79"/>
      <c r="E198" s="53"/>
      <c r="F198" s="53"/>
      <c r="G198" s="53"/>
      <c r="H198" s="93"/>
      <c r="I198" s="79"/>
      <c r="J198" s="79"/>
      <c r="K198" s="79"/>
    </row>
    <row r="199" spans="1:12" s="64" customFormat="1">
      <c r="A199" s="53"/>
      <c r="B199" s="93"/>
      <c r="C199" s="79"/>
      <c r="D199" s="79"/>
      <c r="E199" s="111"/>
      <c r="F199" s="53"/>
      <c r="G199" s="53"/>
      <c r="H199" s="93"/>
      <c r="I199" s="79"/>
      <c r="J199" s="79"/>
      <c r="K199" s="79"/>
    </row>
    <row r="200" spans="1:12" s="64" customFormat="1">
      <c r="A200" s="53"/>
      <c r="B200" s="93"/>
      <c r="C200" s="79"/>
      <c r="D200" s="79"/>
      <c r="E200" s="111"/>
      <c r="F200" s="53"/>
      <c r="G200" s="53"/>
      <c r="H200" s="93"/>
      <c r="I200" s="79"/>
      <c r="J200" s="79"/>
      <c r="K200" s="79"/>
    </row>
    <row r="201" spans="1:12" s="64" customFormat="1">
      <c r="A201" s="53"/>
      <c r="B201" s="93"/>
      <c r="C201" s="79"/>
      <c r="D201" s="79"/>
      <c r="E201" s="53"/>
      <c r="F201" s="53"/>
      <c r="G201" s="53"/>
      <c r="H201" s="93"/>
      <c r="I201" s="79"/>
      <c r="J201" s="79"/>
      <c r="K201" s="79"/>
    </row>
    <row r="202" spans="1:12" s="64" customFormat="1">
      <c r="A202" s="53"/>
      <c r="B202" s="93"/>
      <c r="C202" s="79"/>
      <c r="D202" s="79"/>
      <c r="E202" s="53"/>
      <c r="F202" s="53"/>
      <c r="G202" s="53"/>
      <c r="H202" s="93"/>
      <c r="I202" s="79"/>
      <c r="J202" s="79"/>
      <c r="K202" s="79"/>
    </row>
    <row r="203" spans="1:12" s="64" customFormat="1">
      <c r="A203" s="103"/>
      <c r="B203" s="103"/>
      <c r="C203" s="104"/>
      <c r="D203" s="104"/>
      <c r="E203" s="53"/>
      <c r="F203" s="53"/>
      <c r="G203" s="103"/>
      <c r="H203" s="103"/>
      <c r="I203" s="104"/>
      <c r="J203" s="104"/>
      <c r="K203" s="104"/>
    </row>
    <row r="204" spans="1:12" s="64" customFormat="1">
      <c r="A204" s="53"/>
      <c r="B204" s="53"/>
      <c r="C204" s="79"/>
      <c r="D204" s="79"/>
      <c r="E204" s="53"/>
      <c r="F204" s="53"/>
    </row>
    <row r="205" spans="1:12" s="64" customFormat="1">
      <c r="A205" s="53"/>
      <c r="B205" s="53"/>
      <c r="C205" s="79"/>
      <c r="D205" s="104"/>
      <c r="E205" s="53"/>
      <c r="F205" s="53"/>
    </row>
    <row r="206" spans="1:12" s="64" customFormat="1">
      <c r="A206" s="53"/>
      <c r="B206" s="53"/>
      <c r="C206" s="79"/>
      <c r="D206" s="79"/>
      <c r="E206" s="53"/>
      <c r="F206" s="53"/>
    </row>
    <row r="207" spans="1:12" s="64" customFormat="1">
      <c r="A207" s="53"/>
      <c r="B207" s="53"/>
      <c r="C207" s="79"/>
      <c r="D207" s="79"/>
      <c r="E207" s="53"/>
      <c r="F207" s="53"/>
    </row>
    <row r="208" spans="1:12" s="64" customFormat="1">
      <c r="A208" s="53"/>
      <c r="B208" s="112"/>
      <c r="C208" s="79"/>
      <c r="D208" s="79"/>
      <c r="E208" s="53"/>
      <c r="F208" s="53"/>
    </row>
    <row r="209" spans="1:18" s="64" customFormat="1">
      <c r="A209" s="53"/>
      <c r="B209" s="112"/>
      <c r="C209" s="79"/>
      <c r="D209" s="79"/>
      <c r="E209" s="53"/>
      <c r="F209" s="53"/>
    </row>
    <row r="210" spans="1:18" s="64" customFormat="1">
      <c r="A210" s="53"/>
      <c r="B210" s="113"/>
      <c r="C210" s="79"/>
      <c r="D210" s="79"/>
      <c r="E210" s="53"/>
      <c r="F210" s="53"/>
    </row>
    <row r="211" spans="1:18" s="64" customFormat="1">
      <c r="A211" s="53"/>
      <c r="B211" s="113"/>
      <c r="C211" s="79"/>
      <c r="D211" s="79"/>
      <c r="E211" s="53"/>
      <c r="F211" s="53"/>
    </row>
    <row r="212" spans="1:18" s="64" customFormat="1">
      <c r="A212" s="53"/>
      <c r="B212" s="113"/>
      <c r="C212" s="79"/>
      <c r="D212" s="79"/>
      <c r="E212" s="53"/>
      <c r="F212" s="53"/>
    </row>
    <row r="213" spans="1:18" s="64" customFormat="1">
      <c r="A213" s="53"/>
      <c r="B213" s="113"/>
      <c r="C213" s="79"/>
      <c r="D213" s="79"/>
      <c r="E213" s="53"/>
      <c r="F213" s="53"/>
    </row>
    <row r="214" spans="1:18" s="64" customFormat="1">
      <c r="A214" s="53"/>
      <c r="B214" s="112"/>
      <c r="C214" s="79"/>
      <c r="D214" s="79"/>
      <c r="E214" s="53"/>
      <c r="F214" s="53"/>
    </row>
    <row r="215" spans="1:18" s="64" customFormat="1">
      <c r="A215" s="53"/>
      <c r="B215" s="113"/>
      <c r="C215" s="79"/>
      <c r="D215" s="66"/>
      <c r="E215" s="53"/>
      <c r="F215" s="53"/>
      <c r="N215" s="53"/>
    </row>
    <row r="216" spans="1:18" s="64" customFormat="1">
      <c r="A216" s="53"/>
      <c r="B216" s="113"/>
      <c r="C216" s="79"/>
      <c r="D216" s="79"/>
      <c r="E216" s="53"/>
      <c r="F216" s="53"/>
      <c r="G216" s="53"/>
      <c r="I216" s="114"/>
      <c r="N216" s="53"/>
    </row>
    <row r="217" spans="1:18" s="64" customFormat="1">
      <c r="A217" s="53"/>
      <c r="B217" s="53"/>
      <c r="C217" s="79"/>
      <c r="D217" s="79"/>
      <c r="E217" s="79"/>
      <c r="F217" s="79"/>
      <c r="N217" s="53"/>
    </row>
    <row r="218" spans="1:18" s="64" customFormat="1">
      <c r="A218" s="53"/>
      <c r="B218" s="53"/>
      <c r="C218" s="79"/>
      <c r="D218" s="79"/>
      <c r="F218" s="108"/>
      <c r="N218" s="53"/>
    </row>
    <row r="219" spans="1:18" s="64" customFormat="1">
      <c r="D219" s="79"/>
      <c r="L219" s="53"/>
      <c r="M219" s="53"/>
      <c r="N219" s="53"/>
      <c r="O219" s="53"/>
      <c r="P219" s="53"/>
    </row>
    <row r="220" spans="1:18" s="64" customFormat="1">
      <c r="L220" s="53"/>
      <c r="M220" s="53"/>
      <c r="N220" s="53"/>
      <c r="O220" s="53"/>
      <c r="P220" s="53"/>
    </row>
    <row r="221" spans="1:18" s="64" customFormat="1">
      <c r="L221" s="53"/>
      <c r="M221" s="53"/>
      <c r="N221" s="53"/>
      <c r="O221" s="53"/>
      <c r="P221" s="53"/>
    </row>
    <row r="222" spans="1:18" s="64" customFormat="1">
      <c r="A222" s="53"/>
      <c r="B222" s="53"/>
      <c r="C222" s="53"/>
      <c r="D222" s="53"/>
      <c r="L222" s="53"/>
      <c r="M222" s="53"/>
      <c r="N222" s="53"/>
      <c r="O222" s="53"/>
      <c r="P222" s="53"/>
    </row>
    <row r="223" spans="1:18" s="64" customFormat="1">
      <c r="A223" s="53"/>
      <c r="B223" s="53"/>
      <c r="C223" s="53"/>
      <c r="D223" s="53"/>
      <c r="E223" s="53"/>
      <c r="F223" s="53"/>
      <c r="L223" s="53"/>
      <c r="M223" s="53"/>
      <c r="N223" s="53"/>
      <c r="O223" s="53"/>
      <c r="P223" s="79"/>
    </row>
    <row r="224" spans="1:18" s="64" customFormat="1">
      <c r="A224" s="53"/>
      <c r="B224" s="101"/>
      <c r="C224" s="79"/>
      <c r="D224" s="79"/>
      <c r="E224" s="102"/>
      <c r="F224" s="53"/>
      <c r="L224" s="53"/>
      <c r="M224" s="53"/>
      <c r="N224" s="79"/>
      <c r="O224" s="79"/>
      <c r="P224" s="79"/>
      <c r="Q224" s="53"/>
      <c r="R224" s="53"/>
    </row>
    <row r="225" spans="1:19" s="64" customFormat="1">
      <c r="A225" s="53"/>
      <c r="B225" s="53"/>
      <c r="C225" s="79"/>
      <c r="D225" s="79"/>
      <c r="E225" s="53"/>
      <c r="F225" s="53"/>
      <c r="L225" s="53"/>
      <c r="M225" s="53"/>
      <c r="N225" s="79"/>
      <c r="O225" s="102"/>
      <c r="P225" s="79"/>
      <c r="Q225" s="53"/>
      <c r="R225" s="53"/>
    </row>
    <row r="226" spans="1:19" s="64" customFormat="1">
      <c r="A226" s="53"/>
      <c r="B226" s="53"/>
      <c r="C226" s="79"/>
      <c r="D226" s="79"/>
      <c r="E226" s="53"/>
      <c r="F226" s="53"/>
      <c r="L226" s="53"/>
      <c r="M226" s="53"/>
      <c r="N226" s="79"/>
      <c r="O226" s="102"/>
      <c r="P226" s="79"/>
      <c r="Q226" s="53"/>
      <c r="R226" s="53"/>
    </row>
    <row r="227" spans="1:19" s="64" customFormat="1">
      <c r="A227" s="53"/>
      <c r="B227" s="53"/>
      <c r="C227" s="79"/>
      <c r="D227" s="79"/>
      <c r="E227" s="53"/>
      <c r="F227" s="53"/>
      <c r="L227" s="53"/>
      <c r="M227" s="79"/>
      <c r="N227" s="66"/>
      <c r="O227" s="53"/>
      <c r="P227" s="53"/>
      <c r="Q227" s="53"/>
      <c r="R227" s="53"/>
      <c r="S227" s="53"/>
    </row>
    <row r="228" spans="1:19" s="64" customFormat="1">
      <c r="A228" s="53"/>
      <c r="B228" s="53"/>
      <c r="C228" s="79"/>
      <c r="D228" s="79"/>
      <c r="E228" s="53"/>
      <c r="F228" s="53"/>
      <c r="L228" s="53"/>
      <c r="M228" s="53"/>
      <c r="N228" s="66"/>
      <c r="O228" s="53"/>
      <c r="P228" s="53"/>
      <c r="Q228" s="79"/>
      <c r="R228" s="79"/>
      <c r="S228" s="53"/>
    </row>
    <row r="229" spans="1:19" s="64" customFormat="1">
      <c r="A229" s="53"/>
      <c r="B229" s="53"/>
      <c r="C229" s="79"/>
      <c r="D229" s="79"/>
      <c r="E229" s="53"/>
      <c r="F229" s="53"/>
      <c r="L229" s="53"/>
      <c r="M229" s="53"/>
      <c r="N229" s="66"/>
      <c r="O229" s="53"/>
      <c r="P229" s="53"/>
      <c r="Q229" s="79"/>
      <c r="R229" s="79"/>
      <c r="S229" s="53"/>
    </row>
    <row r="230" spans="1:19" s="64" customFormat="1">
      <c r="A230" s="53"/>
      <c r="B230" s="53"/>
      <c r="C230" s="79"/>
      <c r="D230" s="79"/>
      <c r="E230" s="53"/>
      <c r="F230" s="53"/>
      <c r="L230" s="53"/>
      <c r="M230" s="53"/>
      <c r="N230" s="66"/>
      <c r="O230" s="53"/>
      <c r="P230" s="53"/>
      <c r="Q230" s="79"/>
      <c r="R230" s="79"/>
      <c r="S230" s="53"/>
    </row>
    <row r="231" spans="1:19" s="64" customFormat="1">
      <c r="A231" s="53"/>
      <c r="B231" s="53"/>
      <c r="C231" s="79"/>
      <c r="D231" s="79"/>
      <c r="E231" s="53"/>
      <c r="F231" s="53"/>
      <c r="L231" s="53"/>
      <c r="M231" s="53"/>
      <c r="N231" s="66"/>
      <c r="O231" s="53"/>
      <c r="P231" s="53"/>
      <c r="Q231" s="79"/>
      <c r="R231" s="79"/>
      <c r="S231" s="53"/>
    </row>
    <row r="232" spans="1:19" s="64" customFormat="1">
      <c r="A232" s="53"/>
      <c r="B232" s="53"/>
      <c r="C232" s="79"/>
      <c r="D232" s="79"/>
      <c r="E232" s="53"/>
      <c r="F232" s="53"/>
      <c r="L232" s="53"/>
      <c r="M232" s="53"/>
      <c r="N232" s="66"/>
      <c r="O232" s="53"/>
      <c r="P232" s="53"/>
      <c r="Q232" s="53"/>
      <c r="R232" s="53"/>
      <c r="S232" s="53"/>
    </row>
    <row r="233" spans="1:19" s="64" customFormat="1">
      <c r="A233" s="53"/>
      <c r="B233" s="53"/>
      <c r="C233" s="79"/>
      <c r="D233" s="79"/>
      <c r="E233" s="53"/>
      <c r="F233" s="53"/>
      <c r="L233" s="53"/>
      <c r="M233" s="53"/>
      <c r="N233" s="66"/>
      <c r="O233" s="53"/>
      <c r="P233" s="53"/>
      <c r="Q233" s="53"/>
      <c r="R233" s="53"/>
      <c r="S233" s="53"/>
    </row>
    <row r="234" spans="1:19" s="64" customFormat="1">
      <c r="A234" s="53"/>
      <c r="B234" s="53"/>
      <c r="C234" s="79"/>
      <c r="D234" s="79"/>
      <c r="E234" s="53"/>
      <c r="F234" s="53"/>
      <c r="Q234" s="53"/>
      <c r="R234" s="53"/>
      <c r="S234" s="53"/>
    </row>
    <row r="235" spans="1:19" s="64" customFormat="1">
      <c r="A235" s="53"/>
      <c r="B235" s="53"/>
      <c r="C235" s="79"/>
      <c r="D235" s="79"/>
      <c r="E235" s="53"/>
      <c r="F235" s="53"/>
      <c r="Q235" s="53"/>
      <c r="R235" s="53"/>
      <c r="S235" s="53"/>
    </row>
    <row r="236" spans="1:19" s="64" customFormat="1">
      <c r="A236" s="53"/>
      <c r="B236" s="53"/>
      <c r="C236" s="79"/>
      <c r="D236" s="79"/>
      <c r="E236" s="102"/>
      <c r="F236" s="53"/>
      <c r="Q236" s="53"/>
      <c r="R236" s="53"/>
      <c r="S236" s="53"/>
    </row>
    <row r="237" spans="1:19" s="64" customFormat="1">
      <c r="A237" s="53"/>
      <c r="B237" s="53"/>
      <c r="C237" s="79"/>
      <c r="D237" s="79"/>
      <c r="E237" s="53"/>
      <c r="F237" s="53"/>
      <c r="Q237" s="53"/>
      <c r="R237" s="53"/>
      <c r="S237" s="53"/>
    </row>
    <row r="238" spans="1:19" s="64" customFormat="1">
      <c r="A238" s="53"/>
      <c r="B238" s="53"/>
      <c r="C238" s="79"/>
      <c r="D238" s="79"/>
      <c r="E238" s="53"/>
      <c r="F238" s="53"/>
      <c r="Q238" s="53"/>
      <c r="R238" s="53"/>
      <c r="S238" s="53"/>
    </row>
    <row r="239" spans="1:19" s="64" customFormat="1">
      <c r="A239" s="53"/>
      <c r="B239" s="53"/>
      <c r="C239" s="79"/>
      <c r="D239" s="79"/>
      <c r="E239" s="53"/>
      <c r="F239" s="53"/>
    </row>
    <row r="240" spans="1:19" s="64" customFormat="1">
      <c r="A240" s="53"/>
      <c r="B240" s="53"/>
      <c r="C240" s="79"/>
      <c r="D240" s="79"/>
      <c r="E240" s="53"/>
      <c r="F240" s="53"/>
    </row>
    <row r="241" spans="1:12" s="64" customFormat="1">
      <c r="A241" s="103"/>
      <c r="B241" s="103"/>
      <c r="C241" s="104"/>
      <c r="D241" s="104"/>
      <c r="E241" s="53"/>
      <c r="F241" s="53"/>
    </row>
    <row r="242" spans="1:12" s="64" customFormat="1">
      <c r="A242" s="103"/>
      <c r="B242" s="105"/>
      <c r="C242" s="104"/>
      <c r="D242" s="104"/>
      <c r="E242" s="53"/>
      <c r="F242" s="53"/>
    </row>
    <row r="243" spans="1:12" s="64" customFormat="1">
      <c r="A243" s="103"/>
      <c r="B243" s="103"/>
      <c r="C243" s="104"/>
      <c r="D243" s="104"/>
      <c r="E243" s="53"/>
      <c r="F243" s="53"/>
    </row>
    <row r="244" spans="1:12" s="64" customFormat="1">
      <c r="A244" s="103"/>
      <c r="B244" s="105"/>
      <c r="C244" s="104"/>
      <c r="D244" s="104"/>
      <c r="E244" s="53"/>
      <c r="G244" s="53"/>
      <c r="H244" s="53"/>
      <c r="I244" s="53"/>
      <c r="J244" s="53"/>
      <c r="K244" s="53"/>
      <c r="L244" s="53"/>
    </row>
    <row r="245" spans="1:12" s="64" customFormat="1">
      <c r="A245" s="53"/>
      <c r="B245" s="53"/>
      <c r="C245" s="79"/>
      <c r="D245" s="79"/>
      <c r="E245" s="53"/>
      <c r="G245" s="53"/>
      <c r="H245" s="53"/>
      <c r="I245" s="53"/>
      <c r="J245" s="106"/>
      <c r="K245" s="106"/>
      <c r="L245" s="106"/>
    </row>
    <row r="246" spans="1:12" s="64" customFormat="1">
      <c r="A246" s="3"/>
      <c r="B246" s="102"/>
      <c r="C246" s="3"/>
      <c r="D246" s="102"/>
      <c r="E246" s="107"/>
      <c r="G246" s="53"/>
      <c r="H246" s="108"/>
      <c r="I246" s="53"/>
      <c r="J246" s="106"/>
      <c r="K246" s="106"/>
      <c r="L246" s="106"/>
    </row>
    <row r="247" spans="1:12" s="64" customFormat="1">
      <c r="A247" s="53"/>
      <c r="B247" s="53"/>
      <c r="C247" s="53"/>
      <c r="D247" s="53"/>
      <c r="E247" s="107"/>
      <c r="G247" s="53"/>
      <c r="H247" s="53"/>
      <c r="I247" s="53"/>
      <c r="J247" s="79"/>
      <c r="K247" s="79"/>
      <c r="L247" s="53"/>
    </row>
    <row r="248" spans="1:12" s="64" customFormat="1">
      <c r="A248" s="53"/>
      <c r="B248" s="53"/>
      <c r="C248" s="53"/>
      <c r="D248" s="106"/>
      <c r="E248" s="106"/>
      <c r="G248" s="53"/>
      <c r="H248" s="93"/>
      <c r="I248" s="79"/>
      <c r="J248" s="79"/>
      <c r="K248" s="79"/>
      <c r="L248" s="106"/>
    </row>
    <row r="249" spans="1:12" s="64" customFormat="1">
      <c r="A249" s="53"/>
      <c r="B249" s="53"/>
      <c r="C249" s="53"/>
      <c r="D249" s="53"/>
      <c r="E249" s="53"/>
      <c r="G249" s="53"/>
      <c r="H249" s="93"/>
      <c r="I249" s="79"/>
      <c r="J249" s="79"/>
      <c r="K249" s="79"/>
      <c r="L249" s="53"/>
    </row>
    <row r="250" spans="1:12" s="64" customFormat="1">
      <c r="A250" s="53"/>
      <c r="B250" s="53"/>
      <c r="C250" s="53"/>
      <c r="D250" s="106"/>
      <c r="E250" s="106"/>
      <c r="G250" s="53"/>
      <c r="H250" s="93"/>
      <c r="I250" s="79"/>
      <c r="J250" s="79"/>
      <c r="K250" s="79"/>
      <c r="L250" s="106"/>
    </row>
    <row r="251" spans="1:12" s="64" customFormat="1">
      <c r="A251" s="53"/>
      <c r="B251" s="53"/>
      <c r="C251" s="53"/>
      <c r="D251" s="109"/>
      <c r="E251" s="109"/>
      <c r="F251" s="53"/>
      <c r="G251" s="103"/>
      <c r="H251" s="103"/>
      <c r="I251" s="104"/>
      <c r="J251" s="104"/>
      <c r="K251" s="79"/>
      <c r="L251" s="106"/>
    </row>
    <row r="252" spans="1:12" s="64" customFormat="1">
      <c r="A252" s="53"/>
      <c r="B252" s="53"/>
      <c r="C252" s="79"/>
      <c r="D252" s="79"/>
      <c r="E252" s="79"/>
      <c r="F252" s="53"/>
      <c r="G252" s="53"/>
      <c r="H252" s="53"/>
    </row>
    <row r="253" spans="1:12" s="64" customFormat="1">
      <c r="A253" s="53"/>
      <c r="B253" s="53"/>
      <c r="C253" s="53"/>
      <c r="D253" s="79"/>
      <c r="E253" s="53"/>
      <c r="F253" s="53"/>
      <c r="G253" s="110"/>
      <c r="H253" s="53"/>
      <c r="I253" s="53"/>
      <c r="J253" s="79"/>
      <c r="K253" s="79"/>
    </row>
    <row r="254" spans="1:12" s="64" customFormat="1">
      <c r="A254" s="53"/>
      <c r="B254" s="93"/>
      <c r="C254" s="79"/>
      <c r="D254" s="79"/>
      <c r="E254" s="53"/>
      <c r="F254" s="53"/>
      <c r="G254" s="102"/>
      <c r="H254" s="93"/>
      <c r="I254" s="79"/>
      <c r="J254" s="79"/>
      <c r="K254" s="79"/>
    </row>
    <row r="255" spans="1:12" s="64" customFormat="1">
      <c r="A255" s="53"/>
      <c r="B255" s="93"/>
      <c r="C255" s="79"/>
      <c r="D255" s="79"/>
      <c r="E255" s="53"/>
      <c r="F255" s="53"/>
      <c r="G255" s="53"/>
      <c r="H255" s="93"/>
      <c r="I255" s="79"/>
      <c r="J255" s="79"/>
      <c r="K255" s="79"/>
    </row>
    <row r="256" spans="1:12" s="64" customFormat="1">
      <c r="A256" s="53"/>
      <c r="B256" s="93"/>
      <c r="C256" s="79"/>
      <c r="D256" s="79"/>
      <c r="E256" s="53"/>
      <c r="F256" s="53"/>
      <c r="G256" s="53"/>
      <c r="H256" s="93"/>
      <c r="I256" s="79"/>
      <c r="J256" s="79"/>
      <c r="K256" s="79"/>
    </row>
    <row r="257" spans="1:11" s="64" customFormat="1">
      <c r="A257" s="53"/>
      <c r="B257" s="93"/>
      <c r="C257" s="79"/>
      <c r="D257" s="79"/>
      <c r="E257" s="111"/>
      <c r="F257" s="53"/>
      <c r="G257" s="53"/>
      <c r="H257" s="93"/>
      <c r="I257" s="79"/>
      <c r="J257" s="79"/>
      <c r="K257" s="79"/>
    </row>
    <row r="258" spans="1:11" s="64" customFormat="1">
      <c r="A258" s="53"/>
      <c r="B258" s="93"/>
      <c r="C258" s="79"/>
      <c r="D258" s="79"/>
      <c r="E258" s="111"/>
      <c r="F258" s="53"/>
      <c r="G258" s="53"/>
      <c r="H258" s="93"/>
      <c r="I258" s="79"/>
      <c r="J258" s="79"/>
      <c r="K258" s="79"/>
    </row>
    <row r="259" spans="1:11" s="64" customFormat="1">
      <c r="A259" s="53"/>
      <c r="B259" s="93"/>
      <c r="C259" s="79"/>
      <c r="D259" s="79"/>
      <c r="E259" s="53"/>
      <c r="F259" s="53"/>
      <c r="G259" s="53"/>
      <c r="H259" s="93"/>
      <c r="I259" s="79"/>
      <c r="J259" s="79"/>
      <c r="K259" s="79"/>
    </row>
    <row r="260" spans="1:11" s="64" customFormat="1">
      <c r="A260" s="53"/>
      <c r="B260" s="93"/>
      <c r="C260" s="79"/>
      <c r="D260" s="79"/>
      <c r="E260" s="53"/>
      <c r="F260" s="53"/>
      <c r="G260" s="53"/>
      <c r="H260" s="93"/>
      <c r="I260" s="79"/>
      <c r="J260" s="79"/>
      <c r="K260" s="79"/>
    </row>
    <row r="261" spans="1:11" s="64" customFormat="1">
      <c r="A261" s="103"/>
      <c r="B261" s="103"/>
      <c r="C261" s="104"/>
      <c r="D261" s="104"/>
      <c r="E261" s="53"/>
      <c r="F261" s="53"/>
      <c r="G261" s="103"/>
      <c r="H261" s="103"/>
      <c r="I261" s="104"/>
      <c r="J261" s="104"/>
      <c r="K261" s="104"/>
    </row>
    <row r="262" spans="1:11" s="64" customFormat="1">
      <c r="A262" s="53"/>
      <c r="B262" s="53"/>
      <c r="C262" s="79"/>
      <c r="D262" s="79"/>
      <c r="E262" s="53"/>
      <c r="F262" s="53"/>
    </row>
    <row r="263" spans="1:11" s="64" customFormat="1">
      <c r="A263" s="53"/>
      <c r="B263" s="53"/>
      <c r="C263" s="79"/>
      <c r="D263" s="104"/>
      <c r="E263" s="53"/>
      <c r="F263" s="53"/>
    </row>
    <row r="264" spans="1:11" s="64" customFormat="1">
      <c r="A264" s="53"/>
      <c r="B264" s="53"/>
      <c r="C264" s="79"/>
      <c r="D264" s="79"/>
      <c r="E264" s="53"/>
      <c r="F264" s="53"/>
    </row>
    <row r="265" spans="1:11" s="64" customFormat="1">
      <c r="A265" s="53"/>
      <c r="B265" s="53"/>
      <c r="C265" s="79"/>
      <c r="D265" s="79"/>
      <c r="E265" s="53"/>
      <c r="F265" s="53"/>
    </row>
    <row r="266" spans="1:11" s="64" customFormat="1">
      <c r="A266" s="53"/>
      <c r="B266" s="112"/>
      <c r="C266" s="79"/>
      <c r="D266" s="79"/>
      <c r="E266" s="53"/>
      <c r="F266" s="53"/>
    </row>
    <row r="267" spans="1:11" s="64" customFormat="1">
      <c r="A267" s="53"/>
      <c r="B267" s="112"/>
      <c r="C267" s="79"/>
      <c r="D267" s="79"/>
      <c r="E267" s="53"/>
      <c r="F267" s="53"/>
    </row>
    <row r="268" spans="1:11" s="64" customFormat="1">
      <c r="A268" s="53"/>
      <c r="B268" s="113"/>
      <c r="C268" s="79"/>
      <c r="D268" s="79"/>
      <c r="E268" s="53"/>
      <c r="F268" s="53"/>
    </row>
    <row r="269" spans="1:11" s="64" customFormat="1">
      <c r="A269" s="53"/>
      <c r="B269" s="113"/>
      <c r="C269" s="79"/>
      <c r="D269" s="79"/>
      <c r="E269" s="53"/>
      <c r="F269" s="53"/>
    </row>
    <row r="270" spans="1:11" s="64" customFormat="1">
      <c r="A270" s="53"/>
      <c r="B270" s="113"/>
      <c r="C270" s="79"/>
      <c r="D270" s="79"/>
      <c r="E270" s="53"/>
      <c r="F270" s="53"/>
    </row>
    <row r="271" spans="1:11" s="64" customFormat="1">
      <c r="A271" s="53"/>
      <c r="B271" s="113"/>
      <c r="C271" s="79"/>
      <c r="D271" s="79"/>
      <c r="E271" s="53"/>
      <c r="F271" s="53"/>
    </row>
    <row r="272" spans="1:11" s="64" customFormat="1">
      <c r="A272" s="53"/>
      <c r="B272" s="112"/>
      <c r="C272" s="79"/>
      <c r="D272" s="79"/>
      <c r="E272" s="53"/>
      <c r="F272" s="53"/>
    </row>
    <row r="273" spans="1:19" s="64" customFormat="1">
      <c r="A273" s="53"/>
      <c r="B273" s="112"/>
      <c r="C273" s="79"/>
      <c r="D273" s="79"/>
      <c r="E273" s="53"/>
      <c r="F273" s="53"/>
    </row>
    <row r="274" spans="1:19" s="64" customFormat="1">
      <c r="A274" s="53"/>
      <c r="B274" s="112"/>
      <c r="C274" s="79"/>
      <c r="D274" s="66"/>
      <c r="E274" s="53"/>
      <c r="F274" s="53"/>
      <c r="N274" s="53"/>
    </row>
    <row r="275" spans="1:19" s="64" customFormat="1">
      <c r="A275" s="53"/>
      <c r="B275" s="113"/>
      <c r="C275" s="79"/>
      <c r="D275" s="79"/>
      <c r="E275" s="53"/>
      <c r="F275" s="53"/>
      <c r="G275" s="53"/>
      <c r="I275" s="114"/>
      <c r="N275" s="53"/>
    </row>
    <row r="276" spans="1:19" s="64" customFormat="1">
      <c r="A276" s="53"/>
      <c r="B276" s="53"/>
      <c r="C276" s="79"/>
      <c r="D276" s="79"/>
      <c r="E276" s="79"/>
      <c r="F276" s="79"/>
      <c r="N276" s="53"/>
    </row>
    <row r="277" spans="1:19" s="64" customFormat="1">
      <c r="A277" s="53"/>
      <c r="B277" s="53"/>
      <c r="C277" s="79"/>
      <c r="D277" s="79"/>
      <c r="F277" s="108"/>
      <c r="N277" s="53"/>
    </row>
    <row r="278" spans="1:19" s="64" customFormat="1">
      <c r="D278" s="79"/>
    </row>
    <row r="279" spans="1:19" s="64" customFormat="1">
      <c r="A279" s="115"/>
    </row>
    <row r="280" spans="1:19" s="64" customFormat="1"/>
    <row r="281" spans="1:19" s="64" customFormat="1">
      <c r="A281" s="53"/>
      <c r="B281" s="53"/>
      <c r="C281" s="53"/>
      <c r="D281" s="53"/>
      <c r="L281" s="53"/>
      <c r="M281" s="53"/>
      <c r="N281" s="53"/>
      <c r="O281" s="53"/>
      <c r="P281" s="53"/>
    </row>
    <row r="282" spans="1:19" s="64" customFormat="1">
      <c r="A282" s="53"/>
      <c r="B282" s="53"/>
      <c r="C282" s="53"/>
      <c r="D282" s="53"/>
      <c r="E282" s="53"/>
      <c r="F282" s="53"/>
      <c r="L282" s="53"/>
      <c r="M282" s="53"/>
      <c r="N282" s="53"/>
      <c r="O282" s="53"/>
      <c r="P282" s="79"/>
    </row>
    <row r="283" spans="1:19" s="64" customFormat="1">
      <c r="A283" s="53"/>
      <c r="B283" s="101"/>
      <c r="C283" s="79"/>
      <c r="D283" s="79"/>
      <c r="E283" s="102"/>
      <c r="F283" s="53"/>
      <c r="L283" s="53"/>
      <c r="M283" s="53"/>
      <c r="N283" s="79"/>
      <c r="O283" s="79"/>
      <c r="P283" s="79"/>
    </row>
    <row r="284" spans="1:19" s="64" customFormat="1">
      <c r="A284" s="53"/>
      <c r="B284" s="53"/>
      <c r="C284" s="79"/>
      <c r="D284" s="79"/>
      <c r="E284" s="53"/>
      <c r="F284" s="53"/>
      <c r="L284" s="53"/>
      <c r="M284" s="53"/>
      <c r="N284" s="79"/>
      <c r="O284" s="102"/>
      <c r="P284" s="79"/>
    </row>
    <row r="285" spans="1:19" s="64" customFormat="1">
      <c r="A285" s="53"/>
      <c r="B285" s="53"/>
      <c r="C285" s="79"/>
      <c r="D285" s="79"/>
      <c r="E285" s="53"/>
      <c r="F285" s="53"/>
      <c r="L285" s="53"/>
      <c r="M285" s="53"/>
      <c r="N285" s="79"/>
      <c r="O285" s="102"/>
      <c r="P285" s="79"/>
    </row>
    <row r="286" spans="1:19" s="64" customFormat="1">
      <c r="A286" s="53"/>
      <c r="B286" s="53"/>
      <c r="C286" s="79"/>
      <c r="D286" s="79"/>
      <c r="E286" s="53"/>
      <c r="F286" s="53"/>
      <c r="L286" s="53"/>
      <c r="M286" s="79"/>
      <c r="N286" s="66"/>
      <c r="O286" s="53"/>
      <c r="P286" s="53"/>
      <c r="Q286" s="53"/>
      <c r="R286" s="53"/>
      <c r="S286" s="53"/>
    </row>
    <row r="287" spans="1:19" s="64" customFormat="1">
      <c r="A287" s="53"/>
      <c r="B287" s="53"/>
      <c r="C287" s="79"/>
      <c r="D287" s="79"/>
      <c r="E287" s="53"/>
      <c r="F287" s="53"/>
      <c r="L287" s="53"/>
      <c r="M287" s="53"/>
      <c r="N287" s="66"/>
      <c r="O287" s="53"/>
      <c r="P287" s="53"/>
      <c r="Q287" s="79"/>
      <c r="R287" s="79"/>
      <c r="S287" s="53"/>
    </row>
    <row r="288" spans="1:19" s="64" customFormat="1">
      <c r="A288" s="53"/>
      <c r="B288" s="53"/>
      <c r="C288" s="79"/>
      <c r="D288" s="79"/>
      <c r="E288" s="53"/>
      <c r="F288" s="53"/>
      <c r="L288" s="53"/>
      <c r="M288" s="53"/>
      <c r="N288" s="66"/>
      <c r="O288" s="53"/>
      <c r="P288" s="53"/>
      <c r="Q288" s="79"/>
      <c r="R288" s="79"/>
      <c r="S288" s="53"/>
    </row>
    <row r="289" spans="1:19" s="64" customFormat="1">
      <c r="A289" s="53"/>
      <c r="B289" s="53"/>
      <c r="C289" s="79"/>
      <c r="D289" s="79"/>
      <c r="E289" s="53"/>
      <c r="F289" s="53"/>
      <c r="L289" s="53"/>
      <c r="M289" s="53"/>
      <c r="N289" s="66"/>
      <c r="O289" s="53"/>
      <c r="P289" s="53"/>
      <c r="Q289" s="79"/>
      <c r="R289" s="79"/>
      <c r="S289" s="53"/>
    </row>
    <row r="290" spans="1:19" s="64" customFormat="1">
      <c r="A290" s="53"/>
      <c r="B290" s="53"/>
      <c r="C290" s="79"/>
      <c r="D290" s="79"/>
      <c r="E290" s="53"/>
      <c r="F290" s="53"/>
      <c r="L290" s="53"/>
      <c r="M290" s="53"/>
      <c r="N290" s="66"/>
      <c r="O290" s="53"/>
      <c r="P290" s="53"/>
      <c r="Q290" s="79"/>
      <c r="R290" s="79"/>
      <c r="S290" s="53"/>
    </row>
    <row r="291" spans="1:19" s="64" customFormat="1">
      <c r="A291" s="53"/>
      <c r="B291" s="53"/>
      <c r="C291" s="79"/>
      <c r="D291" s="79"/>
      <c r="E291" s="53"/>
      <c r="F291" s="53"/>
      <c r="L291" s="53"/>
      <c r="M291" s="53"/>
      <c r="N291" s="66"/>
      <c r="O291" s="53"/>
      <c r="P291" s="53"/>
      <c r="Q291" s="53"/>
      <c r="R291" s="53"/>
      <c r="S291" s="53"/>
    </row>
    <row r="292" spans="1:19" s="64" customFormat="1">
      <c r="A292" s="53"/>
      <c r="B292" s="53"/>
      <c r="C292" s="79"/>
      <c r="D292" s="79"/>
      <c r="E292" s="53"/>
      <c r="F292" s="53"/>
      <c r="L292" s="53"/>
      <c r="M292" s="53"/>
      <c r="N292" s="66"/>
      <c r="O292" s="53"/>
      <c r="P292" s="53"/>
      <c r="Q292" s="53"/>
      <c r="R292" s="53"/>
      <c r="S292" s="53"/>
    </row>
    <row r="293" spans="1:19" s="64" customFormat="1">
      <c r="A293" s="53"/>
      <c r="B293" s="53"/>
      <c r="C293" s="79"/>
      <c r="D293" s="79"/>
      <c r="E293" s="53"/>
      <c r="F293" s="53"/>
      <c r="Q293" s="53"/>
      <c r="R293" s="53"/>
      <c r="S293" s="53"/>
    </row>
    <row r="294" spans="1:19" s="64" customFormat="1">
      <c r="A294" s="53"/>
      <c r="B294" s="53"/>
      <c r="C294" s="79"/>
      <c r="D294" s="79"/>
      <c r="E294" s="53"/>
      <c r="F294" s="53"/>
      <c r="Q294" s="53"/>
      <c r="R294" s="53"/>
      <c r="S294" s="53"/>
    </row>
    <row r="295" spans="1:19" s="64" customFormat="1">
      <c r="A295" s="53"/>
      <c r="B295" s="53"/>
      <c r="C295" s="79"/>
      <c r="D295" s="79"/>
      <c r="E295" s="102"/>
      <c r="F295" s="53"/>
      <c r="Q295" s="53"/>
      <c r="R295" s="53"/>
      <c r="S295" s="53"/>
    </row>
    <row r="296" spans="1:19" s="64" customFormat="1">
      <c r="A296" s="53"/>
      <c r="B296" s="53"/>
      <c r="C296" s="79"/>
      <c r="D296" s="79"/>
      <c r="E296" s="53"/>
      <c r="F296" s="53"/>
      <c r="Q296" s="53"/>
      <c r="R296" s="53"/>
      <c r="S296" s="53"/>
    </row>
    <row r="297" spans="1:19" s="64" customFormat="1">
      <c r="A297" s="53"/>
      <c r="B297" s="53"/>
      <c r="C297" s="79"/>
      <c r="D297" s="79"/>
      <c r="E297" s="53"/>
      <c r="F297" s="53"/>
      <c r="Q297" s="53"/>
      <c r="R297" s="53"/>
      <c r="S297" s="53"/>
    </row>
    <row r="298" spans="1:19" s="64" customFormat="1">
      <c r="A298" s="53"/>
      <c r="B298" s="53"/>
      <c r="C298" s="79"/>
      <c r="D298" s="79"/>
      <c r="E298" s="53"/>
      <c r="F298" s="53"/>
    </row>
    <row r="299" spans="1:19" s="64" customFormat="1">
      <c r="A299" s="53"/>
      <c r="B299" s="53"/>
      <c r="C299" s="79"/>
      <c r="D299" s="79"/>
      <c r="E299" s="53"/>
      <c r="F299" s="53"/>
    </row>
    <row r="300" spans="1:19" s="64" customFormat="1">
      <c r="A300" s="103"/>
      <c r="B300" s="103"/>
      <c r="C300" s="104"/>
      <c r="D300" s="104"/>
      <c r="E300" s="53"/>
      <c r="F300" s="53"/>
    </row>
    <row r="301" spans="1:19" s="64" customFormat="1">
      <c r="A301" s="103"/>
      <c r="B301" s="105"/>
      <c r="C301" s="104"/>
      <c r="D301" s="104"/>
      <c r="E301" s="53"/>
      <c r="F301" s="53"/>
    </row>
    <row r="302" spans="1:19" s="64" customFormat="1">
      <c r="A302" s="103"/>
      <c r="B302" s="103"/>
      <c r="C302" s="104"/>
      <c r="D302" s="104"/>
      <c r="E302" s="53"/>
      <c r="F302" s="53"/>
    </row>
    <row r="303" spans="1:19" s="64" customFormat="1">
      <c r="A303" s="103"/>
      <c r="B303" s="105"/>
      <c r="C303" s="104"/>
      <c r="D303" s="104"/>
      <c r="E303" s="53"/>
      <c r="G303" s="53"/>
      <c r="H303" s="53"/>
      <c r="I303" s="53"/>
      <c r="J303" s="53"/>
      <c r="K303" s="53"/>
      <c r="L303" s="53"/>
    </row>
    <row r="304" spans="1:19" s="64" customFormat="1">
      <c r="A304" s="53"/>
      <c r="B304" s="53"/>
      <c r="C304" s="79"/>
      <c r="D304" s="79"/>
      <c r="E304" s="53"/>
      <c r="G304" s="53"/>
      <c r="H304" s="53"/>
      <c r="I304" s="53"/>
      <c r="J304" s="106"/>
      <c r="K304" s="106"/>
      <c r="L304" s="106"/>
    </row>
    <row r="305" spans="1:12" s="64" customFormat="1">
      <c r="A305" s="3"/>
      <c r="B305" s="102"/>
      <c r="C305" s="3"/>
      <c r="D305" s="102"/>
      <c r="E305" s="107"/>
      <c r="G305" s="53"/>
      <c r="H305" s="108"/>
      <c r="I305" s="53"/>
      <c r="J305" s="106"/>
      <c r="K305" s="106"/>
      <c r="L305" s="106"/>
    </row>
    <row r="306" spans="1:12" s="64" customFormat="1">
      <c r="A306" s="53"/>
      <c r="B306" s="53"/>
      <c r="C306" s="53"/>
      <c r="D306" s="53"/>
      <c r="E306" s="107"/>
      <c r="G306" s="53"/>
      <c r="H306" s="53"/>
      <c r="I306" s="53"/>
      <c r="J306" s="79"/>
      <c r="K306" s="79"/>
      <c r="L306" s="53"/>
    </row>
    <row r="307" spans="1:12" s="64" customFormat="1">
      <c r="A307" s="53"/>
      <c r="B307" s="53"/>
      <c r="C307" s="53"/>
      <c r="D307" s="106"/>
      <c r="E307" s="106"/>
      <c r="G307" s="53"/>
      <c r="H307" s="93"/>
      <c r="I307" s="79"/>
      <c r="J307" s="79"/>
      <c r="K307" s="79"/>
      <c r="L307" s="106"/>
    </row>
    <row r="308" spans="1:12" s="64" customFormat="1">
      <c r="A308" s="53"/>
      <c r="B308" s="53"/>
      <c r="C308" s="53"/>
      <c r="D308" s="53"/>
      <c r="E308" s="53"/>
      <c r="G308" s="53"/>
      <c r="H308" s="93"/>
      <c r="I308" s="79"/>
      <c r="J308" s="79"/>
      <c r="K308" s="79"/>
      <c r="L308" s="53"/>
    </row>
    <row r="309" spans="1:12" s="64" customFormat="1">
      <c r="A309" s="53"/>
      <c r="B309" s="53"/>
      <c r="C309" s="53"/>
      <c r="D309" s="106"/>
      <c r="E309" s="106"/>
      <c r="G309" s="53"/>
      <c r="H309" s="93"/>
      <c r="I309" s="79"/>
      <c r="J309" s="79"/>
      <c r="K309" s="79"/>
      <c r="L309" s="106"/>
    </row>
    <row r="310" spans="1:12" s="64" customFormat="1">
      <c r="A310" s="53"/>
      <c r="B310" s="53"/>
      <c r="C310" s="53"/>
      <c r="D310" s="109"/>
      <c r="E310" s="109"/>
      <c r="F310" s="53"/>
      <c r="G310" s="103"/>
      <c r="H310" s="103"/>
      <c r="I310" s="104"/>
      <c r="J310" s="104"/>
      <c r="K310" s="79"/>
      <c r="L310" s="106"/>
    </row>
    <row r="311" spans="1:12" s="64" customFormat="1">
      <c r="A311" s="53"/>
      <c r="B311" s="53"/>
      <c r="C311" s="79"/>
      <c r="D311" s="79"/>
      <c r="E311" s="79"/>
      <c r="F311" s="53"/>
      <c r="G311" s="53"/>
      <c r="H311" s="53"/>
    </row>
    <row r="312" spans="1:12" s="64" customFormat="1">
      <c r="A312" s="53"/>
      <c r="B312" s="53"/>
      <c r="C312" s="53"/>
      <c r="D312" s="79"/>
      <c r="E312" s="53"/>
      <c r="F312" s="53"/>
      <c r="G312" s="110"/>
      <c r="H312" s="53"/>
      <c r="I312" s="53"/>
      <c r="J312" s="79"/>
      <c r="K312" s="79"/>
    </row>
    <row r="313" spans="1:12" s="64" customFormat="1">
      <c r="A313" s="53"/>
      <c r="B313" s="93"/>
      <c r="C313" s="79"/>
      <c r="D313" s="79"/>
      <c r="E313" s="53"/>
      <c r="F313" s="53"/>
      <c r="G313" s="102"/>
      <c r="H313" s="93"/>
      <c r="I313" s="79"/>
      <c r="J313" s="79"/>
      <c r="K313" s="79"/>
    </row>
    <row r="314" spans="1:12" s="64" customFormat="1">
      <c r="A314" s="53"/>
      <c r="B314" s="93"/>
      <c r="C314" s="79"/>
      <c r="D314" s="79"/>
      <c r="E314" s="53"/>
      <c r="F314" s="53"/>
      <c r="G314" s="53"/>
      <c r="H314" s="93"/>
      <c r="I314" s="79"/>
      <c r="J314" s="79"/>
      <c r="K314" s="79"/>
    </row>
    <row r="315" spans="1:12" s="64" customFormat="1">
      <c r="A315" s="53"/>
      <c r="B315" s="93"/>
      <c r="C315" s="79"/>
      <c r="D315" s="79"/>
      <c r="E315" s="53"/>
      <c r="F315" s="53"/>
      <c r="G315" s="53"/>
      <c r="H315" s="93"/>
      <c r="I315" s="79"/>
      <c r="J315" s="79"/>
      <c r="K315" s="79"/>
    </row>
    <row r="316" spans="1:12" s="64" customFormat="1">
      <c r="A316" s="53"/>
      <c r="B316" s="93"/>
      <c r="C316" s="79"/>
      <c r="D316" s="79"/>
      <c r="E316" s="111"/>
      <c r="F316" s="53"/>
      <c r="G316" s="53"/>
      <c r="H316" s="93"/>
      <c r="I316" s="79"/>
      <c r="J316" s="79"/>
      <c r="K316" s="79"/>
    </row>
    <row r="317" spans="1:12" s="64" customFormat="1">
      <c r="A317" s="53"/>
      <c r="B317" s="93"/>
      <c r="C317" s="79"/>
      <c r="D317" s="79"/>
      <c r="E317" s="111"/>
      <c r="F317" s="53"/>
      <c r="G317" s="53"/>
      <c r="H317" s="93"/>
      <c r="I317" s="79"/>
      <c r="J317" s="79"/>
      <c r="K317" s="79"/>
    </row>
    <row r="318" spans="1:12" s="64" customFormat="1">
      <c r="A318" s="53"/>
      <c r="B318" s="93"/>
      <c r="C318" s="79"/>
      <c r="D318" s="79"/>
      <c r="E318" s="53"/>
      <c r="F318" s="53"/>
      <c r="G318" s="53"/>
      <c r="H318" s="93"/>
      <c r="I318" s="79"/>
      <c r="J318" s="79"/>
      <c r="K318" s="79"/>
    </row>
    <row r="319" spans="1:12" s="64" customFormat="1">
      <c r="A319" s="53"/>
      <c r="B319" s="93"/>
      <c r="C319" s="79"/>
      <c r="D319" s="79"/>
      <c r="E319" s="53"/>
      <c r="F319" s="53"/>
      <c r="G319" s="53"/>
      <c r="H319" s="93"/>
      <c r="I319" s="79"/>
      <c r="J319" s="79"/>
      <c r="K319" s="79"/>
    </row>
    <row r="320" spans="1:12" s="64" customFormat="1">
      <c r="A320" s="103"/>
      <c r="B320" s="103"/>
      <c r="C320" s="104"/>
      <c r="D320" s="104"/>
      <c r="E320" s="53"/>
      <c r="F320" s="53"/>
      <c r="G320" s="103"/>
      <c r="H320" s="103"/>
      <c r="I320" s="104"/>
      <c r="J320" s="104"/>
      <c r="K320" s="104"/>
    </row>
    <row r="321" spans="1:14" s="64" customFormat="1">
      <c r="A321" s="53"/>
      <c r="B321" s="53"/>
      <c r="C321" s="79"/>
      <c r="D321" s="79"/>
      <c r="E321" s="53"/>
      <c r="F321" s="53"/>
    </row>
    <row r="322" spans="1:14" s="64" customFormat="1">
      <c r="A322" s="53"/>
      <c r="B322" s="53"/>
      <c r="C322" s="79"/>
      <c r="D322" s="104"/>
      <c r="E322" s="53"/>
      <c r="F322" s="53"/>
    </row>
    <row r="323" spans="1:14" s="64" customFormat="1">
      <c r="A323" s="53"/>
      <c r="B323" s="53"/>
      <c r="C323" s="79"/>
      <c r="D323" s="79"/>
      <c r="E323" s="53"/>
      <c r="F323" s="53"/>
    </row>
    <row r="324" spans="1:14" s="64" customFormat="1">
      <c r="A324" s="53"/>
      <c r="B324" s="53"/>
      <c r="C324" s="79"/>
      <c r="D324" s="79"/>
      <c r="E324" s="53"/>
      <c r="F324" s="53"/>
    </row>
    <row r="325" spans="1:14" s="64" customFormat="1">
      <c r="A325" s="53"/>
      <c r="B325" s="112"/>
      <c r="C325" s="79"/>
      <c r="D325" s="79"/>
      <c r="E325" s="53"/>
      <c r="F325" s="53"/>
    </row>
    <row r="326" spans="1:14" s="64" customFormat="1">
      <c r="A326" s="53"/>
      <c r="B326" s="112"/>
      <c r="C326" s="79"/>
      <c r="D326" s="79"/>
      <c r="E326" s="53"/>
      <c r="F326" s="53"/>
    </row>
    <row r="327" spans="1:14" s="64" customFormat="1">
      <c r="A327" s="53"/>
      <c r="B327" s="113"/>
      <c r="C327" s="79"/>
      <c r="D327" s="79"/>
      <c r="E327" s="53"/>
      <c r="F327" s="53"/>
    </row>
    <row r="328" spans="1:14" s="64" customFormat="1">
      <c r="A328" s="53"/>
      <c r="B328" s="113"/>
      <c r="C328" s="79"/>
      <c r="D328" s="79"/>
      <c r="E328" s="53"/>
      <c r="F328" s="53"/>
    </row>
    <row r="329" spans="1:14" s="64" customFormat="1">
      <c r="A329" s="53"/>
      <c r="B329" s="113"/>
      <c r="C329" s="79"/>
      <c r="D329" s="79"/>
      <c r="E329" s="53"/>
      <c r="F329" s="53"/>
    </row>
    <row r="330" spans="1:14" s="64" customFormat="1">
      <c r="A330" s="53"/>
      <c r="B330" s="113"/>
      <c r="C330" s="79"/>
      <c r="D330" s="79"/>
      <c r="E330" s="53"/>
      <c r="F330" s="53"/>
    </row>
    <row r="331" spans="1:14" s="64" customFormat="1">
      <c r="A331" s="53"/>
      <c r="B331" s="112"/>
      <c r="C331" s="79"/>
      <c r="D331" s="79"/>
      <c r="E331" s="53"/>
      <c r="F331" s="53"/>
    </row>
    <row r="332" spans="1:14" s="64" customFormat="1">
      <c r="A332" s="53"/>
      <c r="B332" s="112"/>
      <c r="C332" s="79"/>
      <c r="D332" s="79"/>
      <c r="E332" s="53"/>
      <c r="F332" s="53"/>
    </row>
    <row r="333" spans="1:14" s="64" customFormat="1">
      <c r="A333" s="53"/>
      <c r="B333" s="112"/>
      <c r="C333" s="79"/>
      <c r="D333" s="66"/>
      <c r="E333" s="53"/>
      <c r="F333" s="53"/>
      <c r="N333" s="53"/>
    </row>
    <row r="334" spans="1:14" s="64" customFormat="1">
      <c r="A334" s="53"/>
      <c r="B334" s="113"/>
      <c r="C334" s="79"/>
      <c r="D334" s="79"/>
      <c r="E334" s="53"/>
      <c r="F334" s="53"/>
      <c r="G334" s="53"/>
      <c r="I334" s="114"/>
      <c r="N334" s="53"/>
    </row>
    <row r="335" spans="1:14" s="64" customFormat="1">
      <c r="A335" s="53"/>
      <c r="B335" s="53"/>
      <c r="C335" s="79"/>
      <c r="D335" s="79"/>
      <c r="E335" s="79"/>
      <c r="F335" s="79"/>
      <c r="N335" s="53"/>
    </row>
    <row r="336" spans="1:14" s="64" customFormat="1">
      <c r="A336" s="53"/>
      <c r="B336" s="53"/>
      <c r="C336" s="79"/>
      <c r="D336" s="79"/>
      <c r="F336" s="108"/>
      <c r="N336" s="53"/>
    </row>
    <row r="337" spans="1:19" s="64" customFormat="1">
      <c r="A337" s="115"/>
      <c r="D337" s="79"/>
    </row>
    <row r="338" spans="1:19" s="64" customFormat="1"/>
    <row r="339" spans="1:19" s="64" customFormat="1">
      <c r="A339" s="116"/>
    </row>
    <row r="340" spans="1:19" s="64" customFormat="1">
      <c r="A340" s="53"/>
      <c r="B340" s="53"/>
      <c r="C340" s="53"/>
      <c r="D340" s="53"/>
      <c r="L340" s="53"/>
      <c r="M340" s="53"/>
      <c r="N340" s="53"/>
      <c r="O340" s="53"/>
      <c r="P340" s="53"/>
    </row>
    <row r="341" spans="1:19" s="64" customFormat="1">
      <c r="A341" s="53"/>
      <c r="B341" s="53"/>
      <c r="C341" s="53"/>
      <c r="D341" s="53"/>
      <c r="E341" s="53"/>
      <c r="F341" s="53"/>
      <c r="L341" s="53"/>
      <c r="M341" s="53"/>
      <c r="N341" s="53"/>
      <c r="O341" s="53"/>
      <c r="P341" s="79"/>
    </row>
    <row r="342" spans="1:19" s="64" customFormat="1">
      <c r="A342" s="53"/>
      <c r="B342" s="101"/>
      <c r="C342" s="79"/>
      <c r="D342" s="79"/>
      <c r="E342" s="102"/>
      <c r="F342" s="53"/>
      <c r="L342" s="53"/>
      <c r="M342" s="53"/>
      <c r="N342" s="79"/>
      <c r="O342" s="79"/>
      <c r="P342" s="79"/>
    </row>
    <row r="343" spans="1:19" s="64" customFormat="1">
      <c r="A343" s="53"/>
      <c r="B343" s="53"/>
      <c r="C343" s="79"/>
      <c r="D343" s="79"/>
      <c r="E343" s="53"/>
      <c r="F343" s="53"/>
      <c r="L343" s="53"/>
      <c r="M343" s="53"/>
      <c r="N343" s="79"/>
      <c r="O343" s="102"/>
      <c r="P343" s="79"/>
    </row>
    <row r="344" spans="1:19" s="64" customFormat="1">
      <c r="A344" s="53"/>
      <c r="B344" s="53"/>
      <c r="C344" s="79"/>
      <c r="D344" s="79"/>
      <c r="E344" s="53"/>
      <c r="F344" s="53"/>
      <c r="L344" s="53"/>
      <c r="M344" s="53"/>
      <c r="N344" s="79"/>
      <c r="O344" s="102"/>
      <c r="P344" s="79"/>
    </row>
    <row r="345" spans="1:19" s="64" customFormat="1">
      <c r="A345" s="53"/>
      <c r="B345" s="53"/>
      <c r="C345" s="79"/>
      <c r="D345" s="79"/>
      <c r="E345" s="53"/>
      <c r="F345" s="53"/>
      <c r="L345" s="53"/>
      <c r="M345" s="79"/>
      <c r="N345" s="66"/>
      <c r="O345" s="53"/>
      <c r="P345" s="53"/>
      <c r="Q345" s="53"/>
      <c r="R345" s="53"/>
      <c r="S345" s="53"/>
    </row>
    <row r="346" spans="1:19" s="64" customFormat="1">
      <c r="A346" s="53"/>
      <c r="B346" s="53"/>
      <c r="C346" s="79"/>
      <c r="D346" s="79"/>
      <c r="E346" s="53"/>
      <c r="F346" s="53"/>
      <c r="L346" s="53"/>
      <c r="M346" s="53"/>
      <c r="N346" s="66"/>
      <c r="O346" s="53"/>
      <c r="P346" s="53"/>
      <c r="Q346" s="79"/>
      <c r="R346" s="79"/>
      <c r="S346" s="53"/>
    </row>
    <row r="347" spans="1:19" s="64" customFormat="1">
      <c r="A347" s="53"/>
      <c r="B347" s="53"/>
      <c r="C347" s="79"/>
      <c r="D347" s="79"/>
      <c r="E347" s="53"/>
      <c r="F347" s="53"/>
      <c r="L347" s="53"/>
      <c r="M347" s="53"/>
      <c r="N347" s="66"/>
      <c r="O347" s="53"/>
      <c r="P347" s="53"/>
      <c r="Q347" s="79"/>
      <c r="R347" s="79"/>
      <c r="S347" s="53"/>
    </row>
    <row r="348" spans="1:19" s="64" customFormat="1">
      <c r="A348" s="53"/>
      <c r="B348" s="53"/>
      <c r="C348" s="79"/>
      <c r="D348" s="79"/>
      <c r="E348" s="53"/>
      <c r="F348" s="53"/>
      <c r="L348" s="53"/>
      <c r="M348" s="53"/>
      <c r="N348" s="66"/>
      <c r="O348" s="53"/>
      <c r="P348" s="53"/>
      <c r="Q348" s="79"/>
      <c r="R348" s="79"/>
      <c r="S348" s="53"/>
    </row>
    <row r="349" spans="1:19" s="64" customFormat="1">
      <c r="A349" s="53"/>
      <c r="B349" s="53"/>
      <c r="C349" s="79"/>
      <c r="D349" s="79"/>
      <c r="E349" s="53"/>
      <c r="F349" s="53"/>
      <c r="L349" s="53"/>
      <c r="M349" s="53"/>
      <c r="N349" s="66"/>
      <c r="O349" s="53"/>
      <c r="P349" s="53"/>
      <c r="Q349" s="79"/>
      <c r="R349" s="79"/>
      <c r="S349" s="53"/>
    </row>
    <row r="350" spans="1:19" s="64" customFormat="1">
      <c r="A350" s="53"/>
      <c r="B350" s="53"/>
      <c r="C350" s="79"/>
      <c r="D350" s="79"/>
      <c r="E350" s="53"/>
      <c r="F350" s="53"/>
      <c r="L350" s="53"/>
      <c r="M350" s="53"/>
      <c r="N350" s="66"/>
      <c r="O350" s="53"/>
      <c r="P350" s="53"/>
      <c r="Q350" s="53"/>
      <c r="R350" s="53"/>
      <c r="S350" s="53"/>
    </row>
    <row r="351" spans="1:19" s="64" customFormat="1">
      <c r="A351" s="53"/>
      <c r="B351" s="53"/>
      <c r="C351" s="79"/>
      <c r="D351" s="79"/>
      <c r="E351" s="53"/>
      <c r="F351" s="53"/>
      <c r="L351" s="53"/>
      <c r="M351" s="53"/>
      <c r="N351" s="66"/>
      <c r="O351" s="53"/>
      <c r="P351" s="53"/>
      <c r="Q351" s="53"/>
      <c r="R351" s="53"/>
      <c r="S351" s="53"/>
    </row>
    <row r="352" spans="1:19" s="64" customFormat="1">
      <c r="A352" s="53"/>
      <c r="B352" s="53"/>
      <c r="C352" s="79"/>
      <c r="D352" s="79"/>
      <c r="E352" s="53"/>
      <c r="F352" s="53"/>
      <c r="Q352" s="53"/>
      <c r="R352" s="53"/>
      <c r="S352" s="53"/>
    </row>
    <row r="353" spans="1:19" s="64" customFormat="1">
      <c r="A353" s="53"/>
      <c r="B353" s="53"/>
      <c r="C353" s="79"/>
      <c r="D353" s="79"/>
      <c r="E353" s="53"/>
      <c r="F353" s="53"/>
      <c r="Q353" s="53"/>
      <c r="R353" s="53"/>
      <c r="S353" s="53"/>
    </row>
    <row r="354" spans="1:19" s="64" customFormat="1">
      <c r="A354" s="53"/>
      <c r="B354" s="53"/>
      <c r="C354" s="79"/>
      <c r="D354" s="79"/>
      <c r="E354" s="102"/>
      <c r="F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Q355" s="53"/>
      <c r="R355" s="53"/>
      <c r="S355" s="53"/>
    </row>
    <row r="356" spans="1:19" s="64" customFormat="1">
      <c r="A356" s="53"/>
      <c r="B356" s="53"/>
      <c r="C356" s="79"/>
      <c r="D356" s="79"/>
      <c r="E356" s="53"/>
      <c r="F356" s="53"/>
      <c r="Q356" s="53"/>
      <c r="R356" s="53"/>
      <c r="S356" s="53"/>
    </row>
    <row r="357" spans="1:19" s="64" customFormat="1">
      <c r="A357" s="53"/>
      <c r="B357" s="53"/>
      <c r="C357" s="79"/>
      <c r="D357" s="79"/>
      <c r="E357" s="53"/>
      <c r="F357" s="53"/>
    </row>
    <row r="358" spans="1:19" s="64" customFormat="1">
      <c r="A358" s="53"/>
      <c r="B358" s="53"/>
      <c r="C358" s="79"/>
      <c r="D358" s="79"/>
      <c r="E358" s="53"/>
      <c r="F358" s="53"/>
    </row>
    <row r="359" spans="1:19" s="64" customFormat="1">
      <c r="A359" s="103"/>
      <c r="B359" s="103"/>
      <c r="C359" s="104"/>
      <c r="D359" s="104"/>
      <c r="E359" s="53"/>
      <c r="F359" s="53"/>
    </row>
    <row r="360" spans="1:19" s="64" customFormat="1">
      <c r="A360" s="103"/>
      <c r="B360" s="105"/>
      <c r="C360" s="104"/>
      <c r="D360" s="104"/>
      <c r="E360" s="53"/>
      <c r="F360" s="53"/>
    </row>
    <row r="361" spans="1:19" s="64" customFormat="1">
      <c r="A361" s="103"/>
      <c r="B361" s="103"/>
      <c r="C361" s="104"/>
      <c r="D361" s="104"/>
      <c r="E361" s="53"/>
      <c r="F361" s="53"/>
    </row>
    <row r="362" spans="1:19" s="64" customFormat="1">
      <c r="A362" s="103"/>
      <c r="B362" s="105"/>
      <c r="C362" s="104"/>
      <c r="D362" s="104"/>
      <c r="E362" s="53"/>
      <c r="G362" s="53"/>
      <c r="H362" s="53"/>
      <c r="I362" s="53"/>
      <c r="J362" s="53"/>
      <c r="K362" s="53"/>
      <c r="L362" s="53"/>
    </row>
    <row r="363" spans="1:19" s="64" customFormat="1">
      <c r="A363" s="53"/>
      <c r="B363" s="53"/>
      <c r="C363" s="79"/>
      <c r="D363" s="79"/>
      <c r="E363" s="53"/>
      <c r="G363" s="53"/>
      <c r="H363" s="53"/>
      <c r="I363" s="53"/>
      <c r="J363" s="106"/>
      <c r="K363" s="106"/>
      <c r="L363" s="106"/>
    </row>
    <row r="364" spans="1:19" s="64" customFormat="1">
      <c r="A364" s="3"/>
      <c r="B364" s="102"/>
      <c r="C364" s="3"/>
      <c r="D364" s="102"/>
      <c r="E364" s="107"/>
      <c r="G364" s="53"/>
      <c r="H364" s="108"/>
      <c r="I364" s="53"/>
      <c r="J364" s="106"/>
      <c r="K364" s="106"/>
      <c r="L364" s="106"/>
    </row>
    <row r="365" spans="1:19" s="64" customFormat="1">
      <c r="A365" s="53"/>
      <c r="B365" s="53"/>
      <c r="C365" s="53"/>
      <c r="D365" s="53"/>
      <c r="E365" s="107"/>
      <c r="G365" s="53"/>
      <c r="H365" s="53"/>
      <c r="I365" s="53"/>
      <c r="J365" s="79"/>
      <c r="K365" s="79"/>
      <c r="L365" s="53"/>
    </row>
    <row r="366" spans="1:19" s="64" customFormat="1">
      <c r="A366" s="53"/>
      <c r="B366" s="53"/>
      <c r="C366" s="53"/>
      <c r="D366" s="106"/>
      <c r="E366" s="106"/>
      <c r="G366" s="53"/>
      <c r="H366" s="93"/>
      <c r="I366" s="79"/>
      <c r="J366" s="79"/>
      <c r="K366" s="79"/>
      <c r="L366" s="106"/>
    </row>
    <row r="367" spans="1:19" s="64" customFormat="1">
      <c r="A367" s="53"/>
      <c r="B367" s="53"/>
      <c r="C367" s="53"/>
      <c r="D367" s="53"/>
      <c r="E367" s="53"/>
      <c r="G367" s="53"/>
      <c r="H367" s="93"/>
      <c r="I367" s="79"/>
      <c r="J367" s="79"/>
      <c r="K367" s="79"/>
      <c r="L367" s="53"/>
    </row>
    <row r="368" spans="1:19" s="64" customFormat="1">
      <c r="A368" s="53"/>
      <c r="B368" s="53"/>
      <c r="C368" s="53"/>
      <c r="D368" s="106"/>
      <c r="E368" s="106"/>
      <c r="G368" s="53"/>
      <c r="H368" s="93"/>
      <c r="I368" s="79"/>
      <c r="J368" s="79"/>
      <c r="K368" s="79"/>
      <c r="L368" s="106"/>
    </row>
    <row r="369" spans="1:12" s="64" customFormat="1">
      <c r="A369" s="53"/>
      <c r="B369" s="53"/>
      <c r="C369" s="53"/>
      <c r="D369" s="109"/>
      <c r="E369" s="109"/>
      <c r="F369" s="53"/>
      <c r="G369" s="103"/>
      <c r="H369" s="103"/>
      <c r="I369" s="104"/>
      <c r="J369" s="104"/>
      <c r="K369" s="79"/>
      <c r="L369" s="106"/>
    </row>
    <row r="370" spans="1:12" s="64" customFormat="1">
      <c r="A370" s="53"/>
      <c r="B370" s="53"/>
      <c r="C370" s="79"/>
      <c r="D370" s="79"/>
      <c r="E370" s="79"/>
      <c r="F370" s="53"/>
      <c r="G370" s="53"/>
      <c r="H370" s="53"/>
    </row>
    <row r="371" spans="1:12" s="64" customFormat="1">
      <c r="A371" s="53"/>
      <c r="B371" s="53"/>
      <c r="C371" s="53"/>
      <c r="D371" s="79"/>
      <c r="E371" s="53"/>
      <c r="F371" s="53"/>
      <c r="G371" s="110"/>
      <c r="H371" s="53"/>
      <c r="I371" s="53"/>
      <c r="J371" s="79"/>
      <c r="K371" s="79"/>
    </row>
    <row r="372" spans="1:12" s="64" customFormat="1">
      <c r="A372" s="53"/>
      <c r="B372" s="93"/>
      <c r="C372" s="79"/>
      <c r="D372" s="79"/>
      <c r="E372" s="53"/>
      <c r="F372" s="53"/>
      <c r="G372" s="102"/>
      <c r="H372" s="93"/>
      <c r="I372" s="79"/>
      <c r="J372" s="79"/>
      <c r="K372" s="79"/>
    </row>
    <row r="373" spans="1:12" s="64" customFormat="1">
      <c r="A373" s="53"/>
      <c r="B373" s="93"/>
      <c r="C373" s="79"/>
      <c r="D373" s="79"/>
      <c r="E373" s="53"/>
      <c r="F373" s="53"/>
      <c r="G373" s="53"/>
      <c r="H373" s="93"/>
      <c r="I373" s="79"/>
      <c r="J373" s="79"/>
      <c r="K373" s="79"/>
    </row>
    <row r="374" spans="1:12" s="64" customFormat="1">
      <c r="A374" s="53"/>
      <c r="B374" s="93"/>
      <c r="C374" s="79"/>
      <c r="D374" s="79"/>
      <c r="E374" s="53"/>
      <c r="F374" s="53"/>
      <c r="G374" s="53"/>
      <c r="H374" s="93"/>
      <c r="I374" s="79"/>
      <c r="J374" s="79"/>
      <c r="K374" s="79"/>
    </row>
    <row r="375" spans="1:12" s="64" customFormat="1">
      <c r="A375" s="53"/>
      <c r="B375" s="93"/>
      <c r="C375" s="79"/>
      <c r="D375" s="79"/>
      <c r="E375" s="111"/>
      <c r="F375" s="53"/>
      <c r="G375" s="53"/>
      <c r="H375" s="93"/>
      <c r="I375" s="79"/>
      <c r="J375" s="79"/>
      <c r="K375" s="79"/>
    </row>
    <row r="376" spans="1:12" s="64" customFormat="1">
      <c r="A376" s="53"/>
      <c r="B376" s="93"/>
      <c r="C376" s="79"/>
      <c r="D376" s="79"/>
      <c r="E376" s="53"/>
      <c r="F376" s="53"/>
      <c r="G376" s="53"/>
      <c r="H376" s="93"/>
      <c r="I376" s="79"/>
      <c r="J376" s="79"/>
      <c r="K376" s="79"/>
    </row>
    <row r="377" spans="1:12" s="64" customFormat="1">
      <c r="A377" s="53"/>
      <c r="B377" s="93"/>
      <c r="C377" s="79"/>
      <c r="D377" s="79"/>
      <c r="E377" s="53"/>
      <c r="F377" s="53"/>
      <c r="G377" s="53"/>
      <c r="H377" s="93"/>
      <c r="I377" s="79"/>
      <c r="J377" s="79"/>
      <c r="K377" s="79"/>
    </row>
    <row r="378" spans="1:12" s="64" customFormat="1">
      <c r="A378" s="53"/>
      <c r="B378" s="93"/>
      <c r="C378" s="79"/>
      <c r="D378" s="79"/>
      <c r="E378" s="53"/>
      <c r="F378" s="53"/>
      <c r="G378" s="53"/>
      <c r="H378" s="93"/>
      <c r="I378" s="79"/>
      <c r="J378" s="79"/>
      <c r="K378" s="79"/>
    </row>
    <row r="379" spans="1:12" s="64" customFormat="1">
      <c r="A379" s="103"/>
      <c r="B379" s="103"/>
      <c r="C379" s="104"/>
      <c r="D379" s="104"/>
      <c r="E379" s="53"/>
      <c r="F379" s="53"/>
      <c r="G379" s="103"/>
      <c r="H379" s="103"/>
      <c r="I379" s="104"/>
      <c r="J379" s="104"/>
      <c r="K379" s="104"/>
    </row>
    <row r="380" spans="1:12" s="64" customFormat="1">
      <c r="A380" s="53"/>
      <c r="B380" s="53"/>
      <c r="C380" s="79"/>
      <c r="D380" s="79"/>
      <c r="E380" s="53"/>
      <c r="F380" s="53"/>
    </row>
    <row r="381" spans="1:12" s="64" customFormat="1">
      <c r="A381" s="53"/>
      <c r="B381" s="53"/>
      <c r="C381" s="79"/>
      <c r="D381" s="104"/>
      <c r="E381" s="53"/>
      <c r="F381" s="53"/>
    </row>
    <row r="382" spans="1:12" s="64" customFormat="1">
      <c r="A382" s="53"/>
      <c r="B382" s="53"/>
      <c r="C382" s="79"/>
      <c r="D382" s="79"/>
      <c r="E382" s="53"/>
      <c r="F382" s="53"/>
    </row>
    <row r="383" spans="1:12" s="64" customFormat="1">
      <c r="A383" s="53"/>
      <c r="B383" s="53"/>
      <c r="C383" s="79"/>
      <c r="D383" s="79"/>
      <c r="E383" s="53"/>
      <c r="F383" s="53"/>
    </row>
    <row r="384" spans="1:12" s="64" customFormat="1">
      <c r="A384" s="53"/>
      <c r="B384" s="112"/>
      <c r="C384" s="79"/>
      <c r="D384" s="79"/>
      <c r="E384" s="53"/>
      <c r="F384" s="53"/>
    </row>
    <row r="385" spans="1:16" s="64" customFormat="1">
      <c r="A385" s="53"/>
      <c r="B385" s="112"/>
      <c r="C385" s="79"/>
      <c r="D385" s="79"/>
      <c r="E385" s="53"/>
      <c r="F385" s="53"/>
    </row>
    <row r="386" spans="1:16" s="64" customFormat="1">
      <c r="A386" s="53"/>
      <c r="B386" s="113"/>
      <c r="C386" s="79"/>
      <c r="D386" s="79"/>
      <c r="E386" s="53"/>
      <c r="F386" s="53"/>
    </row>
    <row r="387" spans="1:16" s="64" customFormat="1">
      <c r="A387" s="53"/>
      <c r="B387" s="113"/>
      <c r="C387" s="79"/>
      <c r="D387" s="79"/>
      <c r="E387" s="53"/>
      <c r="F387" s="53"/>
    </row>
    <row r="388" spans="1:16" s="64" customFormat="1">
      <c r="A388" s="53"/>
      <c r="B388" s="113"/>
      <c r="C388" s="79"/>
      <c r="D388" s="79"/>
      <c r="E388" s="53"/>
      <c r="F388" s="53"/>
    </row>
    <row r="389" spans="1:16" s="64" customFormat="1">
      <c r="A389" s="53"/>
      <c r="B389" s="113"/>
      <c r="C389" s="79"/>
      <c r="D389" s="79"/>
      <c r="E389" s="53"/>
      <c r="F389" s="53"/>
    </row>
    <row r="390" spans="1:16" s="64" customFormat="1">
      <c r="A390" s="53"/>
      <c r="B390" s="112"/>
      <c r="C390" s="79"/>
      <c r="D390" s="79"/>
      <c r="E390" s="53"/>
      <c r="F390" s="53"/>
    </row>
    <row r="391" spans="1:16" s="64" customFormat="1">
      <c r="A391" s="53"/>
      <c r="B391" s="112"/>
      <c r="C391" s="79"/>
      <c r="D391" s="79"/>
      <c r="E391" s="53"/>
      <c r="F391" s="53"/>
    </row>
    <row r="392" spans="1:16" s="64" customFormat="1">
      <c r="A392" s="53"/>
      <c r="B392" s="112"/>
      <c r="C392" s="79"/>
      <c r="D392" s="66"/>
      <c r="E392" s="53"/>
      <c r="F392" s="53"/>
      <c r="N392" s="53"/>
    </row>
    <row r="393" spans="1:16" s="64" customFormat="1">
      <c r="A393" s="53"/>
      <c r="B393" s="113"/>
      <c r="C393" s="79"/>
      <c r="D393" s="79"/>
      <c r="E393" s="53"/>
      <c r="F393" s="53"/>
      <c r="G393" s="53"/>
      <c r="I393" s="114"/>
      <c r="N393" s="53"/>
    </row>
    <row r="394" spans="1:16" s="64" customFormat="1">
      <c r="A394" s="53"/>
      <c r="B394" s="53"/>
      <c r="C394" s="79"/>
      <c r="D394" s="79"/>
      <c r="E394" s="79"/>
      <c r="F394" s="79"/>
      <c r="N394" s="53"/>
    </row>
    <row r="395" spans="1:16" s="64" customFormat="1">
      <c r="A395" s="53"/>
      <c r="B395" s="53"/>
      <c r="C395" s="79"/>
      <c r="D395" s="79"/>
      <c r="F395" s="108"/>
      <c r="N395" s="53"/>
    </row>
    <row r="396" spans="1:16" s="64" customFormat="1">
      <c r="D396" s="79"/>
    </row>
    <row r="397" spans="1:16" s="64" customFormat="1">
      <c r="A397" s="115"/>
    </row>
    <row r="398" spans="1:16" s="64" customFormat="1"/>
    <row r="399" spans="1:16" s="64" customFormat="1">
      <c r="A399" s="53"/>
      <c r="B399" s="53"/>
      <c r="C399" s="53"/>
      <c r="D399" s="53"/>
      <c r="L399" s="53"/>
      <c r="M399" s="53"/>
      <c r="N399" s="53"/>
      <c r="O399" s="53"/>
      <c r="P399" s="53"/>
    </row>
    <row r="400" spans="1:16" s="64" customFormat="1">
      <c r="A400" s="53"/>
      <c r="B400" s="53"/>
      <c r="C400" s="53"/>
      <c r="D400" s="53"/>
      <c r="E400" s="53"/>
      <c r="F400" s="53"/>
      <c r="L400" s="53"/>
      <c r="M400" s="53"/>
      <c r="N400" s="53"/>
      <c r="O400" s="53"/>
      <c r="P400" s="79"/>
    </row>
    <row r="401" spans="1:19" s="64" customFormat="1">
      <c r="A401" s="53"/>
      <c r="B401" s="101"/>
      <c r="C401" s="79"/>
      <c r="D401" s="79"/>
      <c r="E401" s="102"/>
      <c r="F401" s="53"/>
      <c r="L401" s="53"/>
      <c r="M401" s="53"/>
      <c r="N401" s="79"/>
      <c r="O401" s="79"/>
      <c r="P401" s="79"/>
    </row>
    <row r="402" spans="1:19" s="64" customFormat="1">
      <c r="A402" s="53"/>
      <c r="B402" s="53"/>
      <c r="C402" s="79"/>
      <c r="D402" s="79"/>
      <c r="E402" s="53"/>
      <c r="F402" s="53"/>
      <c r="L402" s="53"/>
      <c r="M402" s="53"/>
      <c r="N402" s="79"/>
      <c r="O402" s="102"/>
      <c r="P402" s="79"/>
    </row>
    <row r="403" spans="1:19" s="64" customFormat="1">
      <c r="A403" s="53"/>
      <c r="B403" s="53"/>
      <c r="C403" s="79"/>
      <c r="D403" s="79"/>
      <c r="E403" s="53"/>
      <c r="F403" s="53"/>
      <c r="L403" s="53"/>
      <c r="M403" s="53"/>
      <c r="N403" s="79"/>
      <c r="O403" s="102"/>
      <c r="P403" s="79"/>
    </row>
    <row r="404" spans="1:19" s="64" customFormat="1">
      <c r="A404" s="53"/>
      <c r="B404" s="53"/>
      <c r="C404" s="79"/>
      <c r="D404" s="79"/>
      <c r="E404" s="53"/>
      <c r="F404" s="53"/>
      <c r="L404" s="53"/>
      <c r="M404" s="79"/>
      <c r="N404" s="66"/>
      <c r="O404" s="53"/>
      <c r="P404" s="53"/>
      <c r="Q404" s="53"/>
      <c r="R404" s="53"/>
      <c r="S404" s="53"/>
    </row>
    <row r="405" spans="1:19" s="64" customFormat="1">
      <c r="A405" s="53"/>
      <c r="B405" s="53"/>
      <c r="C405" s="79"/>
      <c r="D405" s="79"/>
      <c r="E405" s="53"/>
      <c r="F405" s="53"/>
      <c r="L405" s="53"/>
      <c r="M405" s="53"/>
      <c r="N405" s="66"/>
      <c r="O405" s="53"/>
      <c r="P405" s="53"/>
      <c r="Q405" s="79"/>
      <c r="R405" s="79"/>
      <c r="S405" s="53"/>
    </row>
    <row r="406" spans="1:19" s="64" customFormat="1">
      <c r="A406" s="53"/>
      <c r="B406" s="53"/>
      <c r="C406" s="79"/>
      <c r="D406" s="79"/>
      <c r="E406" s="53"/>
      <c r="F406" s="53"/>
      <c r="L406" s="53"/>
      <c r="M406" s="53"/>
      <c r="N406" s="66"/>
      <c r="O406" s="53"/>
      <c r="P406" s="53"/>
      <c r="Q406" s="79"/>
      <c r="R406" s="79"/>
      <c r="S406" s="53"/>
    </row>
    <row r="407" spans="1:19" s="64" customFormat="1">
      <c r="A407" s="53"/>
      <c r="B407" s="53"/>
      <c r="C407" s="79"/>
      <c r="D407" s="79"/>
      <c r="E407" s="53"/>
      <c r="F407" s="53"/>
      <c r="L407" s="53"/>
      <c r="M407" s="53"/>
      <c r="N407" s="66"/>
      <c r="O407" s="53"/>
      <c r="P407" s="53"/>
      <c r="Q407" s="79"/>
      <c r="R407" s="79"/>
      <c r="S407" s="53"/>
    </row>
    <row r="408" spans="1:19" s="64" customFormat="1">
      <c r="A408" s="53"/>
      <c r="B408" s="53"/>
      <c r="C408" s="79"/>
      <c r="D408" s="79"/>
      <c r="E408" s="53"/>
      <c r="F408" s="53"/>
      <c r="L408" s="53"/>
      <c r="M408" s="53"/>
      <c r="N408" s="66"/>
      <c r="O408" s="53"/>
      <c r="P408" s="53"/>
      <c r="Q408" s="79"/>
      <c r="R408" s="79"/>
      <c r="S408" s="53"/>
    </row>
    <row r="409" spans="1:19" s="64" customFormat="1">
      <c r="A409" s="53"/>
      <c r="B409" s="53"/>
      <c r="C409" s="79"/>
      <c r="D409" s="79"/>
      <c r="E409" s="53"/>
      <c r="F409" s="53"/>
      <c r="L409" s="53"/>
      <c r="M409" s="53"/>
      <c r="N409" s="66"/>
      <c r="O409" s="53"/>
      <c r="P409" s="53"/>
      <c r="Q409" s="53"/>
      <c r="R409" s="53"/>
      <c r="S409" s="53"/>
    </row>
    <row r="410" spans="1:19" s="64" customFormat="1">
      <c r="A410" s="53"/>
      <c r="B410" s="53"/>
      <c r="C410" s="79"/>
      <c r="D410" s="79"/>
      <c r="E410" s="53"/>
      <c r="F410" s="53"/>
      <c r="L410" s="53"/>
      <c r="M410" s="53"/>
      <c r="N410" s="66"/>
      <c r="O410" s="53"/>
      <c r="P410" s="53"/>
      <c r="Q410" s="53"/>
      <c r="R410" s="53"/>
      <c r="S410" s="53"/>
    </row>
    <row r="411" spans="1:19" s="64" customFormat="1">
      <c r="A411" s="53"/>
      <c r="B411" s="53"/>
      <c r="C411" s="79"/>
      <c r="D411" s="79"/>
      <c r="E411" s="53"/>
      <c r="F411" s="53"/>
      <c r="Q411" s="53"/>
      <c r="R411" s="53"/>
      <c r="S411" s="53"/>
    </row>
    <row r="412" spans="1:19" s="64" customFormat="1">
      <c r="A412" s="53"/>
      <c r="B412" s="53"/>
      <c r="C412" s="79"/>
      <c r="D412" s="79"/>
      <c r="E412" s="53"/>
      <c r="F412" s="53"/>
      <c r="Q412" s="53"/>
      <c r="R412" s="53"/>
      <c r="S412" s="53"/>
    </row>
    <row r="413" spans="1:19" s="64" customFormat="1">
      <c r="A413" s="53"/>
      <c r="B413" s="53"/>
      <c r="C413" s="79"/>
      <c r="D413" s="79"/>
      <c r="E413" s="102"/>
      <c r="F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Q414" s="53"/>
      <c r="R414" s="53"/>
      <c r="S414" s="53"/>
    </row>
    <row r="415" spans="1:19" s="64" customFormat="1">
      <c r="A415" s="53"/>
      <c r="B415" s="53"/>
      <c r="C415" s="79"/>
      <c r="D415" s="79"/>
      <c r="E415" s="53"/>
      <c r="F415" s="53"/>
      <c r="Q415" s="53"/>
      <c r="R415" s="53"/>
      <c r="S415" s="53"/>
    </row>
    <row r="416" spans="1:19" s="64" customFormat="1">
      <c r="A416" s="53"/>
      <c r="B416" s="53"/>
      <c r="C416" s="79"/>
      <c r="D416" s="79"/>
      <c r="E416" s="53"/>
      <c r="F416" s="53"/>
    </row>
    <row r="417" spans="1:12" s="64" customFormat="1">
      <c r="A417" s="53"/>
      <c r="B417" s="53"/>
      <c r="C417" s="79"/>
      <c r="D417" s="79"/>
      <c r="E417" s="53"/>
      <c r="F417" s="53"/>
    </row>
    <row r="418" spans="1:12" s="64" customFormat="1">
      <c r="A418" s="103"/>
      <c r="B418" s="103"/>
      <c r="C418" s="104"/>
      <c r="D418" s="104"/>
      <c r="E418" s="53"/>
      <c r="F418" s="53"/>
    </row>
    <row r="419" spans="1:12" s="64" customFormat="1">
      <c r="A419" s="103"/>
      <c r="B419" s="105"/>
      <c r="C419" s="104"/>
      <c r="D419" s="104"/>
      <c r="E419" s="53"/>
      <c r="F419" s="53"/>
    </row>
    <row r="420" spans="1:12" s="64" customFormat="1">
      <c r="A420" s="103"/>
      <c r="B420" s="103"/>
      <c r="C420" s="104"/>
      <c r="D420" s="104"/>
      <c r="E420" s="53"/>
      <c r="F420" s="53"/>
    </row>
    <row r="421" spans="1:12" s="64" customFormat="1">
      <c r="A421" s="103"/>
      <c r="B421" s="105"/>
      <c r="C421" s="104"/>
      <c r="D421" s="104"/>
      <c r="E421" s="53"/>
      <c r="G421" s="53"/>
      <c r="H421" s="53"/>
      <c r="I421" s="53"/>
      <c r="J421" s="53"/>
      <c r="K421" s="53"/>
      <c r="L421" s="53"/>
    </row>
    <row r="422" spans="1:12" s="64" customFormat="1">
      <c r="A422" s="53"/>
      <c r="B422" s="53"/>
      <c r="C422" s="79"/>
      <c r="D422" s="79"/>
      <c r="E422" s="53"/>
      <c r="G422" s="53"/>
      <c r="H422" s="53"/>
      <c r="I422" s="53"/>
      <c r="J422" s="106"/>
      <c r="K422" s="106"/>
      <c r="L422" s="106"/>
    </row>
    <row r="423" spans="1:12" s="64" customFormat="1">
      <c r="A423" s="3"/>
      <c r="B423" s="102"/>
      <c r="C423" s="3"/>
      <c r="D423" s="102"/>
      <c r="E423" s="107"/>
      <c r="G423" s="53"/>
      <c r="H423" s="108"/>
      <c r="I423" s="53"/>
      <c r="J423" s="106"/>
      <c r="K423" s="106"/>
      <c r="L423" s="106"/>
    </row>
    <row r="424" spans="1:12" s="64" customFormat="1">
      <c r="A424" s="53"/>
      <c r="B424" s="53"/>
      <c r="C424" s="53"/>
      <c r="D424" s="53"/>
      <c r="E424" s="107"/>
      <c r="G424" s="53"/>
      <c r="H424" s="53"/>
      <c r="I424" s="53"/>
      <c r="J424" s="79"/>
      <c r="K424" s="79"/>
      <c r="L424" s="53"/>
    </row>
    <row r="425" spans="1:12" s="64" customFormat="1">
      <c r="A425" s="53"/>
      <c r="B425" s="53"/>
      <c r="C425" s="53"/>
      <c r="D425" s="106"/>
      <c r="E425" s="106"/>
      <c r="G425" s="53"/>
      <c r="H425" s="93"/>
      <c r="I425" s="79"/>
      <c r="J425" s="79"/>
      <c r="K425" s="79"/>
      <c r="L425" s="106"/>
    </row>
    <row r="426" spans="1:12" s="64" customFormat="1">
      <c r="A426" s="53"/>
      <c r="B426" s="53"/>
      <c r="C426" s="53"/>
      <c r="D426" s="53"/>
      <c r="E426" s="53"/>
      <c r="G426" s="53"/>
      <c r="H426" s="93"/>
      <c r="I426" s="79"/>
      <c r="J426" s="79"/>
      <c r="K426" s="79"/>
      <c r="L426" s="53"/>
    </row>
    <row r="427" spans="1:12" s="64" customFormat="1">
      <c r="A427" s="53"/>
      <c r="B427" s="53"/>
      <c r="C427" s="53"/>
      <c r="D427" s="106"/>
      <c r="E427" s="106"/>
      <c r="G427" s="53"/>
      <c r="H427" s="93"/>
      <c r="I427" s="79"/>
      <c r="J427" s="79"/>
      <c r="K427" s="79"/>
      <c r="L427" s="106"/>
    </row>
    <row r="428" spans="1:12" s="64" customFormat="1">
      <c r="A428" s="53"/>
      <c r="B428" s="53"/>
      <c r="C428" s="53"/>
      <c r="D428" s="109"/>
      <c r="E428" s="109"/>
      <c r="F428" s="53"/>
      <c r="G428" s="103"/>
      <c r="H428" s="103"/>
      <c r="I428" s="104"/>
      <c r="J428" s="104"/>
      <c r="K428" s="79"/>
      <c r="L428" s="106"/>
    </row>
    <row r="429" spans="1:12" s="64" customFormat="1">
      <c r="A429" s="53"/>
      <c r="B429" s="53"/>
      <c r="C429" s="79"/>
      <c r="D429" s="79"/>
      <c r="E429" s="79"/>
      <c r="F429" s="53"/>
      <c r="G429" s="53"/>
      <c r="H429" s="53"/>
    </row>
    <row r="430" spans="1:12" s="64" customFormat="1">
      <c r="A430" s="53"/>
      <c r="B430" s="53"/>
      <c r="C430" s="53"/>
      <c r="D430" s="79"/>
      <c r="E430" s="53"/>
      <c r="F430" s="53"/>
      <c r="G430" s="110"/>
      <c r="H430" s="53"/>
      <c r="I430" s="53"/>
      <c r="J430" s="79"/>
      <c r="K430" s="79"/>
    </row>
    <row r="431" spans="1:12" s="64" customFormat="1">
      <c r="A431" s="53"/>
      <c r="B431" s="93"/>
      <c r="C431" s="79"/>
      <c r="D431" s="79"/>
      <c r="E431" s="53"/>
      <c r="F431" s="53"/>
      <c r="G431" s="102"/>
      <c r="H431" s="93"/>
      <c r="I431" s="79"/>
      <c r="J431" s="79"/>
      <c r="K431" s="79"/>
    </row>
    <row r="432" spans="1:12" s="64" customFormat="1">
      <c r="A432" s="53"/>
      <c r="B432" s="93"/>
      <c r="C432" s="79"/>
      <c r="D432" s="79"/>
      <c r="E432" s="53"/>
      <c r="F432" s="53"/>
      <c r="G432" s="53"/>
      <c r="H432" s="93"/>
      <c r="I432" s="79"/>
      <c r="J432" s="79"/>
      <c r="K432" s="79"/>
    </row>
    <row r="433" spans="1:11" s="64" customFormat="1">
      <c r="A433" s="53"/>
      <c r="B433" s="93"/>
      <c r="C433" s="79"/>
      <c r="D433" s="79"/>
      <c r="E433" s="53"/>
      <c r="F433" s="53"/>
      <c r="G433" s="53"/>
      <c r="H433" s="93"/>
      <c r="I433" s="79"/>
      <c r="J433" s="79"/>
      <c r="K433" s="79"/>
    </row>
    <row r="434" spans="1:11" s="64" customFormat="1">
      <c r="A434" s="53"/>
      <c r="B434" s="93"/>
      <c r="C434" s="79"/>
      <c r="D434" s="79"/>
      <c r="E434" s="111"/>
      <c r="F434" s="53"/>
      <c r="G434" s="53"/>
      <c r="H434" s="93"/>
      <c r="I434" s="79"/>
      <c r="J434" s="79"/>
      <c r="K434" s="79"/>
    </row>
    <row r="435" spans="1:11" s="64" customFormat="1">
      <c r="A435" s="53"/>
      <c r="B435" s="93"/>
      <c r="C435" s="79"/>
      <c r="D435" s="79"/>
      <c r="E435" s="53"/>
      <c r="F435" s="53"/>
      <c r="G435" s="53"/>
      <c r="H435" s="93"/>
      <c r="I435" s="79"/>
      <c r="J435" s="79"/>
      <c r="K435" s="79"/>
    </row>
    <row r="436" spans="1:11" s="64" customFormat="1">
      <c r="A436" s="53"/>
      <c r="B436" s="93"/>
      <c r="C436" s="79"/>
      <c r="D436" s="79"/>
      <c r="E436" s="53"/>
      <c r="F436" s="53"/>
      <c r="G436" s="53"/>
      <c r="H436" s="93"/>
      <c r="I436" s="79"/>
      <c r="J436" s="79"/>
      <c r="K436" s="79"/>
    </row>
    <row r="437" spans="1:11" s="64" customFormat="1">
      <c r="A437" s="53"/>
      <c r="B437" s="93"/>
      <c r="C437" s="79"/>
      <c r="D437" s="79"/>
      <c r="E437" s="53"/>
      <c r="F437" s="53"/>
      <c r="G437" s="53"/>
      <c r="H437" s="93"/>
      <c r="I437" s="79"/>
      <c r="J437" s="79"/>
      <c r="K437" s="79"/>
    </row>
    <row r="438" spans="1:11" s="64" customFormat="1">
      <c r="A438" s="103"/>
      <c r="B438" s="103"/>
      <c r="C438" s="104"/>
      <c r="D438" s="104"/>
      <c r="E438" s="53"/>
      <c r="F438" s="53"/>
      <c r="G438" s="103"/>
      <c r="H438" s="103"/>
      <c r="I438" s="104"/>
      <c r="J438" s="104"/>
      <c r="K438" s="104"/>
    </row>
    <row r="439" spans="1:11" s="64" customFormat="1">
      <c r="A439" s="53"/>
      <c r="B439" s="53"/>
      <c r="C439" s="79"/>
      <c r="D439" s="79"/>
      <c r="E439" s="53"/>
      <c r="F439" s="53"/>
    </row>
    <row r="440" spans="1:11" s="64" customFormat="1">
      <c r="A440" s="53"/>
      <c r="B440" s="53"/>
      <c r="C440" s="79"/>
      <c r="D440" s="104"/>
      <c r="E440" s="53"/>
      <c r="F440" s="53"/>
    </row>
    <row r="441" spans="1:11" s="64" customFormat="1">
      <c r="A441" s="53"/>
      <c r="B441" s="53"/>
      <c r="C441" s="79"/>
      <c r="D441" s="79"/>
      <c r="E441" s="53"/>
      <c r="F441" s="53"/>
    </row>
    <row r="442" spans="1:11" s="64" customFormat="1">
      <c r="A442" s="53"/>
      <c r="B442" s="53"/>
      <c r="C442" s="79"/>
      <c r="D442" s="79"/>
      <c r="E442" s="53"/>
      <c r="F442" s="53"/>
    </row>
    <row r="443" spans="1:11" s="64" customFormat="1">
      <c r="A443" s="53"/>
      <c r="B443" s="112"/>
      <c r="C443" s="79"/>
      <c r="D443" s="79"/>
      <c r="E443" s="53"/>
      <c r="F443" s="53"/>
    </row>
    <row r="444" spans="1:11" s="64" customFormat="1">
      <c r="A444" s="53"/>
      <c r="B444" s="112"/>
      <c r="C444" s="79"/>
      <c r="D444" s="79"/>
      <c r="E444" s="53"/>
      <c r="F444" s="53"/>
    </row>
    <row r="445" spans="1:11" s="64" customFormat="1">
      <c r="A445" s="53"/>
      <c r="B445" s="113"/>
      <c r="C445" s="79"/>
      <c r="D445" s="79"/>
      <c r="E445" s="53"/>
      <c r="F445" s="53"/>
    </row>
    <row r="446" spans="1:11" s="64" customFormat="1">
      <c r="A446" s="53"/>
      <c r="B446" s="113"/>
      <c r="C446" s="79"/>
      <c r="D446" s="79"/>
      <c r="E446" s="53"/>
      <c r="F446" s="53"/>
    </row>
    <row r="447" spans="1:11" s="64" customFormat="1">
      <c r="A447" s="53"/>
      <c r="B447" s="113"/>
      <c r="C447" s="79"/>
      <c r="D447" s="79"/>
      <c r="E447" s="53"/>
      <c r="F447" s="53"/>
    </row>
    <row r="448" spans="1:11" s="64" customFormat="1">
      <c r="A448" s="53"/>
      <c r="B448" s="113"/>
      <c r="C448" s="79"/>
      <c r="D448" s="79"/>
      <c r="E448" s="53"/>
      <c r="F448" s="53"/>
    </row>
    <row r="449" spans="1:19" s="64" customFormat="1">
      <c r="A449" s="53"/>
      <c r="B449" s="112"/>
      <c r="C449" s="79"/>
      <c r="D449" s="79"/>
      <c r="E449" s="53"/>
      <c r="F449" s="53"/>
    </row>
    <row r="450" spans="1:19" s="64" customFormat="1">
      <c r="A450" s="53"/>
      <c r="B450" s="112"/>
      <c r="C450" s="79"/>
      <c r="D450" s="79"/>
      <c r="E450" s="53"/>
      <c r="F450" s="53"/>
    </row>
    <row r="451" spans="1:19" s="64" customFormat="1">
      <c r="A451" s="53"/>
      <c r="B451" s="112"/>
      <c r="C451" s="79"/>
      <c r="D451" s="66"/>
      <c r="E451" s="53"/>
      <c r="F451" s="53"/>
      <c r="N451" s="53"/>
    </row>
    <row r="452" spans="1:19" s="64" customFormat="1">
      <c r="A452" s="53"/>
      <c r="B452" s="113"/>
      <c r="C452" s="79"/>
      <c r="D452" s="79"/>
      <c r="E452" s="53"/>
      <c r="F452" s="53"/>
      <c r="G452" s="53"/>
      <c r="I452" s="114"/>
      <c r="N452" s="53"/>
    </row>
    <row r="453" spans="1:19" s="64" customFormat="1">
      <c r="A453" s="53"/>
      <c r="B453" s="53"/>
      <c r="C453" s="79"/>
      <c r="D453" s="79"/>
      <c r="E453" s="79"/>
      <c r="F453" s="79"/>
      <c r="N453" s="53"/>
    </row>
    <row r="454" spans="1:19" s="64" customFormat="1">
      <c r="A454" s="53"/>
      <c r="B454" s="53"/>
      <c r="C454" s="79"/>
      <c r="D454" s="79"/>
      <c r="F454" s="108"/>
      <c r="N454" s="53"/>
    </row>
    <row r="455" spans="1:19" s="64" customFormat="1">
      <c r="D455" s="79"/>
    </row>
    <row r="456" spans="1:19" s="64" customFormat="1"/>
    <row r="457" spans="1:19" s="64" customFormat="1"/>
    <row r="458" spans="1:19" s="64" customFormat="1">
      <c r="A458" s="53"/>
      <c r="B458" s="53"/>
      <c r="C458" s="53"/>
      <c r="D458" s="53"/>
      <c r="L458" s="53"/>
      <c r="M458" s="53"/>
      <c r="N458" s="53"/>
      <c r="O458" s="53"/>
      <c r="P458" s="53"/>
    </row>
    <row r="459" spans="1:19" s="64" customFormat="1">
      <c r="A459" s="53"/>
      <c r="B459" s="53"/>
      <c r="C459" s="53"/>
      <c r="D459" s="53"/>
      <c r="E459" s="53"/>
      <c r="F459" s="53"/>
      <c r="L459" s="53"/>
      <c r="M459" s="53"/>
      <c r="N459" s="53"/>
      <c r="O459" s="53"/>
      <c r="P459" s="79"/>
    </row>
    <row r="460" spans="1:19" s="64" customFormat="1">
      <c r="A460" s="53"/>
      <c r="B460" s="101"/>
      <c r="C460" s="79"/>
      <c r="D460" s="79"/>
      <c r="E460" s="102"/>
      <c r="F460" s="53"/>
      <c r="L460" s="53"/>
      <c r="M460" s="53"/>
      <c r="N460" s="79"/>
      <c r="O460" s="79"/>
      <c r="P460" s="79"/>
    </row>
    <row r="461" spans="1:19" s="64" customFormat="1">
      <c r="A461" s="53"/>
      <c r="B461" s="53"/>
      <c r="C461" s="79"/>
      <c r="D461" s="79"/>
      <c r="E461" s="53"/>
      <c r="F461" s="53"/>
      <c r="L461" s="53"/>
      <c r="M461" s="53"/>
      <c r="N461" s="79"/>
      <c r="O461" s="102"/>
      <c r="P461" s="79"/>
    </row>
    <row r="462" spans="1:19" s="64" customFormat="1">
      <c r="A462" s="53"/>
      <c r="B462" s="53"/>
      <c r="C462" s="79"/>
      <c r="D462" s="79"/>
      <c r="E462" s="53"/>
      <c r="F462" s="53"/>
      <c r="L462" s="53"/>
      <c r="M462" s="53"/>
      <c r="N462" s="79"/>
      <c r="O462" s="102"/>
      <c r="P462" s="79"/>
    </row>
    <row r="463" spans="1:19" s="64" customFormat="1">
      <c r="A463" s="53"/>
      <c r="B463" s="53"/>
      <c r="C463" s="79"/>
      <c r="D463" s="79"/>
      <c r="E463" s="53"/>
      <c r="F463" s="53"/>
      <c r="L463" s="53"/>
      <c r="M463" s="79"/>
      <c r="N463" s="66"/>
      <c r="O463" s="53"/>
      <c r="P463" s="53"/>
      <c r="Q463" s="53"/>
      <c r="R463" s="53"/>
      <c r="S463" s="53"/>
    </row>
    <row r="464" spans="1:19" s="64" customFormat="1">
      <c r="A464" s="53"/>
      <c r="B464" s="53"/>
      <c r="C464" s="79"/>
      <c r="D464" s="79"/>
      <c r="E464" s="53"/>
      <c r="F464" s="53"/>
      <c r="L464" s="53"/>
      <c r="M464" s="53"/>
      <c r="N464" s="66"/>
      <c r="O464" s="53"/>
      <c r="P464" s="53"/>
      <c r="Q464" s="79"/>
      <c r="R464" s="79"/>
      <c r="S464" s="53"/>
    </row>
    <row r="465" spans="1:19" s="64" customFormat="1">
      <c r="A465" s="53"/>
      <c r="B465" s="53"/>
      <c r="C465" s="79"/>
      <c r="D465" s="79"/>
      <c r="E465" s="53"/>
      <c r="F465" s="53"/>
      <c r="L465" s="53"/>
      <c r="M465" s="53"/>
      <c r="N465" s="66"/>
      <c r="O465" s="53"/>
      <c r="P465" s="53"/>
      <c r="Q465" s="79"/>
      <c r="R465" s="79"/>
      <c r="S465" s="53"/>
    </row>
    <row r="466" spans="1:19" s="64" customFormat="1">
      <c r="A466" s="53"/>
      <c r="B466" s="53"/>
      <c r="C466" s="79"/>
      <c r="D466" s="79"/>
      <c r="E466" s="53"/>
      <c r="F466" s="53"/>
      <c r="L466" s="53"/>
      <c r="M466" s="53"/>
      <c r="N466" s="66"/>
      <c r="O466" s="53"/>
      <c r="P466" s="53"/>
      <c r="Q466" s="79"/>
      <c r="R466" s="79"/>
      <c r="S466" s="53"/>
    </row>
    <row r="467" spans="1:19" s="64" customFormat="1">
      <c r="A467" s="53"/>
      <c r="B467" s="53"/>
      <c r="C467" s="79"/>
      <c r="D467" s="79"/>
      <c r="E467" s="53"/>
      <c r="F467" s="53"/>
      <c r="L467" s="53"/>
      <c r="M467" s="53"/>
      <c r="N467" s="66"/>
      <c r="O467" s="53"/>
      <c r="P467" s="53"/>
      <c r="Q467" s="79"/>
      <c r="R467" s="79"/>
      <c r="S467" s="53"/>
    </row>
    <row r="468" spans="1:19" s="64" customFormat="1">
      <c r="A468" s="53"/>
      <c r="B468" s="53"/>
      <c r="C468" s="79"/>
      <c r="D468" s="79"/>
      <c r="E468" s="53"/>
      <c r="F468" s="53"/>
      <c r="L468" s="53"/>
      <c r="M468" s="53"/>
      <c r="N468" s="66"/>
      <c r="O468" s="53"/>
      <c r="P468" s="53"/>
      <c r="Q468" s="53"/>
      <c r="R468" s="53"/>
      <c r="S468" s="53"/>
    </row>
    <row r="469" spans="1:19" s="64" customFormat="1">
      <c r="A469" s="53"/>
      <c r="B469" s="53"/>
      <c r="C469" s="79"/>
      <c r="D469" s="79"/>
      <c r="E469" s="53"/>
      <c r="F469" s="53"/>
      <c r="L469" s="53"/>
      <c r="M469" s="53"/>
      <c r="N469" s="66"/>
      <c r="O469" s="53"/>
      <c r="P469" s="53"/>
      <c r="Q469" s="53"/>
      <c r="R469" s="53"/>
      <c r="S469" s="53"/>
    </row>
    <row r="470" spans="1:19" s="64" customFormat="1">
      <c r="A470" s="53"/>
      <c r="B470" s="53"/>
      <c r="C470" s="79"/>
      <c r="D470" s="79"/>
      <c r="E470" s="53"/>
      <c r="F470" s="53"/>
      <c r="Q470" s="53"/>
      <c r="R470" s="53"/>
      <c r="S470" s="53"/>
    </row>
    <row r="471" spans="1:19" s="64" customFormat="1">
      <c r="A471" s="53"/>
      <c r="B471" s="53"/>
      <c r="C471" s="79"/>
      <c r="D471" s="79"/>
      <c r="E471" s="53"/>
      <c r="F471" s="53"/>
      <c r="Q471" s="53"/>
      <c r="R471" s="53"/>
      <c r="S471" s="53"/>
    </row>
    <row r="472" spans="1:19" s="64" customFormat="1">
      <c r="A472" s="53"/>
      <c r="B472" s="53"/>
      <c r="C472" s="79"/>
      <c r="D472" s="79"/>
      <c r="E472" s="102"/>
      <c r="F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Q473" s="53"/>
      <c r="R473" s="53"/>
      <c r="S473" s="53"/>
    </row>
    <row r="474" spans="1:19" s="64" customFormat="1">
      <c r="A474" s="53"/>
      <c r="B474" s="53"/>
      <c r="C474" s="79"/>
      <c r="D474" s="79"/>
      <c r="E474" s="53"/>
      <c r="F474" s="53"/>
      <c r="Q474" s="53"/>
      <c r="R474" s="53"/>
      <c r="S474" s="53"/>
    </row>
    <row r="475" spans="1:19" s="64" customFormat="1">
      <c r="A475" s="53"/>
      <c r="B475" s="53"/>
      <c r="C475" s="79"/>
      <c r="D475" s="79"/>
      <c r="E475" s="53"/>
      <c r="F475" s="53"/>
    </row>
    <row r="476" spans="1:19" s="64" customFormat="1">
      <c r="A476" s="53"/>
      <c r="B476" s="53"/>
      <c r="C476" s="79"/>
      <c r="D476" s="79"/>
      <c r="E476" s="53"/>
      <c r="F476" s="53"/>
    </row>
    <row r="477" spans="1:19" s="64" customFormat="1">
      <c r="A477" s="103"/>
      <c r="B477" s="103"/>
      <c r="C477" s="104"/>
      <c r="D477" s="104"/>
      <c r="E477" s="53"/>
      <c r="F477" s="53"/>
    </row>
    <row r="478" spans="1:19" s="64" customFormat="1">
      <c r="A478" s="103"/>
      <c r="B478" s="105"/>
      <c r="C478" s="104"/>
      <c r="D478" s="104"/>
      <c r="E478" s="53"/>
      <c r="F478" s="53"/>
    </row>
    <row r="479" spans="1:19" s="64" customFormat="1">
      <c r="A479" s="103"/>
      <c r="B479" s="103"/>
      <c r="C479" s="104"/>
      <c r="D479" s="104"/>
      <c r="E479" s="53"/>
      <c r="F479" s="53"/>
    </row>
    <row r="480" spans="1:19" s="64" customFormat="1">
      <c r="A480" s="103"/>
      <c r="B480" s="105"/>
      <c r="C480" s="104"/>
      <c r="D480" s="104"/>
      <c r="E480" s="53"/>
      <c r="G480" s="53"/>
      <c r="H480" s="53"/>
      <c r="I480" s="53"/>
      <c r="J480" s="53"/>
      <c r="K480" s="53"/>
      <c r="L480" s="53"/>
    </row>
    <row r="481" spans="1:12" s="64" customFormat="1">
      <c r="A481" s="53"/>
      <c r="B481" s="53"/>
      <c r="C481" s="79"/>
      <c r="D481" s="79"/>
      <c r="E481" s="53"/>
      <c r="G481" s="53"/>
      <c r="H481" s="53"/>
      <c r="I481" s="53"/>
      <c r="J481" s="106"/>
      <c r="K481" s="106"/>
      <c r="L481" s="106"/>
    </row>
    <row r="482" spans="1:12" s="64" customFormat="1">
      <c r="A482" s="3"/>
      <c r="B482" s="102"/>
      <c r="C482" s="3"/>
      <c r="D482" s="102"/>
      <c r="E482" s="107"/>
      <c r="G482" s="53"/>
      <c r="H482" s="108"/>
      <c r="I482" s="53"/>
      <c r="J482" s="106"/>
      <c r="K482" s="106"/>
      <c r="L482" s="106"/>
    </row>
    <row r="483" spans="1:12" s="64" customFormat="1">
      <c r="A483" s="53"/>
      <c r="B483" s="53"/>
      <c r="C483" s="53"/>
      <c r="D483" s="53"/>
      <c r="E483" s="107"/>
      <c r="G483" s="53"/>
      <c r="H483" s="53"/>
      <c r="I483" s="53"/>
      <c r="J483" s="79"/>
      <c r="K483" s="79"/>
      <c r="L483" s="53"/>
    </row>
    <row r="484" spans="1:12" s="64" customFormat="1">
      <c r="A484" s="53"/>
      <c r="B484" s="53"/>
      <c r="C484" s="53"/>
      <c r="D484" s="106"/>
      <c r="E484" s="106"/>
      <c r="G484" s="53"/>
      <c r="H484" s="93"/>
      <c r="I484" s="79"/>
      <c r="J484" s="79"/>
      <c r="K484" s="79"/>
      <c r="L484" s="106"/>
    </row>
    <row r="485" spans="1:12" s="64" customFormat="1">
      <c r="A485" s="53"/>
      <c r="B485" s="53"/>
      <c r="C485" s="53"/>
      <c r="D485" s="53"/>
      <c r="E485" s="53"/>
      <c r="G485" s="53"/>
      <c r="H485" s="93"/>
      <c r="I485" s="79"/>
      <c r="J485" s="79"/>
      <c r="K485" s="79"/>
      <c r="L485" s="53"/>
    </row>
    <row r="486" spans="1:12" s="64" customFormat="1">
      <c r="A486" s="53"/>
      <c r="B486" s="53"/>
      <c r="C486" s="53"/>
      <c r="D486" s="106"/>
      <c r="E486" s="106"/>
      <c r="G486" s="53"/>
      <c r="H486" s="93"/>
      <c r="I486" s="79"/>
      <c r="J486" s="79"/>
      <c r="K486" s="79"/>
      <c r="L486" s="106"/>
    </row>
    <row r="487" spans="1:12" s="64" customFormat="1">
      <c r="A487" s="53"/>
      <c r="B487" s="53"/>
      <c r="C487" s="53"/>
      <c r="D487" s="109"/>
      <c r="E487" s="109"/>
      <c r="F487" s="53"/>
      <c r="G487" s="103"/>
      <c r="H487" s="103"/>
      <c r="I487" s="104"/>
      <c r="J487" s="104"/>
      <c r="K487" s="79"/>
      <c r="L487" s="106"/>
    </row>
    <row r="488" spans="1:12" s="64" customFormat="1">
      <c r="A488" s="53"/>
      <c r="B488" s="53"/>
      <c r="C488" s="79"/>
      <c r="D488" s="79"/>
      <c r="E488" s="79"/>
      <c r="F488" s="53"/>
      <c r="G488" s="53"/>
      <c r="H488" s="53"/>
    </row>
    <row r="489" spans="1:12" s="64" customFormat="1">
      <c r="A489" s="53"/>
      <c r="B489" s="53"/>
      <c r="C489" s="53"/>
      <c r="D489" s="79"/>
      <c r="E489" s="53"/>
      <c r="F489" s="53"/>
      <c r="G489" s="110"/>
      <c r="H489" s="53"/>
      <c r="I489" s="53"/>
      <c r="J489" s="79"/>
      <c r="K489" s="79"/>
    </row>
    <row r="490" spans="1:12" s="64" customFormat="1">
      <c r="A490" s="53"/>
      <c r="B490" s="93"/>
      <c r="C490" s="79"/>
      <c r="D490" s="79"/>
      <c r="E490" s="53"/>
      <c r="F490" s="53"/>
      <c r="G490" s="102"/>
      <c r="H490" s="93"/>
      <c r="I490" s="79"/>
      <c r="J490" s="79"/>
      <c r="K490" s="79"/>
    </row>
    <row r="491" spans="1:12" s="64" customFormat="1">
      <c r="A491" s="53"/>
      <c r="B491" s="93"/>
      <c r="C491" s="79"/>
      <c r="D491" s="79"/>
      <c r="E491" s="53"/>
      <c r="F491" s="53"/>
      <c r="G491" s="53"/>
      <c r="H491" s="93"/>
      <c r="I491" s="79"/>
      <c r="J491" s="79"/>
      <c r="K491" s="79"/>
    </row>
    <row r="492" spans="1:12" s="64" customFormat="1">
      <c r="A492" s="53"/>
      <c r="B492" s="93"/>
      <c r="C492" s="79"/>
      <c r="D492" s="79"/>
      <c r="E492" s="53"/>
      <c r="F492" s="53"/>
      <c r="G492" s="53"/>
      <c r="H492" s="93"/>
      <c r="I492" s="79"/>
      <c r="J492" s="79"/>
      <c r="K492" s="79"/>
    </row>
    <row r="493" spans="1:12" s="64" customFormat="1">
      <c r="A493" s="53"/>
      <c r="B493" s="93"/>
      <c r="C493" s="79"/>
      <c r="D493" s="79"/>
      <c r="E493" s="111"/>
      <c r="F493" s="53"/>
      <c r="G493" s="53"/>
      <c r="H493" s="93"/>
      <c r="I493" s="79"/>
      <c r="J493" s="79"/>
      <c r="K493" s="79"/>
    </row>
    <row r="494" spans="1:12" s="64" customFormat="1">
      <c r="A494" s="53"/>
      <c r="B494" s="93"/>
      <c r="C494" s="79"/>
      <c r="D494" s="79"/>
      <c r="E494" s="111"/>
      <c r="F494" s="53"/>
      <c r="G494" s="53"/>
      <c r="H494" s="93"/>
      <c r="I494" s="79"/>
      <c r="J494" s="79"/>
      <c r="K494" s="79"/>
    </row>
    <row r="495" spans="1:12" s="64" customFormat="1">
      <c r="A495" s="53"/>
      <c r="B495" s="93"/>
      <c r="C495" s="79"/>
      <c r="D495" s="79"/>
      <c r="E495" s="53"/>
      <c r="F495" s="53"/>
      <c r="G495" s="53"/>
      <c r="H495" s="93"/>
      <c r="I495" s="79"/>
      <c r="J495" s="79"/>
      <c r="K495" s="79"/>
    </row>
    <row r="496" spans="1:12" s="64" customFormat="1">
      <c r="A496" s="53"/>
      <c r="B496" s="93"/>
      <c r="C496" s="79"/>
      <c r="D496" s="79"/>
      <c r="E496" s="53"/>
      <c r="F496" s="53"/>
      <c r="G496" s="53"/>
      <c r="H496" s="93"/>
      <c r="I496" s="79"/>
      <c r="J496" s="79"/>
      <c r="K496" s="79"/>
    </row>
    <row r="497" spans="1:14" s="64" customFormat="1">
      <c r="A497" s="103"/>
      <c r="B497" s="103"/>
      <c r="C497" s="104"/>
      <c r="D497" s="104"/>
      <c r="E497" s="53"/>
      <c r="F497" s="53"/>
      <c r="G497" s="103"/>
      <c r="H497" s="103"/>
      <c r="I497" s="104"/>
      <c r="J497" s="104"/>
      <c r="K497" s="104"/>
    </row>
    <row r="498" spans="1:14" s="64" customFormat="1">
      <c r="A498" s="53"/>
      <c r="B498" s="53"/>
      <c r="C498" s="79"/>
      <c r="D498" s="79"/>
      <c r="E498" s="53"/>
      <c r="F498" s="53"/>
    </row>
    <row r="499" spans="1:14" s="64" customFormat="1">
      <c r="A499" s="53"/>
      <c r="B499" s="53"/>
      <c r="C499" s="79"/>
      <c r="D499" s="104"/>
      <c r="E499" s="53"/>
      <c r="F499" s="53"/>
    </row>
    <row r="500" spans="1:14" s="64" customFormat="1">
      <c r="A500" s="53"/>
      <c r="B500" s="53"/>
      <c r="C500" s="79"/>
      <c r="D500" s="79"/>
      <c r="E500" s="53"/>
      <c r="F500" s="53"/>
    </row>
    <row r="501" spans="1:14" s="64" customFormat="1">
      <c r="A501" s="53"/>
      <c r="B501" s="53"/>
      <c r="C501" s="79"/>
      <c r="D501" s="79"/>
      <c r="E501" s="53"/>
      <c r="F501" s="53"/>
    </row>
    <row r="502" spans="1:14" s="64" customFormat="1">
      <c r="A502" s="53"/>
      <c r="B502" s="112"/>
      <c r="C502" s="79"/>
      <c r="D502" s="79"/>
      <c r="E502" s="53"/>
      <c r="F502" s="53"/>
    </row>
    <row r="503" spans="1:14" s="64" customFormat="1">
      <c r="A503" s="53"/>
      <c r="B503" s="112"/>
      <c r="C503" s="79"/>
      <c r="D503" s="79"/>
      <c r="E503" s="53"/>
      <c r="F503" s="53"/>
    </row>
    <row r="504" spans="1:14" s="64" customFormat="1">
      <c r="A504" s="53"/>
      <c r="B504" s="113"/>
      <c r="C504" s="79"/>
      <c r="D504" s="79"/>
      <c r="E504" s="53"/>
      <c r="F504" s="53"/>
    </row>
    <row r="505" spans="1:14" s="64" customFormat="1">
      <c r="A505" s="53"/>
      <c r="B505" s="113"/>
      <c r="C505" s="79"/>
      <c r="D505" s="79"/>
      <c r="E505" s="53"/>
      <c r="F505" s="53"/>
    </row>
    <row r="506" spans="1:14" s="64" customFormat="1">
      <c r="A506" s="53"/>
      <c r="B506" s="113"/>
      <c r="C506" s="79"/>
      <c r="D506" s="79"/>
      <c r="E506" s="53"/>
      <c r="F506" s="53"/>
    </row>
    <row r="507" spans="1:14" s="64" customFormat="1">
      <c r="A507" s="53"/>
      <c r="B507" s="113"/>
      <c r="C507" s="79"/>
      <c r="D507" s="79"/>
      <c r="E507" s="53"/>
      <c r="F507" s="53"/>
    </row>
    <row r="508" spans="1:14" s="64" customFormat="1">
      <c r="A508" s="53"/>
      <c r="B508" s="112"/>
      <c r="C508" s="79"/>
      <c r="D508" s="79"/>
      <c r="E508" s="53"/>
      <c r="F508" s="53"/>
    </row>
    <row r="509" spans="1:14" s="64" customFormat="1">
      <c r="A509" s="53"/>
      <c r="B509" s="112"/>
      <c r="C509" s="79"/>
      <c r="D509" s="79"/>
      <c r="E509" s="53"/>
      <c r="F509" s="53"/>
    </row>
    <row r="510" spans="1:14" s="64" customFormat="1">
      <c r="A510" s="53"/>
      <c r="B510" s="112"/>
      <c r="C510" s="79"/>
      <c r="D510" s="66"/>
      <c r="E510" s="53"/>
      <c r="F510" s="53"/>
      <c r="N510" s="53"/>
    </row>
    <row r="511" spans="1:14" s="64" customFormat="1">
      <c r="A511" s="53"/>
      <c r="B511" s="113"/>
      <c r="C511" s="79"/>
      <c r="D511" s="79"/>
      <c r="E511" s="53"/>
      <c r="F511" s="53"/>
      <c r="G511" s="53"/>
      <c r="I511" s="114"/>
      <c r="N511" s="53"/>
    </row>
    <row r="512" spans="1:14" s="64" customFormat="1">
      <c r="A512" s="53"/>
      <c r="B512" s="53"/>
      <c r="C512" s="79"/>
      <c r="D512" s="79"/>
      <c r="E512" s="79"/>
      <c r="F512" s="79"/>
      <c r="N512" s="53"/>
    </row>
    <row r="513" spans="1:19" s="64" customFormat="1">
      <c r="A513" s="53"/>
      <c r="B513" s="53"/>
      <c r="C513" s="79"/>
      <c r="D513" s="79"/>
      <c r="F513" s="108"/>
      <c r="N513" s="53"/>
    </row>
    <row r="514" spans="1:19" s="64" customFormat="1">
      <c r="D514" s="79"/>
    </row>
    <row r="515" spans="1:19" s="64" customFormat="1"/>
    <row r="516" spans="1:19" s="64" customFormat="1"/>
    <row r="517" spans="1:19" s="64" customFormat="1">
      <c r="A517" s="53"/>
      <c r="B517" s="53"/>
      <c r="C517" s="53"/>
      <c r="D517" s="53"/>
      <c r="L517" s="53"/>
      <c r="M517" s="53"/>
      <c r="N517" s="53"/>
      <c r="O517" s="53"/>
      <c r="P517" s="53"/>
    </row>
    <row r="518" spans="1:19" s="64" customFormat="1">
      <c r="A518" s="53"/>
      <c r="B518" s="53"/>
      <c r="C518" s="53"/>
      <c r="D518" s="53"/>
      <c r="E518" s="53"/>
      <c r="F518" s="53"/>
      <c r="L518" s="53"/>
      <c r="M518" s="53"/>
      <c r="N518" s="53"/>
      <c r="O518" s="53"/>
      <c r="P518" s="79"/>
    </row>
    <row r="519" spans="1:19" s="64" customFormat="1">
      <c r="A519" s="53"/>
      <c r="B519" s="101"/>
      <c r="C519" s="79"/>
      <c r="D519" s="79"/>
      <c r="E519" s="102"/>
      <c r="F519" s="53"/>
      <c r="L519" s="53"/>
      <c r="M519" s="53"/>
      <c r="N519" s="79"/>
      <c r="O519" s="79"/>
      <c r="P519" s="79"/>
    </row>
    <row r="520" spans="1:19" s="64" customFormat="1">
      <c r="A520" s="53"/>
      <c r="B520" s="53"/>
      <c r="C520" s="79"/>
      <c r="D520" s="79"/>
      <c r="E520" s="53"/>
      <c r="F520" s="53"/>
      <c r="L520" s="53"/>
      <c r="M520" s="53"/>
      <c r="N520" s="79"/>
      <c r="O520" s="102"/>
      <c r="P520" s="79"/>
    </row>
    <row r="521" spans="1:19" s="64" customFormat="1">
      <c r="A521" s="53"/>
      <c r="B521" s="53"/>
      <c r="C521" s="79"/>
      <c r="D521" s="79"/>
      <c r="E521" s="53"/>
      <c r="F521" s="53"/>
      <c r="L521" s="53"/>
      <c r="M521" s="53"/>
      <c r="N521" s="79"/>
      <c r="O521" s="102"/>
      <c r="P521" s="79"/>
    </row>
    <row r="522" spans="1:19" s="64" customFormat="1">
      <c r="A522" s="53"/>
      <c r="B522" s="53"/>
      <c r="C522" s="79"/>
      <c r="D522" s="79"/>
      <c r="E522" s="53"/>
      <c r="F522" s="53"/>
      <c r="L522" s="53"/>
      <c r="M522" s="79"/>
      <c r="N522" s="66"/>
      <c r="O522" s="53"/>
      <c r="P522" s="53"/>
      <c r="Q522" s="53"/>
      <c r="R522" s="53"/>
      <c r="S522" s="53"/>
    </row>
    <row r="523" spans="1:19" s="64" customFormat="1">
      <c r="A523" s="53"/>
      <c r="B523" s="53"/>
      <c r="C523" s="79"/>
      <c r="D523" s="79"/>
      <c r="E523" s="53"/>
      <c r="F523" s="53"/>
      <c r="L523" s="53"/>
      <c r="M523" s="53"/>
      <c r="N523" s="66"/>
      <c r="O523" s="53"/>
      <c r="P523" s="53"/>
      <c r="Q523" s="79"/>
      <c r="R523" s="79"/>
      <c r="S523" s="53"/>
    </row>
    <row r="524" spans="1:19" s="64" customFormat="1">
      <c r="A524" s="53"/>
      <c r="B524" s="53"/>
      <c r="C524" s="79"/>
      <c r="D524" s="79"/>
      <c r="E524" s="53"/>
      <c r="F524" s="53"/>
      <c r="L524" s="53"/>
      <c r="M524" s="53"/>
      <c r="N524" s="66"/>
      <c r="O524" s="53"/>
      <c r="P524" s="53"/>
      <c r="Q524" s="79"/>
      <c r="R524" s="79"/>
      <c r="S524" s="53"/>
    </row>
    <row r="525" spans="1:19" s="64" customFormat="1">
      <c r="A525" s="53"/>
      <c r="B525" s="53"/>
      <c r="C525" s="79"/>
      <c r="D525" s="79"/>
      <c r="E525" s="53"/>
      <c r="F525" s="53"/>
      <c r="L525" s="53"/>
      <c r="M525" s="53"/>
      <c r="N525" s="66"/>
      <c r="O525" s="53"/>
      <c r="P525" s="53"/>
      <c r="Q525" s="79"/>
      <c r="R525" s="79"/>
      <c r="S525" s="53"/>
    </row>
    <row r="526" spans="1:19" s="64" customFormat="1">
      <c r="A526" s="53"/>
      <c r="B526" s="53"/>
      <c r="C526" s="79"/>
      <c r="D526" s="79"/>
      <c r="E526" s="53"/>
      <c r="F526" s="53"/>
      <c r="L526" s="53"/>
      <c r="M526" s="53"/>
      <c r="N526" s="66"/>
      <c r="O526" s="53"/>
      <c r="P526" s="53"/>
      <c r="Q526" s="79"/>
      <c r="R526" s="79"/>
      <c r="S526" s="53"/>
    </row>
    <row r="527" spans="1:19" s="64" customFormat="1">
      <c r="A527" s="53"/>
      <c r="B527" s="53"/>
      <c r="C527" s="79"/>
      <c r="D527" s="79"/>
      <c r="E527" s="53"/>
      <c r="F527" s="53"/>
      <c r="L527" s="53"/>
      <c r="M527" s="53"/>
      <c r="N527" s="66"/>
      <c r="O527" s="53"/>
      <c r="P527" s="53"/>
      <c r="Q527" s="53"/>
      <c r="R527" s="53"/>
      <c r="S527" s="53"/>
    </row>
    <row r="528" spans="1:19" s="64" customFormat="1">
      <c r="A528" s="53"/>
      <c r="B528" s="53"/>
      <c r="C528" s="79"/>
      <c r="D528" s="79"/>
      <c r="E528" s="53"/>
      <c r="F528" s="53"/>
      <c r="L528" s="53"/>
      <c r="M528" s="53"/>
      <c r="N528" s="66"/>
      <c r="O528" s="53"/>
      <c r="P528" s="53"/>
      <c r="Q528" s="53"/>
      <c r="R528" s="53"/>
      <c r="S528" s="53"/>
    </row>
    <row r="529" spans="1:19" s="64" customFormat="1">
      <c r="A529" s="53"/>
      <c r="B529" s="53"/>
      <c r="C529" s="79"/>
      <c r="D529" s="79"/>
      <c r="E529" s="53"/>
      <c r="F529" s="53"/>
      <c r="Q529" s="53"/>
      <c r="R529" s="53"/>
      <c r="S529" s="53"/>
    </row>
    <row r="530" spans="1:19" s="64" customFormat="1">
      <c r="A530" s="53"/>
      <c r="B530" s="53"/>
      <c r="C530" s="79"/>
      <c r="D530" s="79"/>
      <c r="E530" s="53"/>
      <c r="F530" s="53"/>
      <c r="Q530" s="53"/>
      <c r="R530" s="53"/>
      <c r="S530" s="53"/>
    </row>
    <row r="531" spans="1:19" s="64" customFormat="1">
      <c r="A531" s="53"/>
      <c r="B531" s="53"/>
      <c r="C531" s="79"/>
      <c r="D531" s="79"/>
      <c r="E531" s="102"/>
      <c r="F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Q532" s="53"/>
      <c r="R532" s="53"/>
      <c r="S532" s="53"/>
    </row>
    <row r="533" spans="1:19" s="64" customFormat="1">
      <c r="A533" s="53"/>
      <c r="B533" s="53"/>
      <c r="C533" s="79"/>
      <c r="D533" s="79"/>
      <c r="E533" s="53"/>
      <c r="F533" s="53"/>
      <c r="Q533" s="53"/>
      <c r="R533" s="53"/>
      <c r="S533" s="53"/>
    </row>
    <row r="534" spans="1:19" s="64" customFormat="1">
      <c r="A534" s="53"/>
      <c r="B534" s="53"/>
      <c r="C534" s="79"/>
      <c r="D534" s="79"/>
      <c r="E534" s="53"/>
      <c r="F534" s="53"/>
    </row>
    <row r="535" spans="1:19" s="64" customFormat="1">
      <c r="A535" s="53"/>
      <c r="B535" s="53"/>
      <c r="C535" s="79"/>
      <c r="D535" s="79"/>
      <c r="E535" s="53"/>
      <c r="F535" s="53"/>
    </row>
    <row r="536" spans="1:19" s="64" customFormat="1">
      <c r="A536" s="103"/>
      <c r="B536" s="103"/>
      <c r="C536" s="104"/>
      <c r="D536" s="104"/>
      <c r="E536" s="53"/>
      <c r="F536" s="53"/>
    </row>
    <row r="537" spans="1:19" s="64" customFormat="1">
      <c r="A537" s="103"/>
      <c r="B537" s="105"/>
      <c r="C537" s="104"/>
      <c r="D537" s="104"/>
      <c r="E537" s="53"/>
      <c r="F537" s="53"/>
    </row>
    <row r="538" spans="1:19" s="64" customFormat="1">
      <c r="A538" s="103"/>
      <c r="B538" s="103"/>
      <c r="C538" s="104"/>
      <c r="D538" s="104"/>
      <c r="E538" s="53"/>
      <c r="F538" s="53"/>
    </row>
    <row r="539" spans="1:19" s="64" customFormat="1">
      <c r="A539" s="103"/>
      <c r="B539" s="105"/>
      <c r="C539" s="104"/>
      <c r="D539" s="104"/>
      <c r="E539" s="53"/>
      <c r="G539" s="53"/>
      <c r="H539" s="53"/>
      <c r="I539" s="53"/>
      <c r="J539" s="53"/>
      <c r="K539" s="53"/>
      <c r="L539" s="53"/>
    </row>
    <row r="540" spans="1:19" s="64" customFormat="1">
      <c r="A540" s="53"/>
      <c r="B540" s="53"/>
      <c r="C540" s="79"/>
      <c r="D540" s="79"/>
      <c r="E540" s="53"/>
      <c r="G540" s="53"/>
      <c r="H540" s="53"/>
      <c r="I540" s="53"/>
      <c r="J540" s="106"/>
      <c r="K540" s="106"/>
      <c r="L540" s="106"/>
    </row>
    <row r="541" spans="1:19" s="64" customFormat="1">
      <c r="A541" s="3"/>
      <c r="B541" s="102"/>
      <c r="C541" s="3"/>
      <c r="D541" s="102"/>
      <c r="E541" s="107"/>
      <c r="G541" s="53"/>
      <c r="H541" s="108"/>
      <c r="I541" s="53"/>
      <c r="J541" s="106"/>
      <c r="K541" s="106"/>
      <c r="L541" s="106"/>
    </row>
    <row r="542" spans="1:19" s="64" customFormat="1">
      <c r="A542" s="53"/>
      <c r="B542" s="53"/>
      <c r="C542" s="53"/>
      <c r="D542" s="53"/>
      <c r="E542" s="107"/>
      <c r="G542" s="53"/>
      <c r="H542" s="53"/>
      <c r="I542" s="53"/>
      <c r="J542" s="79"/>
      <c r="K542" s="79"/>
      <c r="L542" s="53"/>
    </row>
    <row r="543" spans="1:19" s="64" customFormat="1">
      <c r="A543" s="53"/>
      <c r="B543" s="53"/>
      <c r="C543" s="53"/>
      <c r="D543" s="106"/>
      <c r="E543" s="106"/>
      <c r="G543" s="53"/>
      <c r="H543" s="93"/>
      <c r="I543" s="79"/>
      <c r="J543" s="79"/>
      <c r="K543" s="79"/>
      <c r="L543" s="106"/>
    </row>
    <row r="544" spans="1:19" s="64" customFormat="1">
      <c r="A544" s="53"/>
      <c r="B544" s="53"/>
      <c r="C544" s="53"/>
      <c r="D544" s="53"/>
      <c r="E544" s="53"/>
      <c r="G544" s="53"/>
      <c r="H544" s="93"/>
      <c r="I544" s="79"/>
      <c r="J544" s="79"/>
      <c r="K544" s="79"/>
      <c r="L544" s="53"/>
    </row>
    <row r="545" spans="1:12" s="64" customFormat="1">
      <c r="A545" s="53"/>
      <c r="B545" s="53"/>
      <c r="C545" s="53"/>
      <c r="D545" s="106"/>
      <c r="E545" s="106"/>
      <c r="G545" s="53"/>
      <c r="H545" s="93"/>
      <c r="I545" s="79"/>
      <c r="J545" s="79"/>
      <c r="K545" s="79"/>
      <c r="L545" s="106"/>
    </row>
    <row r="546" spans="1:12" s="64" customFormat="1">
      <c r="A546" s="53"/>
      <c r="B546" s="53"/>
      <c r="C546" s="53"/>
      <c r="D546" s="109"/>
      <c r="E546" s="109"/>
      <c r="F546" s="53"/>
      <c r="G546" s="103"/>
      <c r="H546" s="103"/>
      <c r="I546" s="104"/>
      <c r="J546" s="104"/>
      <c r="K546" s="79"/>
      <c r="L546" s="106"/>
    </row>
    <row r="547" spans="1:12" s="64" customFormat="1">
      <c r="A547" s="53"/>
      <c r="B547" s="53"/>
      <c r="C547" s="79"/>
      <c r="D547" s="79"/>
      <c r="E547" s="79"/>
      <c r="F547" s="53"/>
      <c r="G547" s="53"/>
      <c r="H547" s="53"/>
    </row>
    <row r="548" spans="1:12" s="64" customFormat="1">
      <c r="A548" s="53"/>
      <c r="B548" s="53"/>
      <c r="C548" s="53"/>
      <c r="D548" s="79"/>
      <c r="E548" s="53"/>
      <c r="F548" s="53"/>
      <c r="G548" s="110"/>
      <c r="H548" s="53"/>
      <c r="I548" s="53"/>
      <c r="J548" s="79"/>
      <c r="K548" s="79"/>
    </row>
    <row r="549" spans="1:12" s="64" customFormat="1">
      <c r="A549" s="53"/>
      <c r="B549" s="93"/>
      <c r="C549" s="79"/>
      <c r="D549" s="79"/>
      <c r="E549" s="53"/>
      <c r="F549" s="53"/>
      <c r="G549" s="102"/>
      <c r="H549" s="93"/>
      <c r="I549" s="79"/>
      <c r="J549" s="79"/>
      <c r="K549" s="79"/>
    </row>
    <row r="550" spans="1:12" s="64" customFormat="1">
      <c r="A550" s="53"/>
      <c r="B550" s="93"/>
      <c r="C550" s="79"/>
      <c r="D550" s="79"/>
      <c r="E550" s="53"/>
      <c r="F550" s="53"/>
      <c r="G550" s="53"/>
      <c r="H550" s="93"/>
      <c r="I550" s="79"/>
      <c r="J550" s="79"/>
      <c r="K550" s="79"/>
    </row>
    <row r="551" spans="1:12" s="64" customFormat="1">
      <c r="A551" s="53"/>
      <c r="B551" s="93"/>
      <c r="C551" s="79"/>
      <c r="D551" s="79"/>
      <c r="E551" s="53"/>
      <c r="F551" s="53"/>
      <c r="G551" s="53"/>
      <c r="H551" s="93"/>
      <c r="I551" s="79"/>
      <c r="J551" s="79"/>
      <c r="K551" s="79"/>
    </row>
    <row r="552" spans="1:12" s="64" customFormat="1">
      <c r="A552" s="53"/>
      <c r="B552" s="93"/>
      <c r="C552" s="79"/>
      <c r="D552" s="79"/>
      <c r="E552" s="111"/>
      <c r="F552" s="53"/>
      <c r="G552" s="53"/>
      <c r="H552" s="93"/>
      <c r="I552" s="79"/>
      <c r="J552" s="79"/>
      <c r="K552" s="79"/>
    </row>
    <row r="553" spans="1:12" s="64" customFormat="1">
      <c r="A553" s="53"/>
      <c r="B553" s="93"/>
      <c r="C553" s="79"/>
      <c r="D553" s="79"/>
      <c r="E553" s="111"/>
      <c r="F553" s="53"/>
      <c r="G553" s="53"/>
      <c r="H553" s="93"/>
      <c r="I553" s="79"/>
      <c r="J553" s="79"/>
      <c r="K553" s="79"/>
    </row>
    <row r="554" spans="1:12" s="64" customFormat="1">
      <c r="A554" s="53"/>
      <c r="B554" s="93"/>
      <c r="C554" s="79"/>
      <c r="D554" s="79"/>
      <c r="E554" s="53"/>
      <c r="F554" s="53"/>
      <c r="G554" s="53"/>
      <c r="H554" s="93"/>
      <c r="I554" s="79"/>
      <c r="J554" s="79"/>
      <c r="K554" s="79"/>
    </row>
    <row r="555" spans="1:12" s="64" customFormat="1">
      <c r="A555" s="53"/>
      <c r="B555" s="93"/>
      <c r="C555" s="79"/>
      <c r="D555" s="79"/>
      <c r="E555" s="53"/>
      <c r="F555" s="53"/>
      <c r="G555" s="53"/>
      <c r="H555" s="93"/>
      <c r="I555" s="79"/>
      <c r="J555" s="79"/>
      <c r="K555" s="79"/>
    </row>
    <row r="556" spans="1:12" s="64" customFormat="1">
      <c r="A556" s="103"/>
      <c r="B556" s="103"/>
      <c r="C556" s="104"/>
      <c r="D556" s="104"/>
      <c r="E556" s="53"/>
      <c r="F556" s="53"/>
      <c r="G556" s="103"/>
      <c r="H556" s="103"/>
      <c r="I556" s="104"/>
      <c r="J556" s="104"/>
      <c r="K556" s="104"/>
    </row>
    <row r="557" spans="1:12" s="64" customFormat="1">
      <c r="A557" s="53"/>
      <c r="B557" s="53"/>
      <c r="C557" s="79"/>
      <c r="D557" s="79"/>
      <c r="E557" s="53"/>
      <c r="F557" s="53"/>
    </row>
    <row r="558" spans="1:12" s="64" customFormat="1">
      <c r="A558" s="53"/>
      <c r="B558" s="53"/>
      <c r="C558" s="79"/>
      <c r="D558" s="104"/>
      <c r="E558" s="53"/>
      <c r="F558" s="53"/>
    </row>
    <row r="559" spans="1:12" s="64" customFormat="1">
      <c r="A559" s="53"/>
      <c r="B559" s="53"/>
      <c r="C559" s="79"/>
      <c r="D559" s="79"/>
      <c r="E559" s="53"/>
      <c r="F559" s="53"/>
    </row>
    <row r="560" spans="1:12" s="64" customFormat="1">
      <c r="A560" s="53"/>
      <c r="B560" s="53"/>
      <c r="C560" s="79"/>
      <c r="D560" s="79"/>
      <c r="E560" s="53"/>
      <c r="F560" s="53"/>
    </row>
    <row r="561" spans="1:14" s="64" customFormat="1">
      <c r="A561" s="53"/>
      <c r="B561" s="112"/>
      <c r="C561" s="79"/>
      <c r="D561" s="79"/>
      <c r="E561" s="53"/>
      <c r="F561" s="53"/>
    </row>
    <row r="562" spans="1:14" s="64" customFormat="1">
      <c r="A562" s="53"/>
      <c r="B562" s="112"/>
      <c r="C562" s="79"/>
      <c r="D562" s="79"/>
      <c r="E562" s="53"/>
      <c r="F562" s="53"/>
    </row>
    <row r="563" spans="1:14" s="64" customFormat="1">
      <c r="A563" s="53"/>
      <c r="B563" s="113"/>
      <c r="C563" s="79"/>
      <c r="D563" s="79"/>
      <c r="E563" s="53"/>
      <c r="F563" s="53"/>
    </row>
    <row r="564" spans="1:14" s="64" customFormat="1">
      <c r="A564" s="53"/>
      <c r="B564" s="113"/>
      <c r="C564" s="79"/>
      <c r="D564" s="79"/>
      <c r="E564" s="53"/>
      <c r="F564" s="53"/>
    </row>
    <row r="565" spans="1:14" s="64" customFormat="1">
      <c r="A565" s="53"/>
      <c r="B565" s="113"/>
      <c r="C565" s="79"/>
      <c r="D565" s="79"/>
      <c r="E565" s="53"/>
      <c r="F565" s="53"/>
    </row>
    <row r="566" spans="1:14" s="64" customFormat="1">
      <c r="A566" s="53"/>
      <c r="B566" s="113"/>
      <c r="C566" s="79"/>
      <c r="D566" s="79"/>
      <c r="E566" s="53"/>
      <c r="F566" s="53"/>
    </row>
    <row r="567" spans="1:14" s="64" customFormat="1">
      <c r="A567" s="53"/>
      <c r="B567" s="112"/>
      <c r="C567" s="79"/>
      <c r="D567" s="79"/>
      <c r="E567" s="53"/>
      <c r="F567" s="53"/>
    </row>
    <row r="568" spans="1:14" s="64" customFormat="1">
      <c r="A568" s="53"/>
      <c r="B568" s="112"/>
      <c r="C568" s="79"/>
      <c r="D568" s="79"/>
      <c r="E568" s="53"/>
      <c r="F568" s="53"/>
    </row>
    <row r="569" spans="1:14" s="64" customFormat="1">
      <c r="A569" s="53"/>
      <c r="B569" s="112"/>
      <c r="C569" s="79"/>
      <c r="D569" s="66"/>
      <c r="E569" s="53"/>
      <c r="F569" s="53"/>
      <c r="N569" s="53"/>
    </row>
    <row r="570" spans="1:14" s="64" customFormat="1">
      <c r="A570" s="53"/>
      <c r="B570" s="113"/>
      <c r="C570" s="79"/>
      <c r="D570" s="79"/>
      <c r="E570" s="53"/>
      <c r="F570" s="53"/>
      <c r="G570" s="53"/>
      <c r="I570" s="114"/>
      <c r="N570" s="53"/>
    </row>
    <row r="571" spans="1:14" s="64" customFormat="1">
      <c r="A571" s="53"/>
      <c r="B571" s="53"/>
      <c r="C571" s="79"/>
      <c r="D571" s="79"/>
      <c r="E571" s="79"/>
      <c r="F571" s="79"/>
      <c r="N571" s="53"/>
    </row>
    <row r="572" spans="1:14" s="64" customFormat="1">
      <c r="A572" s="53"/>
      <c r="B572" s="53"/>
      <c r="C572" s="79"/>
      <c r="D572" s="79"/>
      <c r="F572" s="108"/>
      <c r="N572" s="53"/>
    </row>
    <row r="573" spans="1:14" s="64" customFormat="1">
      <c r="D573" s="79"/>
    </row>
    <row r="574" spans="1:14" s="64" customFormat="1"/>
    <row r="575" spans="1:14" s="64" customFormat="1"/>
    <row r="576" spans="1:14" s="64" customFormat="1"/>
    <row r="577" spans="1:20" s="64" customFormat="1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</row>
    <row r="578" spans="1:20" s="64" customFormat="1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</row>
    <row r="579" spans="1:20" s="64" customFormat="1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</row>
    <row r="580" spans="1:20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</row>
    <row r="581" spans="1:20">
      <c r="Q581" s="64"/>
      <c r="R581" s="64"/>
      <c r="S581" s="64"/>
      <c r="T581" s="64"/>
    </row>
  </sheetData>
  <mergeCells count="4">
    <mergeCell ref="Q34:R34"/>
    <mergeCell ref="Q35:R35"/>
    <mergeCell ref="Q36:R36"/>
    <mergeCell ref="Q37:R37"/>
  </mergeCells>
  <conditionalFormatting sqref="A77:B77 D77">
    <cfRule type="expression" dxfId="66" priority="2">
      <formula>$D$6="yes"</formula>
    </cfRule>
  </conditionalFormatting>
  <conditionalFormatting sqref="D5">
    <cfRule type="expression" dxfId="65" priority="3">
      <formula>"$C$44"</formula>
    </cfRule>
    <cfRule type="cellIs" dxfId="64" priority="6" operator="equal">
      <formula>"Yes"</formula>
    </cfRule>
  </conditionalFormatting>
  <conditionalFormatting sqref="D6">
    <cfRule type="containsText" dxfId="63" priority="12" operator="containsText" text="Yes">
      <formula>NOT(ISERROR(SEARCH("Yes",D6)))</formula>
    </cfRule>
  </conditionalFormatting>
  <conditionalFormatting sqref="E42">
    <cfRule type="containsText" dxfId="62" priority="7" operator="containsText" text="10 hour days">
      <formula>NOT(ISERROR(SEARCH("10 hour days",E42)))</formula>
    </cfRule>
    <cfRule type="containsText" dxfId="61" priority="8" operator="containsText" text="8 hour days">
      <formula>NOT(ISERROR(SEARCH("8 hour days",E42)))</formula>
    </cfRule>
  </conditionalFormatting>
  <conditionalFormatting sqref="E43">
    <cfRule type="cellIs" dxfId="60" priority="5" stopIfTrue="1" operator="equal">
      <formula>"PW"</formula>
    </cfRule>
  </conditionalFormatting>
  <conditionalFormatting sqref="F42">
    <cfRule type="cellIs" dxfId="59" priority="13" operator="greaterThan">
      <formula>0.25</formula>
    </cfRule>
    <cfRule type="cellIs" dxfId="58" priority="14" operator="lessThan">
      <formula>0.15</formula>
    </cfRule>
  </conditionalFormatting>
  <conditionalFormatting sqref="F85">
    <cfRule type="containsText" dxfId="57" priority="1" operator="containsText" text="owner">
      <formula>NOT(ISERROR(SEARCH("owner",F85)))</formula>
    </cfRule>
  </conditionalFormatting>
  <conditionalFormatting sqref="G38:H38">
    <cfRule type="cellIs" dxfId="56" priority="10" operator="notEqual">
      <formula>FALSE</formula>
    </cfRule>
  </conditionalFormatting>
  <hyperlinks>
    <hyperlink ref="A77" r:id="rId1" display="Kansas Remodel Tax" xr:uid="{4AAC67D8-833E-7C47-8CE9-27AA89E2759F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B4D0D229-43AE-C243-8AB2-122356B3B014}">
          <x14:formula1>
            <xm:f>validation!$B$3:$B$14</xm:f>
          </x14:formula1>
          <xm:sqref>G44:G46</xm:sqref>
        </x14:dataValidation>
        <x14:dataValidation type="list" allowBlank="1" showInputMessage="1" showErrorMessage="1" xr:uid="{BB5205E6-2D28-B34A-AAE1-C450BAFEFFAA}">
          <x14:formula1>
            <xm:f>validation!$N$3:$N$4</xm:f>
          </x14:formula1>
          <xm:sqref>B4:B6 D5:D6</xm:sqref>
        </x14:dataValidation>
        <x14:dataValidation type="list" allowBlank="1" showInputMessage="1" showErrorMessage="1" xr:uid="{A81B10F1-3D63-254C-80A2-3B8A3DC2D3E3}">
          <x14:formula1>
            <xm:f>validation!$N$7:$N$8</xm:f>
          </x14:formula1>
          <xm:sqref>E42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98C18-50CE-FD4B-94A0-44452CC154B7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61" t="str">
        <f>B16</f>
        <v>N12 ULTRA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49" t="s">
        <v>1121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1778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9" t="s">
        <v>1120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236.16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260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6" t="str">
        <f>B16</f>
        <v>N12 ULTRA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56" t="e">
        <f>E89/C86</f>
        <v>#DIV/0!</v>
      </c>
      <c r="D89" s="1719" t="str">
        <f>'Gyp (USG 1-8")'!D86</f>
        <v>N12 1/8"</v>
      </c>
      <c r="E89" s="1656">
        <f>E87-'Gyp (USG 1-8")'!E87</f>
        <v>0</v>
      </c>
      <c r="F89" s="1715" t="s">
        <v>1143</v>
      </c>
      <c r="H89" s="1391" t="s">
        <v>1102</v>
      </c>
      <c r="I89" s="1391"/>
      <c r="P89" s="600"/>
    </row>
    <row r="90" spans="1:16" s="585" customFormat="1">
      <c r="A90" s="834"/>
      <c r="B90" s="1052"/>
      <c r="C90" s="1656" t="e">
        <f>E90/C86</f>
        <v>#DIV/0!</v>
      </c>
      <c r="D90" s="1718" t="str">
        <f>'Gyp (USG N25 1-4")'!D86</f>
        <v>N25 1/4"</v>
      </c>
      <c r="E90" s="1656">
        <f>E87-'Gyp (USG N25 1-4")'!E87</f>
        <v>0</v>
      </c>
      <c r="F90" s="1664" t="s">
        <v>1144</v>
      </c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55" priority="4">
      <formula>$D$8="yes"</formula>
    </cfRule>
  </conditionalFormatting>
  <conditionalFormatting sqref="A80:B80">
    <cfRule type="expression" dxfId="54" priority="1">
      <formula>$D$6="yes"</formula>
    </cfRule>
  </conditionalFormatting>
  <conditionalFormatting sqref="D7">
    <cfRule type="cellIs" dxfId="53" priority="7" operator="equal">
      <formula>"Yes"</formula>
    </cfRule>
  </conditionalFormatting>
  <conditionalFormatting sqref="D8">
    <cfRule type="containsText" dxfId="52" priority="13" operator="containsText" text="Yes">
      <formula>NOT(ISERROR(SEARCH("Yes",D8)))</formula>
    </cfRule>
  </conditionalFormatting>
  <conditionalFormatting sqref="E43">
    <cfRule type="cellIs" dxfId="51" priority="6" stopIfTrue="1" operator="equal">
      <formula>"PW"</formula>
    </cfRule>
  </conditionalFormatting>
  <conditionalFormatting sqref="E80">
    <cfRule type="expression" dxfId="50" priority="5">
      <formula>$D$6="yes"</formula>
    </cfRule>
  </conditionalFormatting>
  <conditionalFormatting sqref="F43">
    <cfRule type="containsText" dxfId="49" priority="8" operator="containsText" text="10 hour days">
      <formula>NOT(ISERROR(SEARCH("10 hour days",F43)))</formula>
    </cfRule>
    <cfRule type="containsText" dxfId="48" priority="9" operator="containsText" text="8 hour days">
      <formula>NOT(ISERROR(SEARCH("8 hour days",F43)))</formula>
    </cfRule>
    <cfRule type="containsText" dxfId="47" priority="10" operator="containsText" text="10 hour days">
      <formula>NOT(ISERROR(SEARCH("10 hour days",F43)))</formula>
    </cfRule>
    <cfRule type="containsText" dxfId="46" priority="11" operator="containsText" text="8 hour days">
      <formula>NOT(ISERROR(SEARCH("8 hour days",F43)))</formula>
    </cfRule>
  </conditionalFormatting>
  <conditionalFormatting sqref="G88">
    <cfRule type="containsText" dxfId="45" priority="14" operator="containsText" text="owner">
      <formula>NOT(ISERROR(SEARCH("owner",G88)))</formula>
    </cfRule>
  </conditionalFormatting>
  <conditionalFormatting sqref="H74">
    <cfRule type="cellIs" dxfId="44" priority="2" operator="lessThan">
      <formula>0</formula>
    </cfRule>
    <cfRule type="cellIs" dxfId="43" priority="3" operator="greaterThanOrEqual">
      <formula>0</formula>
    </cfRule>
  </conditionalFormatting>
  <conditionalFormatting sqref="H39:I39">
    <cfRule type="cellIs" dxfId="42" priority="12" operator="notEqual">
      <formula>FALSE</formula>
    </cfRule>
  </conditionalFormatting>
  <dataValidations disablePrompts="1" count="3">
    <dataValidation type="list" allowBlank="1" showInputMessage="1" showErrorMessage="1" sqref="G10 I10 K10" xr:uid="{72095C70-73B5-7241-953F-77B6068949C3}">
      <formula1>$W$51:$W$62</formula1>
    </dataValidation>
    <dataValidation type="list" allowBlank="1" showInputMessage="1" showErrorMessage="1" sqref="A36" xr:uid="{68CFBCBB-0804-0F4B-A704-FBE27277A76E}">
      <formula1>$O$36:$O$44</formula1>
    </dataValidation>
    <dataValidation type="list" allowBlank="1" showInputMessage="1" showErrorMessage="1" sqref="G11 I11 K11" xr:uid="{38AE7D84-DDA1-D04B-912B-F1824C4E382B}">
      <formula1>$P$52:$P$54</formula1>
    </dataValidation>
  </dataValidations>
  <hyperlinks>
    <hyperlink ref="A80" r:id="rId1" xr:uid="{6445C898-A342-3846-8B03-B3CC5C246CE1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EE7A1DB9-D14A-F44B-A013-EDFB52FBC8BB}">
          <x14:formula1>
            <xm:f>validation!$N$3:$N$4</xm:f>
          </x14:formula1>
          <xm:sqref>B13:B15 B7:B8 B5 D7:D8</xm:sqref>
        </x14:dataValidation>
        <x14:dataValidation type="list" allowBlank="1" showInputMessage="1" showErrorMessage="1" xr:uid="{ED7DD2F1-9582-0648-90EA-9E52AB9B3965}">
          <x14:formula1>
            <xm:f>validation!$N$7:$N$8</xm:f>
          </x14:formula1>
          <xm:sqref>F43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72167-6C07-BD48-A229-DCE49FAF5133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62" t="str">
        <f>B16</f>
        <v>N25 1/4"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1.25</v>
      </c>
      <c r="H10" s="979" t="s">
        <v>520</v>
      </c>
      <c r="I10" s="1158">
        <v>1</v>
      </c>
      <c r="J10" s="980" t="s">
        <v>520</v>
      </c>
      <c r="K10" s="1158">
        <f>G10</f>
        <v>1.25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62" t="s">
        <v>1130</v>
      </c>
      <c r="C16" s="1654" t="s">
        <v>1129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1.25</v>
      </c>
      <c r="I23" s="1147">
        <f>H23*8</f>
        <v>10</v>
      </c>
      <c r="J23" s="1162">
        <f>IF(G11=P52,R52,IF(G11=P54,R54))</f>
        <v>24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1</v>
      </c>
      <c r="I24" s="1148">
        <f>H24*8</f>
        <v>8</v>
      </c>
      <c r="J24" s="1163">
        <f>IF(I11=P52,S52,IF(I11=P54,S54))</f>
        <v>31.5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1.25</v>
      </c>
      <c r="I25" s="1149">
        <f>H25*8</f>
        <v>10</v>
      </c>
      <c r="J25" s="1164">
        <f>IF(K11=P52,T52,IF(K11=P54,T54))</f>
        <v>24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7" t="s">
        <v>1131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244.75000000000003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208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24</v>
      </c>
      <c r="S52" s="1034">
        <f>(G15+12)/I24</f>
        <v>31.5</v>
      </c>
      <c r="T52" s="1034">
        <f>G15/I25</f>
        <v>24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20</v>
      </c>
      <c r="S54" s="1122">
        <f>ROUND((G15+12)/(I24*1.1764705915999),0)</f>
        <v>27</v>
      </c>
      <c r="T54" s="1121">
        <f>ROUND(G15/(I25*1.1764705915999),0)</f>
        <v>20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7" t="str">
        <f>B16</f>
        <v>N25 1/4"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63" t="e">
        <f>E89/C86</f>
        <v>#DIV/0!</v>
      </c>
      <c r="D89" s="1719" t="str">
        <f>'Gyp (USG 1-8")'!D86</f>
        <v>N12 1/8"</v>
      </c>
      <c r="E89" s="1663">
        <f>E87-'Gyp (USG 1-8")'!E87</f>
        <v>0</v>
      </c>
      <c r="F89" s="1715" t="s">
        <v>1146</v>
      </c>
      <c r="H89" s="1391" t="s">
        <v>1102</v>
      </c>
      <c r="I89" s="1391"/>
      <c r="P89" s="600"/>
    </row>
    <row r="90" spans="1:16" s="585" customFormat="1">
      <c r="A90" s="834"/>
      <c r="B90" s="1052"/>
      <c r="C90" s="1663" t="e">
        <f>E90/C86</f>
        <v>#DIV/0!</v>
      </c>
      <c r="D90" s="1720" t="str">
        <f>'Gyp (USG N12ULTRA)'!D86</f>
        <v>N12 ULTRA</v>
      </c>
      <c r="E90" s="1663">
        <f>E87-'Gyp (USG N12ULTRA)'!E87</f>
        <v>0</v>
      </c>
      <c r="F90" s="1657" t="s">
        <v>1147</v>
      </c>
      <c r="G90" s="1657"/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41" priority="4">
      <formula>$D$8="yes"</formula>
    </cfRule>
  </conditionalFormatting>
  <conditionalFormatting sqref="A80:B80">
    <cfRule type="expression" dxfId="40" priority="1">
      <formula>$D$6="yes"</formula>
    </cfRule>
  </conditionalFormatting>
  <conditionalFormatting sqref="D7">
    <cfRule type="cellIs" dxfId="39" priority="7" operator="equal">
      <formula>"Yes"</formula>
    </cfRule>
  </conditionalFormatting>
  <conditionalFormatting sqref="D8">
    <cfRule type="containsText" dxfId="38" priority="13" operator="containsText" text="Yes">
      <formula>NOT(ISERROR(SEARCH("Yes",D8)))</formula>
    </cfRule>
  </conditionalFormatting>
  <conditionalFormatting sqref="E43">
    <cfRule type="cellIs" dxfId="37" priority="6" stopIfTrue="1" operator="equal">
      <formula>"PW"</formula>
    </cfRule>
  </conditionalFormatting>
  <conditionalFormatting sqref="E80">
    <cfRule type="expression" dxfId="36" priority="5">
      <formula>$D$6="yes"</formula>
    </cfRule>
  </conditionalFormatting>
  <conditionalFormatting sqref="F43">
    <cfRule type="containsText" dxfId="35" priority="8" operator="containsText" text="10 hour days">
      <formula>NOT(ISERROR(SEARCH("10 hour days",F43)))</formula>
    </cfRule>
    <cfRule type="containsText" dxfId="34" priority="9" operator="containsText" text="8 hour days">
      <formula>NOT(ISERROR(SEARCH("8 hour days",F43)))</formula>
    </cfRule>
    <cfRule type="containsText" dxfId="33" priority="10" operator="containsText" text="10 hour days">
      <formula>NOT(ISERROR(SEARCH("10 hour days",F43)))</formula>
    </cfRule>
    <cfRule type="containsText" dxfId="32" priority="11" operator="containsText" text="8 hour days">
      <formula>NOT(ISERROR(SEARCH("8 hour days",F43)))</formula>
    </cfRule>
  </conditionalFormatting>
  <conditionalFormatting sqref="G88">
    <cfRule type="containsText" dxfId="31" priority="14" operator="containsText" text="owner">
      <formula>NOT(ISERROR(SEARCH("owner",G88)))</formula>
    </cfRule>
  </conditionalFormatting>
  <conditionalFormatting sqref="H74">
    <cfRule type="cellIs" dxfId="30" priority="2" operator="lessThan">
      <formula>0</formula>
    </cfRule>
    <cfRule type="cellIs" dxfId="29" priority="3" operator="greaterThanOrEqual">
      <formula>0</formula>
    </cfRule>
  </conditionalFormatting>
  <conditionalFormatting sqref="H39:I39">
    <cfRule type="cellIs" dxfId="28" priority="12" operator="notEqual">
      <formula>FALSE</formula>
    </cfRule>
  </conditionalFormatting>
  <dataValidations disablePrompts="1" count="3">
    <dataValidation type="list" allowBlank="1" showInputMessage="1" showErrorMessage="1" sqref="G11 I11 K11" xr:uid="{31E795F1-D087-934D-9108-B7E9259FE048}">
      <formula1>$P$52:$P$54</formula1>
    </dataValidation>
    <dataValidation type="list" allowBlank="1" showInputMessage="1" showErrorMessage="1" sqref="A36" xr:uid="{08004CBE-D75D-4445-A093-6E27C48E8FF0}">
      <formula1>$O$36:$O$44</formula1>
    </dataValidation>
    <dataValidation type="list" allowBlank="1" showInputMessage="1" showErrorMessage="1" sqref="G10 I10 K10" xr:uid="{F91AE6AC-E7D5-0444-916E-0105097ABA8F}">
      <formula1>$W$51:$W$62</formula1>
    </dataValidation>
  </dataValidations>
  <hyperlinks>
    <hyperlink ref="A80" r:id="rId1" xr:uid="{74D491D9-97C5-2145-966B-125582F83EEE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1D6746BB-560A-9146-B05F-A6A9D89D510F}">
          <x14:formula1>
            <xm:f>validation!$N$7:$N$8</xm:f>
          </x14:formula1>
          <xm:sqref>F43</xm:sqref>
        </x14:dataValidation>
        <x14:dataValidation type="list" allowBlank="1" showInputMessage="1" showErrorMessage="1" xr:uid="{FCDE7A86-4FE0-8241-B359-E2FAA73EE671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0CE-167C-9C42-8369-2426A954A188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59" t="str">
        <f>B16</f>
        <v>G-Worx SC 190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59" t="s">
        <v>1128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774" t="s">
        <v>1178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1778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658" t="str">
        <f>B16</f>
        <v>G-Worx SC 190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6" t="s">
        <v>1127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116.99999999999999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384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21" t="str">
        <f>B16</f>
        <v>G-Worx SC 190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60" t="e">
        <f>E89/C86</f>
        <v>#DIV/0!</v>
      </c>
      <c r="D89" s="1660"/>
      <c r="E89" s="1660">
        <f>E87-'Gyp (USG 1-8")'!E87</f>
        <v>0</v>
      </c>
      <c r="F89" s="1715" t="s">
        <v>1145</v>
      </c>
      <c r="H89" s="1391" t="s">
        <v>1102</v>
      </c>
      <c r="I89" s="1391"/>
      <c r="P89" s="600"/>
    </row>
    <row r="90" spans="1:16" s="585" customFormat="1">
      <c r="A90" s="834"/>
      <c r="B90" s="1052"/>
      <c r="C90" s="1053"/>
      <c r="D90" s="1053"/>
      <c r="E90" s="1053"/>
      <c r="F90" s="753"/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27" priority="4">
      <formula>$D$8="yes"</formula>
    </cfRule>
  </conditionalFormatting>
  <conditionalFormatting sqref="A80:B80">
    <cfRule type="expression" dxfId="26" priority="1">
      <formula>$D$6="yes"</formula>
    </cfRule>
  </conditionalFormatting>
  <conditionalFormatting sqref="D7">
    <cfRule type="cellIs" dxfId="25" priority="7" operator="equal">
      <formula>"Yes"</formula>
    </cfRule>
  </conditionalFormatting>
  <conditionalFormatting sqref="D8">
    <cfRule type="containsText" dxfId="24" priority="13" operator="containsText" text="Yes">
      <formula>NOT(ISERROR(SEARCH("Yes",D8)))</formula>
    </cfRule>
  </conditionalFormatting>
  <conditionalFormatting sqref="E43">
    <cfRule type="cellIs" dxfId="23" priority="6" stopIfTrue="1" operator="equal">
      <formula>"PW"</formula>
    </cfRule>
  </conditionalFormatting>
  <conditionalFormatting sqref="E80">
    <cfRule type="expression" dxfId="22" priority="5">
      <formula>$D$6="yes"</formula>
    </cfRule>
  </conditionalFormatting>
  <conditionalFormatting sqref="F43">
    <cfRule type="containsText" dxfId="21" priority="8" operator="containsText" text="10 hour days">
      <formula>NOT(ISERROR(SEARCH("10 hour days",F43)))</formula>
    </cfRule>
    <cfRule type="containsText" dxfId="20" priority="9" operator="containsText" text="8 hour days">
      <formula>NOT(ISERROR(SEARCH("8 hour days",F43)))</formula>
    </cfRule>
    <cfRule type="containsText" dxfId="19" priority="10" operator="containsText" text="10 hour days">
      <formula>NOT(ISERROR(SEARCH("10 hour days",F43)))</formula>
    </cfRule>
    <cfRule type="containsText" dxfId="18" priority="11" operator="containsText" text="8 hour days">
      <formula>NOT(ISERROR(SEARCH("8 hour days",F43)))</formula>
    </cfRule>
  </conditionalFormatting>
  <conditionalFormatting sqref="G88">
    <cfRule type="containsText" dxfId="17" priority="14" operator="containsText" text="owner">
      <formula>NOT(ISERROR(SEARCH("owner",G88)))</formula>
    </cfRule>
  </conditionalFormatting>
  <conditionalFormatting sqref="H74">
    <cfRule type="cellIs" dxfId="16" priority="2" operator="lessThan">
      <formula>0</formula>
    </cfRule>
    <cfRule type="cellIs" dxfId="15" priority="3" operator="greaterThanOrEqual">
      <formula>0</formula>
    </cfRule>
  </conditionalFormatting>
  <conditionalFormatting sqref="H39:I39">
    <cfRule type="cellIs" dxfId="14" priority="12" operator="notEqual">
      <formula>FALSE</formula>
    </cfRule>
  </conditionalFormatting>
  <dataValidations disablePrompts="1" count="3">
    <dataValidation type="list" allowBlank="1" showInputMessage="1" showErrorMessage="1" sqref="G11 I11 K11" xr:uid="{3D8EA7F5-A8FE-EF4A-B4B6-E5B7D0B0FE5B}">
      <formula1>$P$52:$P$54</formula1>
    </dataValidation>
    <dataValidation type="list" allowBlank="1" showInputMessage="1" showErrorMessage="1" sqref="A36" xr:uid="{DD5C38B6-4DEE-7546-BF21-AD7BFB19FB42}">
      <formula1>$O$36:$O$44</formula1>
    </dataValidation>
    <dataValidation type="list" allowBlank="1" showInputMessage="1" showErrorMessage="1" sqref="G10 I10 K10" xr:uid="{B21E3D4A-9B8B-174E-852A-2A0FDA2D1995}">
      <formula1>$W$51:$W$62</formula1>
    </dataValidation>
  </dataValidations>
  <hyperlinks>
    <hyperlink ref="A80" r:id="rId1" xr:uid="{02C2D9CC-34F9-AC4B-8644-C6B275BCEFCE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F62D9D54-2AE7-0947-9B4C-0E123948F7D3}">
          <x14:formula1>
            <xm:f>validation!$N$7:$N$8</xm:f>
          </x14:formula1>
          <xm:sqref>F43</xm:sqref>
        </x14:dataValidation>
        <x14:dataValidation type="list" allowBlank="1" showInputMessage="1" showErrorMessage="1" xr:uid="{90DA74FD-ED11-F34F-99A8-D0AB882A8FCF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3"/>
  <sheetViews>
    <sheetView topLeftCell="A8" workbookViewId="0">
      <selection activeCell="A25" sqref="A25"/>
    </sheetView>
  </sheetViews>
  <sheetFormatPr defaultColWidth="11.19921875" defaultRowHeight="15.6"/>
  <cols>
    <col min="1" max="1" width="21.69921875" customWidth="1"/>
    <col min="2" max="2" width="36.5" customWidth="1"/>
    <col min="3" max="3" width="13.796875" customWidth="1"/>
    <col min="4" max="4" width="88.19921875" customWidth="1"/>
  </cols>
  <sheetData>
    <row r="1" spans="1:26" ht="15" customHeight="1">
      <c r="A1" s="1917" t="s">
        <v>29</v>
      </c>
      <c r="B1" s="1917"/>
      <c r="C1" s="1917"/>
      <c r="D1" s="1917"/>
      <c r="Z1" s="387"/>
    </row>
    <row r="2" spans="1:26" ht="13.05" customHeight="1">
      <c r="A2" s="49" t="s">
        <v>32</v>
      </c>
      <c r="B2" s="50" t="s">
        <v>33</v>
      </c>
      <c r="C2" s="50" t="s">
        <v>35</v>
      </c>
      <c r="D2" s="50" t="s">
        <v>31</v>
      </c>
      <c r="Z2" s="388"/>
    </row>
    <row r="3" spans="1:26">
      <c r="A3" s="58"/>
      <c r="B3" s="63"/>
      <c r="C3" s="62"/>
      <c r="D3" s="61"/>
      <c r="Z3" s="389"/>
    </row>
    <row r="4" spans="1:26">
      <c r="A4" s="58"/>
      <c r="B4" s="61"/>
      <c r="C4" s="62"/>
      <c r="D4" s="61"/>
      <c r="Z4" s="390"/>
    </row>
    <row r="5" spans="1:26">
      <c r="A5" s="58"/>
      <c r="B5" s="61"/>
      <c r="C5" s="62"/>
      <c r="D5" s="61"/>
      <c r="Z5" s="391"/>
    </row>
    <row r="6" spans="1:26">
      <c r="A6" s="58"/>
      <c r="B6" s="61"/>
      <c r="C6" s="62"/>
      <c r="D6" s="61"/>
      <c r="Z6" s="392"/>
    </row>
    <row r="7" spans="1:26">
      <c r="A7" s="58"/>
      <c r="B7" s="61"/>
      <c r="C7" s="62"/>
      <c r="D7" s="61"/>
      <c r="Z7" s="448"/>
    </row>
    <row r="8" spans="1:26">
      <c r="A8" s="58"/>
      <c r="B8" s="61"/>
      <c r="C8" s="62"/>
      <c r="D8" s="61"/>
      <c r="Z8" s="543"/>
    </row>
    <row r="9" spans="1:26">
      <c r="A9" s="58"/>
      <c r="B9" s="63"/>
      <c r="C9" s="62"/>
      <c r="D9" s="61"/>
    </row>
    <row r="10" spans="1:26">
      <c r="A10" s="58"/>
      <c r="B10" s="61"/>
      <c r="C10" s="62"/>
      <c r="D10" s="61"/>
    </row>
    <row r="11" spans="1:26">
      <c r="A11" s="60"/>
      <c r="B11" s="59"/>
      <c r="C11" s="60"/>
      <c r="D11" s="59"/>
    </row>
    <row r="12" spans="1:26" ht="16.05" customHeight="1">
      <c r="A12" s="1917" t="s">
        <v>30</v>
      </c>
      <c r="B12" s="1917"/>
      <c r="C12" s="1917"/>
      <c r="D12" s="1917"/>
    </row>
    <row r="13" spans="1:26" ht="13.05" customHeight="1">
      <c r="A13" s="49" t="s">
        <v>21</v>
      </c>
      <c r="B13" s="50" t="s">
        <v>34</v>
      </c>
      <c r="C13" s="50" t="s">
        <v>35</v>
      </c>
      <c r="D13" s="50" t="s">
        <v>31</v>
      </c>
    </row>
    <row r="14" spans="1:26">
      <c r="A14" s="58"/>
      <c r="B14" s="63"/>
      <c r="C14" s="62"/>
      <c r="D14" s="61"/>
    </row>
    <row r="15" spans="1:26">
      <c r="A15" s="58"/>
      <c r="B15" s="63"/>
      <c r="C15" s="62"/>
      <c r="D15" s="61"/>
    </row>
    <row r="16" spans="1:26">
      <c r="A16" s="58"/>
      <c r="B16" s="63"/>
      <c r="C16" s="62"/>
      <c r="D16" s="61"/>
    </row>
    <row r="17" spans="1:4">
      <c r="A17" s="58"/>
      <c r="B17" s="61"/>
      <c r="C17" s="62"/>
      <c r="D17" s="61"/>
    </row>
    <row r="18" spans="1:4">
      <c r="A18" s="58"/>
      <c r="B18" s="63"/>
      <c r="C18" s="62"/>
      <c r="D18" s="61"/>
    </row>
    <row r="19" spans="1:4">
      <c r="A19" s="58"/>
      <c r="B19" s="61"/>
      <c r="C19" s="62"/>
      <c r="D19" s="61"/>
    </row>
    <row r="20" spans="1:4">
      <c r="A20" s="58"/>
      <c r="B20" s="61"/>
      <c r="C20" s="62"/>
      <c r="D20" s="61"/>
    </row>
    <row r="21" spans="1:4">
      <c r="A21" s="60"/>
      <c r="B21" s="59"/>
      <c r="C21" s="60"/>
      <c r="D21" s="59"/>
    </row>
    <row r="22" spans="1:4">
      <c r="A22" s="60"/>
      <c r="B22" s="59"/>
      <c r="C22" s="60"/>
      <c r="D22" s="59"/>
    </row>
    <row r="23" spans="1:4" ht="16.05" customHeight="1">
      <c r="A23" s="1917" t="s">
        <v>36</v>
      </c>
      <c r="B23" s="1917"/>
      <c r="C23" s="1917"/>
      <c r="D23" s="1917"/>
    </row>
    <row r="24" spans="1:4" ht="13.05" customHeight="1">
      <c r="A24" s="49" t="s">
        <v>37</v>
      </c>
      <c r="B24" s="1918" t="s">
        <v>38</v>
      </c>
      <c r="C24" s="1919"/>
      <c r="D24" s="1920"/>
    </row>
    <row r="25" spans="1:4">
      <c r="A25" s="58"/>
      <c r="B25" s="1921"/>
      <c r="C25" s="1922"/>
      <c r="D25" s="1923"/>
    </row>
    <row r="26" spans="1:4">
      <c r="A26" s="58"/>
      <c r="B26" s="1921"/>
      <c r="C26" s="1922"/>
      <c r="D26" s="1923"/>
    </row>
    <row r="27" spans="1:4">
      <c r="A27" s="58"/>
      <c r="B27" s="1921"/>
      <c r="C27" s="1922"/>
      <c r="D27" s="1923"/>
    </row>
    <row r="28" spans="1:4">
      <c r="A28" s="58"/>
      <c r="B28" s="1921"/>
      <c r="C28" s="1922"/>
      <c r="D28" s="1923"/>
    </row>
    <row r="29" spans="1:4">
      <c r="A29" s="58"/>
      <c r="B29" s="1921"/>
      <c r="C29" s="1922"/>
      <c r="D29" s="1923"/>
    </row>
    <row r="30" spans="1:4">
      <c r="A30" s="58"/>
      <c r="B30" s="1921"/>
      <c r="C30" s="1922"/>
      <c r="D30" s="1923"/>
    </row>
    <row r="31" spans="1:4">
      <c r="A31" s="58"/>
      <c r="B31" s="1921"/>
      <c r="C31" s="1922"/>
      <c r="D31" s="1923"/>
    </row>
    <row r="32" spans="1:4">
      <c r="A32" s="58"/>
      <c r="B32" s="1921"/>
      <c r="C32" s="1922"/>
      <c r="D32" s="1923"/>
    </row>
    <row r="33" spans="1:4">
      <c r="A33" s="58"/>
      <c r="B33" s="1921"/>
      <c r="C33" s="1922"/>
      <c r="D33" s="1923"/>
    </row>
    <row r="34" spans="1:4">
      <c r="A34" s="58"/>
      <c r="B34" s="1921"/>
      <c r="C34" s="1922"/>
      <c r="D34" s="1923"/>
    </row>
    <row r="35" spans="1:4">
      <c r="A35" s="58"/>
      <c r="B35" s="1921"/>
      <c r="C35" s="1922"/>
      <c r="D35" s="1923"/>
    </row>
    <row r="36" spans="1:4">
      <c r="A36" s="58"/>
      <c r="B36" s="1921"/>
      <c r="C36" s="1922"/>
      <c r="D36" s="1923"/>
    </row>
    <row r="37" spans="1:4">
      <c r="A37" s="58"/>
      <c r="B37" s="1921"/>
      <c r="C37" s="1922"/>
      <c r="D37" s="1923"/>
    </row>
    <row r="38" spans="1:4">
      <c r="A38" s="58"/>
      <c r="B38" s="1921"/>
      <c r="C38" s="1922"/>
      <c r="D38" s="1923"/>
    </row>
    <row r="39" spans="1:4">
      <c r="A39" s="58"/>
      <c r="B39" s="1921"/>
      <c r="C39" s="1922"/>
      <c r="D39" s="1923"/>
    </row>
    <row r="40" spans="1:4">
      <c r="A40" s="58"/>
      <c r="B40" s="1921"/>
      <c r="C40" s="1922"/>
      <c r="D40" s="1923"/>
    </row>
    <row r="41" spans="1:4">
      <c r="A41" s="58"/>
      <c r="B41" s="1921"/>
      <c r="C41" s="1922"/>
      <c r="D41" s="1923"/>
    </row>
    <row r="42" spans="1:4">
      <c r="A42" s="58"/>
      <c r="B42" s="1921"/>
      <c r="C42" s="1922"/>
      <c r="D42" s="1923"/>
    </row>
    <row r="43" spans="1:4">
      <c r="A43" s="58"/>
      <c r="B43" s="1921"/>
      <c r="C43" s="1922"/>
      <c r="D43" s="1923"/>
    </row>
    <row r="44" spans="1:4">
      <c r="A44" s="58"/>
      <c r="B44" s="1921"/>
      <c r="C44" s="1922"/>
      <c r="D44" s="1923"/>
    </row>
    <row r="45" spans="1:4">
      <c r="A45" s="58"/>
      <c r="B45" s="1921"/>
      <c r="C45" s="1922"/>
      <c r="D45" s="1923"/>
    </row>
    <row r="46" spans="1:4">
      <c r="A46" s="58"/>
      <c r="B46" s="1921"/>
      <c r="C46" s="1922"/>
      <c r="D46" s="1923"/>
    </row>
    <row r="47" spans="1:4">
      <c r="A47" s="58"/>
      <c r="B47" s="1921"/>
      <c r="C47" s="1922"/>
      <c r="D47" s="1923"/>
    </row>
    <row r="48" spans="1:4">
      <c r="A48" s="58"/>
      <c r="B48" s="1921"/>
      <c r="C48" s="1922"/>
      <c r="D48" s="1923"/>
    </row>
    <row r="49" spans="1:4">
      <c r="A49" s="58"/>
      <c r="B49" s="1921"/>
      <c r="C49" s="1922"/>
      <c r="D49" s="1923"/>
    </row>
    <row r="50" spans="1:4">
      <c r="A50" s="58"/>
      <c r="B50" s="1921"/>
      <c r="C50" s="1922"/>
      <c r="D50" s="1923"/>
    </row>
    <row r="51" spans="1:4">
      <c r="A51" s="58"/>
      <c r="B51" s="1921"/>
      <c r="C51" s="1922"/>
      <c r="D51" s="1923"/>
    </row>
    <row r="52" spans="1:4">
      <c r="A52" s="58"/>
      <c r="B52" s="1921"/>
      <c r="C52" s="1922"/>
      <c r="D52" s="1923"/>
    </row>
    <row r="53" spans="1:4">
      <c r="A53" s="58"/>
      <c r="B53" s="1921"/>
      <c r="C53" s="1922"/>
      <c r="D53" s="1923"/>
    </row>
  </sheetData>
  <mergeCells count="33">
    <mergeCell ref="B52:D52"/>
    <mergeCell ref="B53:D53"/>
    <mergeCell ref="B47:D47"/>
    <mergeCell ref="B48:D48"/>
    <mergeCell ref="B49:D49"/>
    <mergeCell ref="B50:D50"/>
    <mergeCell ref="B51:D51"/>
    <mergeCell ref="B42:D42"/>
    <mergeCell ref="B43:D43"/>
    <mergeCell ref="B44:D44"/>
    <mergeCell ref="B45:D45"/>
    <mergeCell ref="B46:D46"/>
    <mergeCell ref="B41:D41"/>
    <mergeCell ref="B26:D26"/>
    <mergeCell ref="B29:D29"/>
    <mergeCell ref="B31:D31"/>
    <mergeCell ref="B36:D36"/>
    <mergeCell ref="B30:D30"/>
    <mergeCell ref="B27:D27"/>
    <mergeCell ref="B28:D28"/>
    <mergeCell ref="B37:D37"/>
    <mergeCell ref="B32:D32"/>
    <mergeCell ref="B33:D33"/>
    <mergeCell ref="B34:D34"/>
    <mergeCell ref="B35:D35"/>
    <mergeCell ref="B38:D38"/>
    <mergeCell ref="B39:D39"/>
    <mergeCell ref="B40:D40"/>
    <mergeCell ref="A1:D1"/>
    <mergeCell ref="A12:D12"/>
    <mergeCell ref="A23:D23"/>
    <mergeCell ref="B24:D24"/>
    <mergeCell ref="B25:D25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C156C-31F4-5B40-A0AF-4D16C214EECE}">
  <sheetPr>
    <pageSetUpPr fitToPage="1"/>
  </sheetPr>
  <dimension ref="A1:DN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36.296875" bestFit="1" customWidth="1"/>
    <col min="11" max="12" width="19.296875" customWidth="1"/>
    <col min="13" max="13" width="12.69921875" customWidth="1"/>
    <col min="14" max="14" width="17.69921875" customWidth="1"/>
    <col min="15" max="17" width="16.69921875" customWidth="1"/>
    <col min="18" max="18" width="15.69921875" bestFit="1" customWidth="1"/>
    <col min="19" max="19" width="12" customWidth="1"/>
    <col min="20" max="22" width="13.796875" customWidth="1"/>
    <col min="23" max="23" width="19" bestFit="1" customWidth="1"/>
    <col min="24" max="24" width="2.69921875" customWidth="1"/>
    <col min="25" max="25" width="13.69921875" bestFit="1" customWidth="1"/>
    <col min="26" max="26" width="22.5" bestFit="1" customWidth="1"/>
    <col min="27" max="27" width="3.296875" customWidth="1"/>
    <col min="28" max="28" width="15.69921875" bestFit="1" customWidth="1"/>
    <col min="29" max="29" width="22.5" bestFit="1" customWidth="1"/>
    <col min="30" max="30" width="11.5" bestFit="1" customWidth="1"/>
    <col min="38" max="38" width="21.69921875" bestFit="1" customWidth="1"/>
    <col min="41" max="41" width="19" bestFit="1" customWidth="1"/>
    <col min="44" max="44" width="22.5" bestFit="1" customWidth="1"/>
    <col min="47" max="47" width="22.5" bestFit="1" customWidth="1"/>
    <col min="50" max="50" width="11.69921875" bestFit="1" customWidth="1"/>
    <col min="51" max="51" width="2.296875" customWidth="1"/>
    <col min="52" max="52" width="2.796875" customWidth="1"/>
    <col min="53" max="53" width="11.69921875" bestFit="1" customWidth="1"/>
    <col min="54" max="54" width="3" customWidth="1"/>
    <col min="55" max="55" width="3.296875" customWidth="1"/>
    <col min="56" max="56" width="11.69921875" bestFit="1" customWidth="1"/>
    <col min="57" max="58" width="2.19921875" customWidth="1"/>
    <col min="59" max="59" width="9" bestFit="1" customWidth="1"/>
    <col min="60" max="60" width="14.796875" bestFit="1" customWidth="1"/>
    <col min="61" max="61" width="9" bestFit="1" customWidth="1"/>
    <col min="62" max="62" width="2.796875" customWidth="1"/>
    <col min="63" max="63" width="12.5" bestFit="1" customWidth="1"/>
    <col min="64" max="64" width="7.69921875" bestFit="1" customWidth="1"/>
    <col min="65" max="65" width="3.296875" customWidth="1"/>
    <col min="66" max="66" width="13.69921875" bestFit="1" customWidth="1"/>
    <col min="67" max="67" width="9" bestFit="1" customWidth="1"/>
    <col min="68" max="68" width="3.296875" customWidth="1"/>
    <col min="69" max="69" width="15.69921875" bestFit="1" customWidth="1"/>
    <col min="80" max="80" width="21.69921875" bestFit="1" customWidth="1"/>
    <col min="83" max="83" width="19" bestFit="1" customWidth="1"/>
    <col min="86" max="86" width="22.5" bestFit="1" customWidth="1"/>
    <col min="89" max="89" width="22.5" bestFit="1" customWidth="1"/>
    <col min="92" max="92" width="11.69921875" bestFit="1" customWidth="1"/>
    <col min="93" max="93" width="2.296875" customWidth="1"/>
    <col min="94" max="94" width="2.796875" customWidth="1"/>
    <col min="95" max="95" width="11.69921875" bestFit="1" customWidth="1"/>
    <col min="96" max="96" width="3" customWidth="1"/>
    <col min="97" max="97" width="3.296875" customWidth="1"/>
    <col min="98" max="98" width="11.69921875" bestFit="1" customWidth="1"/>
    <col min="99" max="100" width="2.19921875" customWidth="1"/>
    <col min="101" max="101" width="9" bestFit="1" customWidth="1"/>
    <col min="102" max="102" width="14.796875" bestFit="1" customWidth="1"/>
    <col min="103" max="103" width="9" bestFit="1" customWidth="1"/>
    <col min="104" max="104" width="2.796875" customWidth="1"/>
    <col min="105" max="105" width="12.5" bestFit="1" customWidth="1"/>
    <col min="106" max="106" width="7.69921875" bestFit="1" customWidth="1"/>
    <col min="107" max="107" width="3.296875" customWidth="1"/>
    <col min="108" max="108" width="13.69921875" bestFit="1" customWidth="1"/>
    <col min="109" max="109" width="9" bestFit="1" customWidth="1"/>
    <col min="110" max="110" width="3.296875" customWidth="1"/>
    <col min="111" max="111" width="15.69921875" bestFit="1" customWidth="1"/>
  </cols>
  <sheetData>
    <row r="1" spans="1:106" s="585" customFormat="1">
      <c r="G1" s="586" t="s">
        <v>471</v>
      </c>
      <c r="M1" s="584" t="s">
        <v>507</v>
      </c>
      <c r="N1" s="584"/>
      <c r="O1" s="584"/>
      <c r="P1" s="584"/>
      <c r="Q1" s="584"/>
    </row>
    <row r="2" spans="1:106" s="585" customFormat="1" ht="16.2" thickBot="1">
      <c r="A2" s="584" t="s">
        <v>221</v>
      </c>
      <c r="G2" s="588"/>
      <c r="J2" s="674" t="s">
        <v>925</v>
      </c>
      <c r="K2" s="857" t="s">
        <v>921</v>
      </c>
      <c r="M2" s="969" t="s">
        <v>915</v>
      </c>
      <c r="N2" s="969" t="s">
        <v>914</v>
      </c>
      <c r="O2" s="1289" t="s">
        <v>508</v>
      </c>
      <c r="P2" s="1290" t="s">
        <v>509</v>
      </c>
      <c r="Q2" s="1291" t="s">
        <v>510</v>
      </c>
      <c r="R2" s="969" t="s">
        <v>575</v>
      </c>
      <c r="S2" s="969" t="s">
        <v>511</v>
      </c>
      <c r="T2" s="969" t="s">
        <v>576</v>
      </c>
      <c r="U2" s="969" t="s">
        <v>890</v>
      </c>
      <c r="V2" s="1331" t="s">
        <v>656</v>
      </c>
      <c r="W2" s="1331" t="s">
        <v>657</v>
      </c>
    </row>
    <row r="3" spans="1:106" s="585" customFormat="1">
      <c r="A3" s="584" t="s">
        <v>220</v>
      </c>
      <c r="B3" s="587"/>
      <c r="G3" s="588"/>
      <c r="K3" s="1414" t="s">
        <v>922</v>
      </c>
      <c r="M3" s="1292"/>
      <c r="N3" s="1393">
        <f>SUM(O3:Q3)</f>
        <v>0</v>
      </c>
      <c r="O3" s="1394"/>
      <c r="P3" s="1395"/>
      <c r="Q3" s="1396"/>
      <c r="R3" s="1337" t="e">
        <f>((O3+P3+Q3)/F22)*H33</f>
        <v>#DIV/0!</v>
      </c>
      <c r="S3" s="970"/>
      <c r="T3" s="633"/>
    </row>
    <row r="4" spans="1:106" s="585" customFormat="1">
      <c r="A4" s="584" t="s">
        <v>207</v>
      </c>
      <c r="G4" s="588"/>
      <c r="H4" s="593"/>
      <c r="I4" s="594"/>
      <c r="J4" s="594"/>
      <c r="K4" s="1415" t="s">
        <v>924</v>
      </c>
      <c r="M4" s="1292"/>
      <c r="N4" s="1393">
        <f>SUM(O4:Q4)</f>
        <v>0</v>
      </c>
      <c r="O4" s="1394"/>
      <c r="P4" s="1395"/>
      <c r="Q4" s="1396"/>
      <c r="R4" s="1337" t="e">
        <f>((O4+P4+Q4)/F22)*H33</f>
        <v>#DIV/0!</v>
      </c>
      <c r="S4" s="970"/>
      <c r="T4" s="633"/>
    </row>
    <row r="5" spans="1:106" s="585" customFormat="1">
      <c r="A5" s="1637" t="s">
        <v>76</v>
      </c>
      <c r="B5" s="585" t="s">
        <v>78</v>
      </c>
      <c r="C5" s="590" t="s">
        <v>202</v>
      </c>
      <c r="D5" s="1412" t="s">
        <v>918</v>
      </c>
      <c r="E5" s="1413"/>
      <c r="G5" s="588"/>
      <c r="H5" s="593"/>
      <c r="I5" s="594"/>
      <c r="J5" s="594"/>
      <c r="K5" s="1415" t="s">
        <v>923</v>
      </c>
      <c r="M5" s="1292"/>
      <c r="N5" s="1393">
        <f t="shared" ref="N5:N26" si="0">SUM(O5:Q5)</f>
        <v>0</v>
      </c>
      <c r="O5" s="1394"/>
      <c r="P5" s="1395"/>
      <c r="Q5" s="1396"/>
      <c r="R5" s="1337" t="e">
        <f>((O5+P5+Q5)/F22)*H33</f>
        <v>#DIV/0!</v>
      </c>
      <c r="S5" s="970"/>
      <c r="T5" s="633"/>
    </row>
    <row r="6" spans="1:106" s="585" customFormat="1" ht="16.2" thickBot="1">
      <c r="A6" s="584" t="s">
        <v>512</v>
      </c>
      <c r="B6" s="840">
        <v>0</v>
      </c>
      <c r="G6" s="588"/>
      <c r="H6" s="593"/>
      <c r="I6" s="594"/>
      <c r="J6" s="594"/>
      <c r="M6" s="1292"/>
      <c r="N6" s="1393">
        <f t="shared" si="0"/>
        <v>0</v>
      </c>
      <c r="O6" s="1394"/>
      <c r="P6" s="1395"/>
      <c r="Q6" s="1396"/>
      <c r="R6" s="1337" t="e">
        <f>((O6+P6+Q6)/F22)*H33</f>
        <v>#DIV/0!</v>
      </c>
      <c r="S6" s="970"/>
      <c r="T6" s="633"/>
      <c r="AL6" s="971">
        <v>1000</v>
      </c>
      <c r="AM6" s="971"/>
      <c r="AN6" s="971"/>
      <c r="AO6" s="971">
        <f>AL6</f>
        <v>1000</v>
      </c>
      <c r="AP6" s="971"/>
      <c r="AQ6" s="971"/>
      <c r="AR6" s="971">
        <f>AL6+AO6</f>
        <v>2000</v>
      </c>
      <c r="AS6" s="971"/>
      <c r="AT6" s="971"/>
      <c r="AU6" s="971">
        <f>AR6</f>
        <v>2000</v>
      </c>
      <c r="AV6" s="972" t="e">
        <f>IF(AL6&lt;=#REF!,#REF!,IF(AL6&lt;=#REF!,#REF!,IF(AL6&lt;=#REF!,#REF!,IF(AL6&lt;=#REF!,#REF!,IF(AL6&lt;=#REF!,#REF!,IF(AL6&lt;=#REF!,#REF!,IF(AL6&lt;=#REF!,#REF!,0.05)))))))</f>
        <v>#REF!</v>
      </c>
      <c r="AW6" s="971" t="e">
        <f>AV6*AL6</f>
        <v>#REF!</v>
      </c>
      <c r="AX6" s="972"/>
      <c r="AY6" s="972" t="e">
        <f>IF(AO6&lt;=#REF!,#REF!,IF(AO6&lt;=#REF!,#REF!,IF(AO6&lt;=#REF!,#REF!,IF(AO6&lt;=#REF!,#REF!,IF(AO6&lt;=#REF!,#REF!,IF(AO6&lt;=#REF!,#REF!,IF(AO6&lt;=#REF!,#REF!,0.05)))))))</f>
        <v>#REF!</v>
      </c>
      <c r="AZ6" s="971" t="e">
        <f>AY6*AO6</f>
        <v>#REF!</v>
      </c>
      <c r="BA6" s="972"/>
      <c r="BB6" s="972" t="e">
        <f>IF(AR6&lt;=#REF!,#REF!,IF(AR6&lt;=#REF!,#REF!,IF(AR6&lt;=#REF!,#REF!,IF(AR6&lt;=#REF!,#REF!,IF(AR6&lt;=#REF!,#REF!,IF(AR6&lt;=#REF!,#REF!,IF(AR6&lt;=#REF!,#REF!,0.05)))))))</f>
        <v>#REF!</v>
      </c>
      <c r="BC6" s="971" t="e">
        <f>BB6*SUM(AZ6,AW6,AR6)</f>
        <v>#REF!</v>
      </c>
      <c r="BD6" s="972"/>
      <c r="BE6" s="973" t="e">
        <f>IF(AU6&lt;=#REF!,#REF!,IF(AU6&lt;=#REF!,#REF!,IF(AU6&lt;=#REF!,#REF!,IF(AU6&lt;=#REF!,#REF!,IF(AU6&lt;=#REF!,#REF!,IF(AU6&lt;=#REF!,#REF!,IF(AU6&lt;=#REF!,#REF!,0.05)))))))</f>
        <v>#REF!</v>
      </c>
      <c r="BF6" s="971" t="e">
        <f>BE6*AU6</f>
        <v>#REF!</v>
      </c>
      <c r="BH6" s="598" t="e">
        <f>0.07*SUM(AR6,AW6,AZ6,BC6,BF6)</f>
        <v>#REF!</v>
      </c>
      <c r="BJ6" s="598" t="e">
        <f>SUM(BH6,BF6,BC6,AZ6,AW6,AR6)</f>
        <v>#REF!</v>
      </c>
      <c r="BK6" s="599" t="e">
        <f>SUM(BF6,BC6,AZ6,AW6)</f>
        <v>#REF!</v>
      </c>
      <c r="BL6" s="972" t="e">
        <f>BK6/BJ6</f>
        <v>#REF!</v>
      </c>
      <c r="BO6" s="972">
        <v>0.1</v>
      </c>
      <c r="BP6" s="971">
        <v>5000</v>
      </c>
      <c r="BR6" s="972">
        <v>0.35</v>
      </c>
      <c r="BS6" s="971">
        <v>2000</v>
      </c>
      <c r="BT6" s="971"/>
      <c r="BU6" s="972">
        <v>0.28000000000000003</v>
      </c>
      <c r="BV6" s="971">
        <v>9000</v>
      </c>
      <c r="BX6" s="973">
        <v>0</v>
      </c>
      <c r="BY6" s="971">
        <v>9000</v>
      </c>
      <c r="CB6" s="971">
        <v>1000</v>
      </c>
      <c r="CC6" s="971"/>
      <c r="CD6" s="971"/>
      <c r="CE6" s="971">
        <f>CB6</f>
        <v>1000</v>
      </c>
      <c r="CF6" s="971"/>
      <c r="CG6" s="971"/>
      <c r="CH6" s="971">
        <f>CB6+CE6</f>
        <v>2000</v>
      </c>
      <c r="CI6" s="971"/>
      <c r="CJ6" s="971"/>
      <c r="CK6" s="971">
        <f>CH6</f>
        <v>2000</v>
      </c>
      <c r="CL6" s="972">
        <f t="shared" ref="CL6:CL28" si="1">IF(CB6&lt;=BP$6,BO$6,IF(CB6&lt;=BP$7,BO$7,IF(CB6&lt;=BP$8,BO$8,IF(CB6&lt;=BP$9,BO$9,IF(CB6&lt;=BP$14,BO$14,IF(CB6&lt;=BP$15,BO$15,IF(CB6&lt;=BP$16,BO$16,0.05)))))))</f>
        <v>0.1</v>
      </c>
      <c r="CM6" s="971">
        <f>CL6*CB6</f>
        <v>100</v>
      </c>
      <c r="CN6" s="972"/>
      <c r="CO6" s="972">
        <f t="shared" ref="CO6:CO28" si="2">IF(CE6&lt;=BS$6,BR$6,IF(CE6&lt;=BS$7,BR$7,IF(CE6&lt;=BS$8,BR$8,IF(CE6&lt;=BS$9,BR$9,IF(CE6&lt;=BS$14,BR$14,IF(CE6&lt;=BS$15,BR$15,IF(CE6&lt;=BS$16,BR$16,0.05)))))))</f>
        <v>0.35</v>
      </c>
      <c r="CP6" s="971">
        <f>CO6*CE6</f>
        <v>350</v>
      </c>
      <c r="CQ6" s="972"/>
      <c r="CR6" s="972">
        <f t="shared" ref="CR6:CR28" si="3">IF(CH6&lt;=BV$6,BU$6,IF(CH6&lt;=BV$7,BU$7,IF(CH6&lt;=BV$8,BU$8,IF(CH6&lt;=BV$9,BU$9,IF(CH6&lt;=BV$14,BU$14,IF(CH6&lt;=BV$15,BU$15,IF(CH6&lt;=BV$16,BU$16,0.05)))))))</f>
        <v>0.28000000000000003</v>
      </c>
      <c r="CS6" s="971">
        <f>CR6*SUM(CP6,CM6,CH6)</f>
        <v>686.00000000000011</v>
      </c>
      <c r="CT6" s="972"/>
      <c r="CU6" s="973">
        <f t="shared" ref="CU6:CU28" si="4">IF(CK6&lt;=BY$6,BX$6,IF(CK6&lt;=BY$7,BX$7,IF(CK6&lt;=BY$8,BX$8,IF(CK6&lt;=BY$9,BX$9,IF(CK6&lt;=BY$14,BX$14,IF(CK6&lt;=BY$15,BX$15,IF(CK6&lt;=BY$16,BX$16,0.05)))))))</f>
        <v>0</v>
      </c>
      <c r="CV6" s="971">
        <f>CU6*CK6</f>
        <v>0</v>
      </c>
      <c r="CX6" s="598">
        <f>0.07*SUM(CH6,CM6,CP6,CS6,CV6)</f>
        <v>219.52</v>
      </c>
      <c r="CZ6" s="598">
        <f>SUM(CX6,CV6,CS6,CP6,CM6,CH6)</f>
        <v>3355.52</v>
      </c>
      <c r="DA6" s="599">
        <f>SUM(CV6,CS6,CP6,CM6)</f>
        <v>1136</v>
      </c>
      <c r="DB6" s="972">
        <f>DA6/CZ6</f>
        <v>0.33854663360671372</v>
      </c>
    </row>
    <row r="7" spans="1:106" s="585" customFormat="1" ht="16.2" thickBot="1">
      <c r="A7" s="589" t="s">
        <v>149</v>
      </c>
      <c r="B7" s="585" t="s">
        <v>71</v>
      </c>
      <c r="C7" s="1010" t="s">
        <v>1029</v>
      </c>
      <c r="D7" s="591" t="str">
        <f>Epoxy!D5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594"/>
      <c r="M7" s="1292"/>
      <c r="N7" s="1393">
        <f t="shared" si="0"/>
        <v>0</v>
      </c>
      <c r="O7" s="1394"/>
      <c r="P7" s="1395"/>
      <c r="Q7" s="1396"/>
      <c r="R7" s="1337" t="e">
        <f>((O7+P7+Q7)/F22)*H33</f>
        <v>#DIV/0!</v>
      </c>
      <c r="S7" s="970"/>
      <c r="AL7" s="971">
        <v>2000</v>
      </c>
      <c r="AM7" s="971"/>
      <c r="AN7" s="971"/>
      <c r="AO7" s="971">
        <f t="shared" ref="AO7:BA51" si="5">AL7</f>
        <v>2000</v>
      </c>
      <c r="AP7" s="971"/>
      <c r="AQ7" s="971"/>
      <c r="AR7" s="971">
        <f t="shared" ref="AR7:BD34" si="6">AL7+AO7</f>
        <v>4000</v>
      </c>
      <c r="AS7" s="971"/>
      <c r="AT7" s="971"/>
      <c r="AU7" s="971">
        <f t="shared" ref="AU7:BG34" si="7">AR7</f>
        <v>4000</v>
      </c>
      <c r="AV7" s="972" t="e">
        <f>IF(AL7&lt;=#REF!,#REF!,IF(AL7&lt;=#REF!,#REF!,IF(AL7&lt;=#REF!,#REF!,IF(AL7&lt;=#REF!,#REF!,IF(AL7&lt;=#REF!,#REF!,IF(AL7&lt;=#REF!,#REF!,IF(AL7&lt;=#REF!,#REF!,0.05)))))))</f>
        <v>#REF!</v>
      </c>
      <c r="AW7" s="971" t="e">
        <f t="shared" ref="AW7:BI34" si="8">AV7*AL7</f>
        <v>#REF!</v>
      </c>
      <c r="AX7" s="972"/>
      <c r="AY7" s="972" t="e">
        <f>IF(AO7&lt;=#REF!,#REF!,IF(AO7&lt;=#REF!,#REF!,IF(AO7&lt;=#REF!,#REF!,IF(AO7&lt;=#REF!,#REF!,IF(AO7&lt;=#REF!,#REF!,IF(AO7&lt;=#REF!,#REF!,IF(AO7&lt;=#REF!,#REF!,0.05)))))))</f>
        <v>#REF!</v>
      </c>
      <c r="AZ7" s="971" t="e">
        <f t="shared" ref="AZ7:BL34" si="9">AY7*AO7</f>
        <v>#REF!</v>
      </c>
      <c r="BA7" s="972"/>
      <c r="BB7" s="972" t="e">
        <f>IF(AR7&lt;=#REF!,#REF!,IF(AR7&lt;=#REF!,#REF!,IF(AR7&lt;=#REF!,#REF!,IF(AR7&lt;=#REF!,#REF!,IF(AR7&lt;=#REF!,#REF!,IF(AR7&lt;=#REF!,#REF!,IF(AR7&lt;=#REF!,#REF!,0.05)))))))</f>
        <v>#REF!</v>
      </c>
      <c r="BC7" s="971" t="e">
        <f t="shared" ref="BC7:BO34" si="10">BB7*SUM(AZ7,AW7,AR7)</f>
        <v>#REF!</v>
      </c>
      <c r="BD7" s="972"/>
      <c r="BE7" s="973" t="e">
        <f>IF(AU7&lt;=#REF!,#REF!,IF(AU7&lt;=#REF!,#REF!,IF(AU7&lt;=#REF!,#REF!,IF(AU7&lt;=#REF!,#REF!,IF(AU7&lt;=#REF!,#REF!,IF(AU7&lt;=#REF!,#REF!,IF(AU7&lt;=#REF!,#REF!,0.05)))))))</f>
        <v>#REF!</v>
      </c>
      <c r="BF7" s="971" t="e">
        <f t="shared" ref="BF7:BR34" si="11">BE7*AU7</f>
        <v>#REF!</v>
      </c>
      <c r="BH7" s="598" t="e">
        <f t="shared" ref="BH7:BT34" si="12">0.07*SUM(AR7,AW7,AZ7,BC7,BF7)</f>
        <v>#REF!</v>
      </c>
      <c r="BJ7" s="598" t="e">
        <f t="shared" ref="BJ7:BV34" si="13">SUM(BH7,BF7,BC7,AZ7,AW7,AR7)</f>
        <v>#REF!</v>
      </c>
      <c r="BK7" s="599" t="e">
        <f t="shared" ref="BK7:BW34" si="14">SUM(BF7,BC7,AZ7,AW7)</f>
        <v>#REF!</v>
      </c>
      <c r="BL7" s="972" t="e">
        <f t="shared" ref="BL7:BX34" si="15">BK7/BJ7</f>
        <v>#REF!</v>
      </c>
      <c r="BO7" s="972">
        <v>0.05</v>
      </c>
      <c r="BP7" s="971">
        <v>1000000000</v>
      </c>
      <c r="BR7" s="972">
        <v>0.3</v>
      </c>
      <c r="BS7" s="971">
        <v>3000</v>
      </c>
      <c r="BT7" s="971"/>
      <c r="BU7" s="972">
        <v>0.24</v>
      </c>
      <c r="BV7" s="971">
        <v>14000</v>
      </c>
      <c r="BX7" s="973">
        <v>-0.04</v>
      </c>
      <c r="BY7" s="971">
        <v>14000</v>
      </c>
      <c r="CB7" s="971">
        <v>2000</v>
      </c>
      <c r="CC7" s="971"/>
      <c r="CD7" s="971"/>
      <c r="CE7" s="971">
        <f t="shared" ref="CE7:CQ51" si="16">CB7</f>
        <v>2000</v>
      </c>
      <c r="CF7" s="971"/>
      <c r="CG7" s="971"/>
      <c r="CH7" s="971">
        <f t="shared" ref="CH7:CT51" si="17">CB7+CE7</f>
        <v>4000</v>
      </c>
      <c r="CI7" s="971"/>
      <c r="CJ7" s="971"/>
      <c r="CK7" s="971">
        <f t="shared" ref="CK7:CW51" si="18">CH7</f>
        <v>4000</v>
      </c>
      <c r="CL7" s="972">
        <f t="shared" si="1"/>
        <v>0.1</v>
      </c>
      <c r="CM7" s="971">
        <f t="shared" ref="CM7:CY51" si="19">CL7*CB7</f>
        <v>200</v>
      </c>
      <c r="CN7" s="972"/>
      <c r="CO7" s="972">
        <f t="shared" si="2"/>
        <v>0.35</v>
      </c>
      <c r="CP7" s="971">
        <f t="shared" ref="CP7:DB51" si="20">CO7*CE7</f>
        <v>700</v>
      </c>
      <c r="CQ7" s="972"/>
      <c r="CR7" s="972">
        <f t="shared" si="3"/>
        <v>0.28000000000000003</v>
      </c>
      <c r="CS7" s="971">
        <f t="shared" ref="CS7:DE51" si="21">CR7*SUM(CP7,CM7,CH7)</f>
        <v>1372.0000000000002</v>
      </c>
      <c r="CT7" s="972"/>
      <c r="CU7" s="973">
        <f t="shared" si="4"/>
        <v>0</v>
      </c>
      <c r="CV7" s="971">
        <f t="shared" ref="CV7:DH51" si="22">CU7*CK7</f>
        <v>0</v>
      </c>
      <c r="CX7" s="598">
        <f t="shared" ref="CX7:DJ51" si="23">0.07*SUM(CH7,CM7,CP7,CS7,CV7)</f>
        <v>439.04</v>
      </c>
      <c r="CZ7" s="598">
        <f t="shared" ref="CZ7:DL51" si="24">SUM(CX7,CV7,CS7,CP7,CM7,CH7)</f>
        <v>6711.04</v>
      </c>
      <c r="DA7" s="599">
        <f t="shared" ref="DA7:DM51" si="25">SUM(CV7,CS7,CP7,CM7)</f>
        <v>2272</v>
      </c>
      <c r="DB7" s="972">
        <f t="shared" ref="DB7:DN51" si="26">DA7/CZ7</f>
        <v>0.33854663360671372</v>
      </c>
    </row>
    <row r="8" spans="1:106" s="585" customFormat="1" ht="16.2" thickBot="1">
      <c r="A8" s="589" t="s">
        <v>79</v>
      </c>
      <c r="B8" s="585" t="s">
        <v>78</v>
      </c>
      <c r="C8" s="1539" t="s">
        <v>119</v>
      </c>
      <c r="D8" s="591" t="str">
        <f>Epoxy!D6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833"/>
      <c r="M8" s="1292"/>
      <c r="N8" s="1393">
        <f t="shared" si="0"/>
        <v>0</v>
      </c>
      <c r="O8" s="1394"/>
      <c r="P8" s="1395"/>
      <c r="Q8" s="1396"/>
      <c r="R8" s="1337" t="e">
        <f>((O8+P8+Q8)/F22)*H33</f>
        <v>#DIV/0!</v>
      </c>
      <c r="S8" s="970"/>
      <c r="AL8" s="971">
        <v>3000</v>
      </c>
      <c r="AM8" s="971"/>
      <c r="AN8" s="971"/>
      <c r="AO8" s="971">
        <f t="shared" si="5"/>
        <v>3000</v>
      </c>
      <c r="AP8" s="971"/>
      <c r="AQ8" s="971"/>
      <c r="AR8" s="971">
        <f t="shared" si="6"/>
        <v>6000</v>
      </c>
      <c r="AS8" s="971"/>
      <c r="AT8" s="971"/>
      <c r="AU8" s="971">
        <f t="shared" si="7"/>
        <v>6000</v>
      </c>
      <c r="AV8" s="972" t="e">
        <f>IF(AL8&lt;=#REF!,#REF!,IF(AL8&lt;=#REF!,#REF!,IF(AL8&lt;=#REF!,#REF!,IF(AL8&lt;=#REF!,#REF!,IF(AL8&lt;=#REF!,#REF!,IF(AL8&lt;=#REF!,#REF!,IF(AL8&lt;=#REF!,#REF!,0.05)))))))</f>
        <v>#REF!</v>
      </c>
      <c r="AW8" s="971" t="e">
        <f t="shared" si="8"/>
        <v>#REF!</v>
      </c>
      <c r="AX8" s="972"/>
      <c r="AY8" s="972" t="e">
        <f>IF(AO8&lt;=#REF!,#REF!,IF(AO8&lt;=#REF!,#REF!,IF(AO8&lt;=#REF!,#REF!,IF(AO8&lt;=#REF!,#REF!,IF(AO8&lt;=#REF!,#REF!,IF(AO8&lt;=#REF!,#REF!,IF(AO8&lt;=#REF!,#REF!,0.05)))))))</f>
        <v>#REF!</v>
      </c>
      <c r="AZ8" s="971" t="e">
        <f t="shared" si="9"/>
        <v>#REF!</v>
      </c>
      <c r="BA8" s="972"/>
      <c r="BB8" s="972" t="e">
        <f>IF(AR8&lt;=#REF!,#REF!,IF(AR8&lt;=#REF!,#REF!,IF(AR8&lt;=#REF!,#REF!,IF(AR8&lt;=#REF!,#REF!,IF(AR8&lt;=#REF!,#REF!,IF(AR8&lt;=#REF!,#REF!,IF(AR8&lt;=#REF!,#REF!,0.05)))))))</f>
        <v>#REF!</v>
      </c>
      <c r="BC8" s="971" t="e">
        <f t="shared" si="10"/>
        <v>#REF!</v>
      </c>
      <c r="BD8" s="972"/>
      <c r="BE8" s="973" t="e">
        <f>IF(AU8&lt;=#REF!,#REF!,IF(AU8&lt;=#REF!,#REF!,IF(AU8&lt;=#REF!,#REF!,IF(AU8&lt;=#REF!,#REF!,IF(AU8&lt;=#REF!,#REF!,IF(AU8&lt;=#REF!,#REF!,IF(AU8&lt;=#REF!,#REF!,0.05)))))))</f>
        <v>#REF!</v>
      </c>
      <c r="BF8" s="971" t="e">
        <f t="shared" si="11"/>
        <v>#REF!</v>
      </c>
      <c r="BH8" s="598" t="e">
        <f t="shared" si="12"/>
        <v>#REF!</v>
      </c>
      <c r="BJ8" s="598" t="e">
        <f t="shared" si="13"/>
        <v>#REF!</v>
      </c>
      <c r="BK8" s="599" t="e">
        <f t="shared" si="14"/>
        <v>#REF!</v>
      </c>
      <c r="BL8" s="972" t="e">
        <f t="shared" si="15"/>
        <v>#REF!</v>
      </c>
      <c r="BO8" s="972">
        <v>0.05</v>
      </c>
      <c r="BP8" s="971">
        <v>1000000000</v>
      </c>
      <c r="BR8" s="972">
        <v>0.2</v>
      </c>
      <c r="BS8" s="971">
        <v>4000</v>
      </c>
      <c r="BT8" s="971"/>
      <c r="BU8" s="972">
        <v>0.22</v>
      </c>
      <c r="BV8" s="971">
        <v>19000</v>
      </c>
      <c r="BX8" s="973">
        <v>-0.05</v>
      </c>
      <c r="BY8" s="971">
        <v>19000</v>
      </c>
      <c r="CB8" s="971">
        <v>3000</v>
      </c>
      <c r="CC8" s="971"/>
      <c r="CD8" s="971"/>
      <c r="CE8" s="971">
        <f t="shared" si="16"/>
        <v>3000</v>
      </c>
      <c r="CF8" s="971"/>
      <c r="CG8" s="971"/>
      <c r="CH8" s="971">
        <f t="shared" si="17"/>
        <v>6000</v>
      </c>
      <c r="CI8" s="971"/>
      <c r="CJ8" s="971"/>
      <c r="CK8" s="971">
        <f t="shared" si="18"/>
        <v>6000</v>
      </c>
      <c r="CL8" s="972">
        <f t="shared" si="1"/>
        <v>0.1</v>
      </c>
      <c r="CM8" s="971">
        <f t="shared" si="19"/>
        <v>300</v>
      </c>
      <c r="CN8" s="972"/>
      <c r="CO8" s="972">
        <f t="shared" si="2"/>
        <v>0.3</v>
      </c>
      <c r="CP8" s="971">
        <f t="shared" si="20"/>
        <v>900</v>
      </c>
      <c r="CQ8" s="972"/>
      <c r="CR8" s="972">
        <f t="shared" si="3"/>
        <v>0.28000000000000003</v>
      </c>
      <c r="CS8" s="971">
        <f t="shared" si="21"/>
        <v>2016.0000000000002</v>
      </c>
      <c r="CT8" s="972"/>
      <c r="CU8" s="973">
        <f t="shared" si="4"/>
        <v>0</v>
      </c>
      <c r="CV8" s="971">
        <f t="shared" si="22"/>
        <v>0</v>
      </c>
      <c r="CX8" s="598">
        <f t="shared" si="23"/>
        <v>645.12000000000012</v>
      </c>
      <c r="CZ8" s="598">
        <f t="shared" si="24"/>
        <v>9861.1200000000008</v>
      </c>
      <c r="DA8" s="599">
        <f t="shared" si="25"/>
        <v>3216</v>
      </c>
      <c r="DB8" s="972">
        <f t="shared" si="26"/>
        <v>0.32612928348909653</v>
      </c>
    </row>
    <row r="9" spans="1:106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O28</f>
        <v>0</v>
      </c>
      <c r="H9" s="976" t="s">
        <v>517</v>
      </c>
      <c r="I9" s="1353">
        <f>P28</f>
        <v>0</v>
      </c>
      <c r="J9" s="977" t="s">
        <v>518</v>
      </c>
      <c r="K9" s="1354">
        <f>Q28</f>
        <v>0</v>
      </c>
      <c r="L9" s="1400"/>
      <c r="M9" s="1292"/>
      <c r="N9" s="1393">
        <f t="shared" si="0"/>
        <v>0</v>
      </c>
      <c r="O9" s="1394"/>
      <c r="P9" s="1395"/>
      <c r="Q9" s="1396"/>
      <c r="R9" s="1337" t="e">
        <f>((O9+P9+Q9)/F22)*H33</f>
        <v>#DIV/0!</v>
      </c>
      <c r="S9" s="970"/>
      <c r="AL9" s="971">
        <v>4000</v>
      </c>
      <c r="AM9" s="971"/>
      <c r="AN9" s="971"/>
      <c r="AO9" s="971">
        <f t="shared" si="5"/>
        <v>4000</v>
      </c>
      <c r="AP9" s="971"/>
      <c r="AQ9" s="971"/>
      <c r="AR9" s="971">
        <f t="shared" si="6"/>
        <v>8000</v>
      </c>
      <c r="AS9" s="971"/>
      <c r="AT9" s="971"/>
      <c r="AU9" s="971">
        <f t="shared" si="7"/>
        <v>8000</v>
      </c>
      <c r="AV9" s="972" t="e">
        <f>IF(AL9&lt;=#REF!,#REF!,IF(AL9&lt;=#REF!,#REF!,IF(AL9&lt;=#REF!,#REF!,IF(AL9&lt;=#REF!,#REF!,IF(AL9&lt;=#REF!,#REF!,IF(AL9&lt;=#REF!,#REF!,IF(AL9&lt;=#REF!,#REF!,0.05)))))))</f>
        <v>#REF!</v>
      </c>
      <c r="AW9" s="971" t="e">
        <f t="shared" si="8"/>
        <v>#REF!</v>
      </c>
      <c r="AX9" s="972"/>
      <c r="AY9" s="972" t="e">
        <f>IF(AO9&lt;=#REF!,#REF!,IF(AO9&lt;=#REF!,#REF!,IF(AO9&lt;=#REF!,#REF!,IF(AO9&lt;=#REF!,#REF!,IF(AO9&lt;=#REF!,#REF!,IF(AO9&lt;=#REF!,#REF!,IF(AO9&lt;=#REF!,#REF!,0.05)))))))</f>
        <v>#REF!</v>
      </c>
      <c r="AZ9" s="971" t="e">
        <f t="shared" si="9"/>
        <v>#REF!</v>
      </c>
      <c r="BA9" s="972"/>
      <c r="BB9" s="972" t="e">
        <f>IF(AR9&lt;=#REF!,#REF!,IF(AR9&lt;=#REF!,#REF!,IF(AR9&lt;=#REF!,#REF!,IF(AR9&lt;=#REF!,#REF!,IF(AR9&lt;=#REF!,#REF!,IF(AR9&lt;=#REF!,#REF!,IF(AR9&lt;=#REF!,#REF!,0.05)))))))</f>
        <v>#REF!</v>
      </c>
      <c r="BC9" s="971" t="e">
        <f t="shared" si="10"/>
        <v>#REF!</v>
      </c>
      <c r="BD9" s="972"/>
      <c r="BE9" s="973" t="e">
        <f>IF(AU9&lt;=#REF!,#REF!,IF(AU9&lt;=#REF!,#REF!,IF(AU9&lt;=#REF!,#REF!,IF(AU9&lt;=#REF!,#REF!,IF(AU9&lt;=#REF!,#REF!,IF(AU9&lt;=#REF!,#REF!,IF(AU9&lt;=#REF!,#REF!,0.05)))))))</f>
        <v>#REF!</v>
      </c>
      <c r="BF9" s="971" t="e">
        <f t="shared" si="11"/>
        <v>#REF!</v>
      </c>
      <c r="BH9" s="598" t="e">
        <f t="shared" si="12"/>
        <v>#REF!</v>
      </c>
      <c r="BJ9" s="598" t="e">
        <f t="shared" si="13"/>
        <v>#REF!</v>
      </c>
      <c r="BK9" s="599" t="e">
        <f t="shared" si="14"/>
        <v>#REF!</v>
      </c>
      <c r="BL9" s="972" t="e">
        <f t="shared" si="15"/>
        <v>#REF!</v>
      </c>
      <c r="BO9" s="972">
        <v>0.05</v>
      </c>
      <c r="BP9" s="971">
        <v>1000000000</v>
      </c>
      <c r="BR9" s="972">
        <v>0.1</v>
      </c>
      <c r="BS9" s="971">
        <v>7000</v>
      </c>
      <c r="BT9" s="971"/>
      <c r="BU9" s="972">
        <v>0.2</v>
      </c>
      <c r="BV9" s="971">
        <v>24000</v>
      </c>
      <c r="BX9" s="973">
        <v>-0.05</v>
      </c>
      <c r="BY9" s="971">
        <v>34000</v>
      </c>
      <c r="CB9" s="971">
        <v>4000</v>
      </c>
      <c r="CC9" s="971"/>
      <c r="CD9" s="971"/>
      <c r="CE9" s="971">
        <f t="shared" si="16"/>
        <v>4000</v>
      </c>
      <c r="CF9" s="971"/>
      <c r="CG9" s="971"/>
      <c r="CH9" s="971">
        <f t="shared" si="17"/>
        <v>8000</v>
      </c>
      <c r="CI9" s="971"/>
      <c r="CJ9" s="971"/>
      <c r="CK9" s="971">
        <f t="shared" si="18"/>
        <v>8000</v>
      </c>
      <c r="CL9" s="972">
        <f t="shared" si="1"/>
        <v>0.1</v>
      </c>
      <c r="CM9" s="971">
        <f t="shared" si="19"/>
        <v>400</v>
      </c>
      <c r="CN9" s="972"/>
      <c r="CO9" s="972">
        <f t="shared" si="2"/>
        <v>0.2</v>
      </c>
      <c r="CP9" s="971">
        <f t="shared" si="20"/>
        <v>800</v>
      </c>
      <c r="CQ9" s="972"/>
      <c r="CR9" s="972">
        <f t="shared" si="3"/>
        <v>0.28000000000000003</v>
      </c>
      <c r="CS9" s="971">
        <f t="shared" si="21"/>
        <v>2576.0000000000005</v>
      </c>
      <c r="CT9" s="972"/>
      <c r="CU9" s="973">
        <f t="shared" si="4"/>
        <v>0</v>
      </c>
      <c r="CV9" s="971">
        <f t="shared" si="22"/>
        <v>0</v>
      </c>
      <c r="CX9" s="598">
        <f t="shared" si="23"/>
        <v>824.32</v>
      </c>
      <c r="CZ9" s="598">
        <f t="shared" si="24"/>
        <v>12600.32</v>
      </c>
      <c r="DA9" s="599">
        <f t="shared" si="25"/>
        <v>3776.0000000000005</v>
      </c>
      <c r="DB9" s="972">
        <f t="shared" si="26"/>
        <v>0.29967492889069486</v>
      </c>
    </row>
    <row r="10" spans="1:106" s="585" customFormat="1">
      <c r="A10" s="602" t="s">
        <v>223</v>
      </c>
      <c r="B10" s="603"/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v>0.75</v>
      </c>
      <c r="L10" s="1401"/>
      <c r="M10" s="1292"/>
      <c r="N10" s="1393">
        <f t="shared" si="0"/>
        <v>0</v>
      </c>
      <c r="O10" s="1394"/>
      <c r="P10" s="1395"/>
      <c r="Q10" s="1396"/>
      <c r="R10" s="1337" t="e">
        <f>((O10+P10+Q10)/F22)*H33</f>
        <v>#DIV/0!</v>
      </c>
      <c r="S10" s="970"/>
      <c r="AL10" s="971"/>
      <c r="AM10" s="971"/>
      <c r="AN10" s="971"/>
      <c r="AO10" s="971"/>
      <c r="AP10" s="971"/>
      <c r="AQ10" s="971"/>
      <c r="AR10" s="971"/>
      <c r="AS10" s="971"/>
      <c r="AT10" s="971"/>
      <c r="AU10" s="971"/>
      <c r="AV10" s="972"/>
      <c r="AW10" s="971"/>
      <c r="AX10" s="972"/>
      <c r="AY10" s="972"/>
      <c r="AZ10" s="971"/>
      <c r="BA10" s="972"/>
      <c r="BB10" s="972"/>
      <c r="BC10" s="971"/>
      <c r="BD10" s="972"/>
      <c r="BE10" s="973"/>
      <c r="BF10" s="971"/>
      <c r="BH10" s="598"/>
      <c r="BJ10" s="598"/>
      <c r="BK10" s="599"/>
      <c r="BL10" s="972"/>
      <c r="BO10" s="972"/>
      <c r="BP10" s="971"/>
      <c r="BR10" s="972"/>
      <c r="BS10" s="971"/>
      <c r="BT10" s="971"/>
      <c r="BU10" s="972"/>
      <c r="BV10" s="971"/>
      <c r="BX10" s="973"/>
      <c r="BY10" s="971"/>
      <c r="CB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2"/>
      <c r="CM10" s="971"/>
      <c r="CN10" s="972"/>
      <c r="CO10" s="972"/>
      <c r="CP10" s="971"/>
      <c r="CQ10" s="972"/>
      <c r="CR10" s="972"/>
      <c r="CS10" s="971"/>
      <c r="CT10" s="972"/>
      <c r="CU10" s="973"/>
      <c r="CV10" s="971"/>
      <c r="CX10" s="598"/>
      <c r="CZ10" s="598"/>
      <c r="DA10" s="599"/>
      <c r="DB10" s="972"/>
    </row>
    <row r="11" spans="1:106" s="585" customFormat="1">
      <c r="A11" s="602" t="s">
        <v>224</v>
      </c>
      <c r="B11" s="587"/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 s="833"/>
      <c r="M11" s="1292"/>
      <c r="N11" s="1393">
        <f t="shared" si="0"/>
        <v>0</v>
      </c>
      <c r="O11" s="1394"/>
      <c r="P11" s="1395"/>
      <c r="Q11" s="1396"/>
      <c r="R11" s="1337" t="e">
        <f>((O11+P11+Q11)/F22)*H33</f>
        <v>#DIV/0!</v>
      </c>
      <c r="S11" s="970"/>
      <c r="AL11" s="971"/>
      <c r="AM11" s="971"/>
      <c r="AN11" s="971"/>
      <c r="AO11" s="971"/>
      <c r="AP11" s="971"/>
      <c r="AQ11" s="971"/>
      <c r="AR11" s="971"/>
      <c r="AS11" s="971"/>
      <c r="AT11" s="971"/>
      <c r="AU11" s="971"/>
      <c r="AV11" s="972"/>
      <c r="AW11" s="971"/>
      <c r="AX11" s="972"/>
      <c r="AY11" s="972"/>
      <c r="AZ11" s="971"/>
      <c r="BA11" s="972"/>
      <c r="BB11" s="972"/>
      <c r="BC11" s="971"/>
      <c r="BD11" s="972"/>
      <c r="BE11" s="973"/>
      <c r="BF11" s="971"/>
      <c r="BH11" s="598"/>
      <c r="BJ11" s="598"/>
      <c r="BK11" s="599"/>
      <c r="BL11" s="972"/>
      <c r="BO11" s="972"/>
      <c r="BP11" s="971"/>
      <c r="BR11" s="972"/>
      <c r="BS11" s="971"/>
      <c r="BT11" s="971"/>
      <c r="BU11" s="972"/>
      <c r="BV11" s="971"/>
      <c r="BX11" s="973"/>
      <c r="BY11" s="971"/>
      <c r="CB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2"/>
      <c r="CM11" s="971"/>
      <c r="CN11" s="972"/>
      <c r="CO11" s="972"/>
      <c r="CP11" s="971"/>
      <c r="CQ11" s="972"/>
      <c r="CR11" s="972"/>
      <c r="CS11" s="971"/>
      <c r="CT11" s="972"/>
      <c r="CU11" s="973"/>
      <c r="CV11" s="971"/>
      <c r="CX11" s="598"/>
      <c r="CZ11" s="598"/>
      <c r="DA11" s="599"/>
      <c r="DB11" s="972"/>
    </row>
    <row r="12" spans="1:106" s="585" customFormat="1">
      <c r="A12" s="606" t="s">
        <v>203</v>
      </c>
      <c r="B12" s="603" t="s">
        <v>88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833"/>
      <c r="M12" s="1292"/>
      <c r="N12" s="1393">
        <f t="shared" si="0"/>
        <v>0</v>
      </c>
      <c r="O12" s="1394"/>
      <c r="P12" s="1395"/>
      <c r="Q12" s="1396"/>
      <c r="R12" s="1337" t="e">
        <f>((O12+P12+Q12)/F22)*H33</f>
        <v>#DIV/0!</v>
      </c>
      <c r="S12" s="970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2"/>
      <c r="AW12" s="971"/>
      <c r="AX12" s="972"/>
      <c r="AY12" s="972"/>
      <c r="AZ12" s="971"/>
      <c r="BA12" s="972"/>
      <c r="BB12" s="972"/>
      <c r="BC12" s="971"/>
      <c r="BD12" s="972"/>
      <c r="BE12" s="973"/>
      <c r="BF12" s="971"/>
      <c r="BH12" s="598"/>
      <c r="BJ12" s="598"/>
      <c r="BK12" s="599"/>
      <c r="BL12" s="972"/>
      <c r="BO12" s="972"/>
      <c r="BP12" s="971"/>
      <c r="BR12" s="972"/>
      <c r="BS12" s="971"/>
      <c r="BT12" s="971"/>
      <c r="BU12" s="972"/>
      <c r="BV12" s="971"/>
      <c r="BX12" s="973"/>
      <c r="BY12" s="971"/>
      <c r="CB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2"/>
      <c r="CM12" s="971"/>
      <c r="CN12" s="972"/>
      <c r="CO12" s="972"/>
      <c r="CP12" s="971"/>
      <c r="CQ12" s="972"/>
      <c r="CR12" s="972"/>
      <c r="CS12" s="971"/>
      <c r="CT12" s="972"/>
      <c r="CU12" s="973"/>
      <c r="CV12" s="971"/>
      <c r="CX12" s="598"/>
      <c r="CZ12" s="598"/>
      <c r="DA12" s="599"/>
      <c r="DB12" s="972"/>
    </row>
    <row r="13" spans="1:106" s="585" customFormat="1" ht="16.2" thickBot="1">
      <c r="A13" s="606" t="s">
        <v>523</v>
      </c>
      <c r="B13" s="585" t="s">
        <v>71</v>
      </c>
      <c r="C13" s="591"/>
      <c r="D13" s="591"/>
      <c r="E13" s="600"/>
      <c r="F13" s="978" t="s">
        <v>524</v>
      </c>
      <c r="G13" s="984" t="s">
        <v>525</v>
      </c>
      <c r="H13" s="985" t="s">
        <v>524</v>
      </c>
      <c r="I13" s="986" t="s">
        <v>525</v>
      </c>
      <c r="J13" s="987" t="s">
        <v>524</v>
      </c>
      <c r="K13" s="988" t="s">
        <v>525</v>
      </c>
      <c r="L13" s="1402"/>
      <c r="M13" s="1293"/>
      <c r="N13" s="1393">
        <f t="shared" si="0"/>
        <v>0</v>
      </c>
      <c r="O13" s="1394"/>
      <c r="P13" s="1395"/>
      <c r="Q13" s="1396"/>
      <c r="R13" s="1337" t="e">
        <f>((O13+P13+Q13)/F22)*H33</f>
        <v>#DIV/0!</v>
      </c>
      <c r="S13" s="970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2"/>
      <c r="AW13" s="971"/>
      <c r="AX13" s="972"/>
      <c r="AY13" s="972"/>
      <c r="AZ13" s="971"/>
      <c r="BA13" s="972"/>
      <c r="BB13" s="972"/>
      <c r="BC13" s="971"/>
      <c r="BD13" s="972"/>
      <c r="BE13" s="973"/>
      <c r="BF13" s="971"/>
      <c r="BH13" s="598"/>
      <c r="BJ13" s="598"/>
      <c r="BK13" s="599"/>
      <c r="BL13" s="972"/>
      <c r="BO13" s="972"/>
      <c r="BP13" s="971"/>
      <c r="BR13" s="972"/>
      <c r="BS13" s="971"/>
      <c r="BT13" s="971"/>
      <c r="BU13" s="972"/>
      <c r="BV13" s="971"/>
      <c r="BX13" s="973"/>
      <c r="BY13" s="971"/>
      <c r="CB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2"/>
      <c r="CM13" s="971"/>
      <c r="CN13" s="972"/>
      <c r="CO13" s="972"/>
      <c r="CP13" s="971"/>
      <c r="CQ13" s="972"/>
      <c r="CR13" s="972"/>
      <c r="CS13" s="971"/>
      <c r="CT13" s="972"/>
      <c r="CU13" s="973"/>
      <c r="CV13" s="971"/>
      <c r="CX13" s="598"/>
      <c r="CZ13" s="598"/>
      <c r="DA13" s="599"/>
      <c r="DB13" s="972"/>
    </row>
    <row r="14" spans="1:106" s="585" customFormat="1">
      <c r="A14" s="606" t="s">
        <v>526</v>
      </c>
      <c r="B14" s="585" t="s">
        <v>71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04"/>
      <c r="M14" s="1292"/>
      <c r="N14" s="1393">
        <f t="shared" si="0"/>
        <v>0</v>
      </c>
      <c r="O14" s="1394"/>
      <c r="P14" s="1395"/>
      <c r="Q14" s="1396"/>
      <c r="R14" s="1337" t="e">
        <f>((O14+P14+Q14)/F22)*H33</f>
        <v>#DIV/0!</v>
      </c>
      <c r="S14" s="970"/>
      <c r="AL14" s="971">
        <v>5000</v>
      </c>
      <c r="AM14" s="971"/>
      <c r="AN14" s="971"/>
      <c r="AO14" s="971">
        <f t="shared" si="5"/>
        <v>5000</v>
      </c>
      <c r="AP14" s="971"/>
      <c r="AQ14" s="971"/>
      <c r="AR14" s="971">
        <f t="shared" si="6"/>
        <v>10000</v>
      </c>
      <c r="AS14" s="971"/>
      <c r="AT14" s="971"/>
      <c r="AU14" s="971">
        <f t="shared" si="7"/>
        <v>10000</v>
      </c>
      <c r="AV14" s="972" t="e">
        <f>IF(AL14&lt;=#REF!,#REF!,IF(AL14&lt;=#REF!,#REF!,IF(AL14&lt;=#REF!,#REF!,IF(AL14&lt;=#REF!,#REF!,IF(AL14&lt;=#REF!,#REF!,IF(AL14&lt;=#REF!,#REF!,IF(AL14&lt;=#REF!,#REF!,0.05)))))))</f>
        <v>#REF!</v>
      </c>
      <c r="AW14" s="971" t="e">
        <f t="shared" si="8"/>
        <v>#REF!</v>
      </c>
      <c r="AX14" s="972"/>
      <c r="AY14" s="972" t="e">
        <f>IF(AO14&lt;=#REF!,#REF!,IF(AO14&lt;=#REF!,#REF!,IF(AO14&lt;=#REF!,#REF!,IF(AO14&lt;=#REF!,#REF!,IF(AO14&lt;=#REF!,#REF!,IF(AO14&lt;=#REF!,#REF!,IF(AO14&lt;=#REF!,#REF!,0.05)))))))</f>
        <v>#REF!</v>
      </c>
      <c r="AZ14" s="971" t="e">
        <f t="shared" si="9"/>
        <v>#REF!</v>
      </c>
      <c r="BA14" s="972"/>
      <c r="BB14" s="972" t="e">
        <f>IF(AR14&lt;=#REF!,#REF!,IF(AR14&lt;=#REF!,#REF!,IF(AR14&lt;=#REF!,#REF!,IF(AR14&lt;=#REF!,#REF!,IF(AR14&lt;=#REF!,#REF!,IF(AR14&lt;=#REF!,#REF!,IF(AR14&lt;=#REF!,#REF!,0.05)))))))</f>
        <v>#REF!</v>
      </c>
      <c r="BC14" s="971" t="e">
        <f t="shared" si="10"/>
        <v>#REF!</v>
      </c>
      <c r="BD14" s="972"/>
      <c r="BE14" s="973" t="e">
        <f>IF(AU14&lt;=#REF!,#REF!,IF(AU14&lt;=#REF!,#REF!,IF(AU14&lt;=#REF!,#REF!,IF(AU14&lt;=#REF!,#REF!,IF(AU14&lt;=#REF!,#REF!,IF(AU14&lt;=#REF!,#REF!,IF(AU14&lt;=#REF!,#REF!,0.05)))))))</f>
        <v>#REF!</v>
      </c>
      <c r="BF14" s="971" t="e">
        <f t="shared" si="11"/>
        <v>#REF!</v>
      </c>
      <c r="BH14" s="598" t="e">
        <f t="shared" si="12"/>
        <v>#REF!</v>
      </c>
      <c r="BJ14" s="598" t="e">
        <f t="shared" si="13"/>
        <v>#REF!</v>
      </c>
      <c r="BK14" s="599" t="e">
        <f t="shared" si="14"/>
        <v>#REF!</v>
      </c>
      <c r="BL14" s="972" t="e">
        <f t="shared" si="15"/>
        <v>#REF!</v>
      </c>
      <c r="BO14" s="972">
        <v>0.05</v>
      </c>
      <c r="BP14" s="971">
        <v>1000000000</v>
      </c>
      <c r="BR14" s="972">
        <v>0.05</v>
      </c>
      <c r="BS14" s="971">
        <v>10000</v>
      </c>
      <c r="BT14" s="971"/>
      <c r="BU14" s="972">
        <v>0.18</v>
      </c>
      <c r="BV14" s="971">
        <v>1000000000</v>
      </c>
      <c r="BX14" s="973">
        <v>-5.5E-2</v>
      </c>
      <c r="BY14" s="971">
        <v>44000</v>
      </c>
      <c r="CB14" s="971">
        <v>5000</v>
      </c>
      <c r="CC14" s="971"/>
      <c r="CD14" s="971"/>
      <c r="CE14" s="971">
        <f t="shared" si="16"/>
        <v>5000</v>
      </c>
      <c r="CF14" s="971"/>
      <c r="CG14" s="971"/>
      <c r="CH14" s="971">
        <f t="shared" si="17"/>
        <v>10000</v>
      </c>
      <c r="CI14" s="971"/>
      <c r="CJ14" s="971"/>
      <c r="CK14" s="971">
        <f t="shared" si="18"/>
        <v>10000</v>
      </c>
      <c r="CL14" s="972">
        <f t="shared" si="1"/>
        <v>0.1</v>
      </c>
      <c r="CM14" s="971">
        <f t="shared" si="19"/>
        <v>500</v>
      </c>
      <c r="CN14" s="972"/>
      <c r="CO14" s="972">
        <f t="shared" si="2"/>
        <v>0.1</v>
      </c>
      <c r="CP14" s="971">
        <f t="shared" si="20"/>
        <v>500</v>
      </c>
      <c r="CQ14" s="972"/>
      <c r="CR14" s="972">
        <f t="shared" si="3"/>
        <v>0.24</v>
      </c>
      <c r="CS14" s="971">
        <f t="shared" si="21"/>
        <v>2640</v>
      </c>
      <c r="CT14" s="972"/>
      <c r="CU14" s="973">
        <f t="shared" si="4"/>
        <v>-0.04</v>
      </c>
      <c r="CV14" s="971">
        <f t="shared" si="22"/>
        <v>-400</v>
      </c>
      <c r="CX14" s="598">
        <f t="shared" si="23"/>
        <v>926.80000000000007</v>
      </c>
      <c r="CZ14" s="598">
        <f t="shared" si="24"/>
        <v>14166.8</v>
      </c>
      <c r="DA14" s="599">
        <f t="shared" si="25"/>
        <v>3240</v>
      </c>
      <c r="DB14" s="972">
        <f t="shared" si="26"/>
        <v>0.22870372984724852</v>
      </c>
    </row>
    <row r="15" spans="1:106" s="585" customFormat="1">
      <c r="A15" s="606" t="s">
        <v>528</v>
      </c>
      <c r="B15" s="585" t="s">
        <v>71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04"/>
      <c r="M15" s="1292"/>
      <c r="N15" s="1393">
        <f t="shared" si="0"/>
        <v>0</v>
      </c>
      <c r="O15" s="1394"/>
      <c r="P15" s="1395"/>
      <c r="Q15" s="1396"/>
      <c r="R15" s="1337" t="e">
        <f>((O15+P15+Q15)/F22)*H33</f>
        <v>#DIV/0!</v>
      </c>
      <c r="S15" s="970"/>
      <c r="AL15" s="971">
        <v>6000</v>
      </c>
      <c r="AM15" s="971"/>
      <c r="AN15" s="971"/>
      <c r="AO15" s="971">
        <f t="shared" si="5"/>
        <v>6000</v>
      </c>
      <c r="AP15" s="971"/>
      <c r="AQ15" s="971"/>
      <c r="AR15" s="971">
        <f t="shared" si="6"/>
        <v>12000</v>
      </c>
      <c r="AS15" s="971"/>
      <c r="AT15" s="971"/>
      <c r="AU15" s="971">
        <f t="shared" si="7"/>
        <v>12000</v>
      </c>
      <c r="AV15" s="972" t="e">
        <f>IF(AL15&lt;=#REF!,#REF!,IF(AL15&lt;=#REF!,#REF!,IF(AL15&lt;=#REF!,#REF!,IF(AL15&lt;=#REF!,#REF!,IF(AL15&lt;=#REF!,#REF!,IF(AL15&lt;=#REF!,#REF!,IF(AL15&lt;=#REF!,#REF!,0.05)))))))</f>
        <v>#REF!</v>
      </c>
      <c r="AW15" s="971" t="e">
        <f t="shared" si="8"/>
        <v>#REF!</v>
      </c>
      <c r="AX15" s="972"/>
      <c r="AY15" s="972" t="e">
        <f>IF(AO15&lt;=#REF!,#REF!,IF(AO15&lt;=#REF!,#REF!,IF(AO15&lt;=#REF!,#REF!,IF(AO15&lt;=#REF!,#REF!,IF(AO15&lt;=#REF!,#REF!,IF(AO15&lt;=#REF!,#REF!,IF(AO15&lt;=#REF!,#REF!,0.05)))))))</f>
        <v>#REF!</v>
      </c>
      <c r="AZ15" s="971" t="e">
        <f t="shared" si="9"/>
        <v>#REF!</v>
      </c>
      <c r="BA15" s="972"/>
      <c r="BB15" s="972" t="e">
        <f>IF(AR15&lt;=#REF!,#REF!,IF(AR15&lt;=#REF!,#REF!,IF(AR15&lt;=#REF!,#REF!,IF(AR15&lt;=#REF!,#REF!,IF(AR15&lt;=#REF!,#REF!,IF(AR15&lt;=#REF!,#REF!,IF(AR15&lt;=#REF!,#REF!,0.05)))))))</f>
        <v>#REF!</v>
      </c>
      <c r="BC15" s="971" t="e">
        <f t="shared" si="10"/>
        <v>#REF!</v>
      </c>
      <c r="BD15" s="972"/>
      <c r="BE15" s="973" t="e">
        <f>IF(AU15&lt;=#REF!,#REF!,IF(AU15&lt;=#REF!,#REF!,IF(AU15&lt;=#REF!,#REF!,IF(AU15&lt;=#REF!,#REF!,IF(AU15&lt;=#REF!,#REF!,IF(AU15&lt;=#REF!,#REF!,IF(AU15&lt;=#REF!,#REF!,0.05)))))))</f>
        <v>#REF!</v>
      </c>
      <c r="BF15" s="971" t="e">
        <f t="shared" si="11"/>
        <v>#REF!</v>
      </c>
      <c r="BH15" s="598" t="e">
        <f t="shared" si="12"/>
        <v>#REF!</v>
      </c>
      <c r="BJ15" s="598" t="e">
        <f t="shared" si="13"/>
        <v>#REF!</v>
      </c>
      <c r="BK15" s="599" t="e">
        <f t="shared" si="14"/>
        <v>#REF!</v>
      </c>
      <c r="BL15" s="972" t="e">
        <f t="shared" si="15"/>
        <v>#REF!</v>
      </c>
      <c r="BO15" s="972">
        <v>0.05</v>
      </c>
      <c r="BP15" s="971">
        <v>1000000000</v>
      </c>
      <c r="BR15" s="972">
        <v>0.03</v>
      </c>
      <c r="BS15" s="971">
        <v>1000000000</v>
      </c>
      <c r="BT15" s="971"/>
      <c r="BU15" s="972">
        <v>0.18</v>
      </c>
      <c r="BV15" s="971">
        <v>1000000000</v>
      </c>
      <c r="BX15" s="973">
        <v>-0.06</v>
      </c>
      <c r="BY15" s="971">
        <v>1000000000</v>
      </c>
      <c r="CB15" s="971">
        <v>6000</v>
      </c>
      <c r="CC15" s="971"/>
      <c r="CD15" s="971"/>
      <c r="CE15" s="971">
        <f t="shared" si="16"/>
        <v>6000</v>
      </c>
      <c r="CF15" s="971"/>
      <c r="CG15" s="971"/>
      <c r="CH15" s="971">
        <f t="shared" si="17"/>
        <v>12000</v>
      </c>
      <c r="CI15" s="971"/>
      <c r="CJ15" s="971"/>
      <c r="CK15" s="971">
        <f t="shared" si="18"/>
        <v>12000</v>
      </c>
      <c r="CL15" s="972">
        <f t="shared" si="1"/>
        <v>0.05</v>
      </c>
      <c r="CM15" s="971">
        <f t="shared" si="19"/>
        <v>300</v>
      </c>
      <c r="CN15" s="972"/>
      <c r="CO15" s="972">
        <f t="shared" si="2"/>
        <v>0.1</v>
      </c>
      <c r="CP15" s="971">
        <f t="shared" si="20"/>
        <v>600</v>
      </c>
      <c r="CQ15" s="972"/>
      <c r="CR15" s="972">
        <f t="shared" si="3"/>
        <v>0.24</v>
      </c>
      <c r="CS15" s="971">
        <f t="shared" si="21"/>
        <v>3096</v>
      </c>
      <c r="CT15" s="972"/>
      <c r="CU15" s="973">
        <f t="shared" si="4"/>
        <v>-0.04</v>
      </c>
      <c r="CV15" s="971">
        <f t="shared" si="22"/>
        <v>-480</v>
      </c>
      <c r="CX15" s="598">
        <f t="shared" si="23"/>
        <v>1086.1200000000001</v>
      </c>
      <c r="CZ15" s="598">
        <f t="shared" si="24"/>
        <v>16602.12</v>
      </c>
      <c r="DA15" s="599">
        <f t="shared" si="25"/>
        <v>3516</v>
      </c>
      <c r="DB15" s="972">
        <f t="shared" si="26"/>
        <v>0.21178018228997261</v>
      </c>
    </row>
    <row r="16" spans="1:106" s="585" customFormat="1">
      <c r="A16" s="608" t="s">
        <v>530</v>
      </c>
      <c r="B16" s="603"/>
      <c r="C16" s="591"/>
      <c r="D16" s="591"/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04"/>
      <c r="M16" s="1292"/>
      <c r="N16" s="1393">
        <f t="shared" si="0"/>
        <v>0</v>
      </c>
      <c r="O16" s="1394"/>
      <c r="P16" s="1395"/>
      <c r="Q16" s="1396"/>
      <c r="R16" s="1337" t="e">
        <f>((O16+P16+Q16)/F22)*H33</f>
        <v>#DIV/0!</v>
      </c>
      <c r="S16" s="970"/>
      <c r="AL16" s="971">
        <v>7000</v>
      </c>
      <c r="AM16" s="971"/>
      <c r="AN16" s="971"/>
      <c r="AO16" s="971">
        <f t="shared" si="5"/>
        <v>7000</v>
      </c>
      <c r="AP16" s="971"/>
      <c r="AQ16" s="971"/>
      <c r="AR16" s="971">
        <f t="shared" si="6"/>
        <v>14000</v>
      </c>
      <c r="AS16" s="971"/>
      <c r="AT16" s="971"/>
      <c r="AU16" s="971">
        <f t="shared" si="7"/>
        <v>14000</v>
      </c>
      <c r="AV16" s="972" t="e">
        <f>IF(AL16&lt;=#REF!,#REF!,IF(AL16&lt;=#REF!,#REF!,IF(AL16&lt;=#REF!,#REF!,IF(AL16&lt;=#REF!,#REF!,IF(AL16&lt;=#REF!,#REF!,IF(AL16&lt;=#REF!,#REF!,IF(AL16&lt;=#REF!,#REF!,0.05)))))))</f>
        <v>#REF!</v>
      </c>
      <c r="AW16" s="971" t="e">
        <f t="shared" si="8"/>
        <v>#REF!</v>
      </c>
      <c r="AX16" s="972"/>
      <c r="AY16" s="972" t="e">
        <f>IF(AO16&lt;=#REF!,#REF!,IF(AO16&lt;=#REF!,#REF!,IF(AO16&lt;=#REF!,#REF!,IF(AO16&lt;=#REF!,#REF!,IF(AO16&lt;=#REF!,#REF!,IF(AO16&lt;=#REF!,#REF!,IF(AO16&lt;=#REF!,#REF!,0.05)))))))</f>
        <v>#REF!</v>
      </c>
      <c r="AZ16" s="971" t="e">
        <f t="shared" si="9"/>
        <v>#REF!</v>
      </c>
      <c r="BA16" s="972"/>
      <c r="BB16" s="972" t="e">
        <f>IF(AR16&lt;=#REF!,#REF!,IF(AR16&lt;=#REF!,#REF!,IF(AR16&lt;=#REF!,#REF!,IF(AR16&lt;=#REF!,#REF!,IF(AR16&lt;=#REF!,#REF!,IF(AR16&lt;=#REF!,#REF!,IF(AR16&lt;=#REF!,#REF!,0.05)))))))</f>
        <v>#REF!</v>
      </c>
      <c r="BC16" s="971" t="e">
        <f t="shared" si="10"/>
        <v>#REF!</v>
      </c>
      <c r="BD16" s="972"/>
      <c r="BE16" s="973" t="e">
        <f>IF(AU16&lt;=#REF!,#REF!,IF(AU16&lt;=#REF!,#REF!,IF(AU16&lt;=#REF!,#REF!,IF(AU16&lt;=#REF!,#REF!,IF(AU16&lt;=#REF!,#REF!,IF(AU16&lt;=#REF!,#REF!,IF(AU16&lt;=#REF!,#REF!,0.05)))))))</f>
        <v>#REF!</v>
      </c>
      <c r="BF16" s="971" t="e">
        <f t="shared" si="11"/>
        <v>#REF!</v>
      </c>
      <c r="BH16" s="598" t="e">
        <f t="shared" si="12"/>
        <v>#REF!</v>
      </c>
      <c r="BJ16" s="598" t="e">
        <f t="shared" si="13"/>
        <v>#REF!</v>
      </c>
      <c r="BK16" s="599" t="e">
        <f t="shared" si="14"/>
        <v>#REF!</v>
      </c>
      <c r="BL16" s="972" t="e">
        <f t="shared" si="15"/>
        <v>#REF!</v>
      </c>
      <c r="BO16" s="972">
        <v>0.05</v>
      </c>
      <c r="BP16" s="971">
        <v>1000000000</v>
      </c>
      <c r="BR16" s="972">
        <v>0.03</v>
      </c>
      <c r="BS16" s="971">
        <v>1000000000</v>
      </c>
      <c r="BT16" s="971"/>
      <c r="BU16" s="972">
        <v>0.18</v>
      </c>
      <c r="BV16" s="971">
        <v>1000000000</v>
      </c>
      <c r="BX16" s="973">
        <v>0</v>
      </c>
      <c r="BY16" s="971">
        <v>1000000000</v>
      </c>
      <c r="CB16" s="971">
        <v>7000</v>
      </c>
      <c r="CC16" s="971"/>
      <c r="CD16" s="971"/>
      <c r="CE16" s="971">
        <f t="shared" si="16"/>
        <v>7000</v>
      </c>
      <c r="CF16" s="971"/>
      <c r="CG16" s="971"/>
      <c r="CH16" s="971">
        <f t="shared" si="17"/>
        <v>14000</v>
      </c>
      <c r="CI16" s="971"/>
      <c r="CJ16" s="971"/>
      <c r="CK16" s="971">
        <f t="shared" si="18"/>
        <v>14000</v>
      </c>
      <c r="CL16" s="972">
        <f t="shared" si="1"/>
        <v>0.05</v>
      </c>
      <c r="CM16" s="971">
        <f t="shared" si="19"/>
        <v>350</v>
      </c>
      <c r="CN16" s="972"/>
      <c r="CO16" s="972">
        <f t="shared" si="2"/>
        <v>0.1</v>
      </c>
      <c r="CP16" s="971">
        <f t="shared" si="20"/>
        <v>700</v>
      </c>
      <c r="CQ16" s="972"/>
      <c r="CR16" s="972">
        <f t="shared" si="3"/>
        <v>0.24</v>
      </c>
      <c r="CS16" s="971">
        <f t="shared" si="21"/>
        <v>3612</v>
      </c>
      <c r="CT16" s="972"/>
      <c r="CU16" s="973">
        <f t="shared" si="4"/>
        <v>-0.04</v>
      </c>
      <c r="CV16" s="971">
        <f t="shared" si="22"/>
        <v>-560</v>
      </c>
      <c r="CX16" s="598">
        <f t="shared" si="23"/>
        <v>1267.1400000000001</v>
      </c>
      <c r="CZ16" s="598">
        <f t="shared" si="24"/>
        <v>19369.14</v>
      </c>
      <c r="DA16" s="599">
        <f t="shared" si="25"/>
        <v>4102</v>
      </c>
      <c r="DB16" s="972">
        <f t="shared" si="26"/>
        <v>0.21178018228997261</v>
      </c>
    </row>
    <row r="17" spans="1:118" s="585" customFormat="1" ht="16.2" thickBot="1">
      <c r="A17" s="1554" t="s">
        <v>1043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04"/>
      <c r="M17" s="1292"/>
      <c r="N17" s="1393">
        <f t="shared" si="0"/>
        <v>0</v>
      </c>
      <c r="O17" s="1394"/>
      <c r="P17" s="1395"/>
      <c r="Q17" s="1396"/>
      <c r="R17" s="1337" t="e">
        <f>((O17+P17+Q17)/F22)*H33</f>
        <v>#DIV/0!</v>
      </c>
      <c r="S17" s="970"/>
      <c r="AL17" s="971">
        <v>8000</v>
      </c>
      <c r="AM17" s="971"/>
      <c r="AN17" s="971"/>
      <c r="AO17" s="971">
        <f t="shared" si="5"/>
        <v>8000</v>
      </c>
      <c r="AP17" s="971"/>
      <c r="AQ17" s="971"/>
      <c r="AR17" s="971">
        <f t="shared" si="6"/>
        <v>16000</v>
      </c>
      <c r="AS17" s="971"/>
      <c r="AT17" s="971"/>
      <c r="AU17" s="971">
        <f t="shared" si="7"/>
        <v>16000</v>
      </c>
      <c r="AV17" s="972" t="e">
        <f>IF(AL17&lt;=#REF!,#REF!,IF(AL17&lt;=#REF!,#REF!,IF(AL17&lt;=#REF!,#REF!,IF(AL17&lt;=#REF!,#REF!,IF(AL17&lt;=#REF!,#REF!,IF(AL17&lt;=#REF!,#REF!,IF(AL17&lt;=#REF!,#REF!,0.05)))))))</f>
        <v>#REF!</v>
      </c>
      <c r="AW17" s="971" t="e">
        <f t="shared" si="8"/>
        <v>#REF!</v>
      </c>
      <c r="AX17" s="972"/>
      <c r="AY17" s="972" t="e">
        <f>IF(AO17&lt;=#REF!,#REF!,IF(AO17&lt;=#REF!,#REF!,IF(AO17&lt;=#REF!,#REF!,IF(AO17&lt;=#REF!,#REF!,IF(AO17&lt;=#REF!,#REF!,IF(AO17&lt;=#REF!,#REF!,IF(AO17&lt;=#REF!,#REF!,0.05)))))))</f>
        <v>#REF!</v>
      </c>
      <c r="AZ17" s="971" t="e">
        <f t="shared" si="9"/>
        <v>#REF!</v>
      </c>
      <c r="BA17" s="972"/>
      <c r="BB17" s="972" t="e">
        <f>IF(AR17&lt;=#REF!,#REF!,IF(AR17&lt;=#REF!,#REF!,IF(AR17&lt;=#REF!,#REF!,IF(AR17&lt;=#REF!,#REF!,IF(AR17&lt;=#REF!,#REF!,IF(AR17&lt;=#REF!,#REF!,IF(AR17&lt;=#REF!,#REF!,0.05)))))))</f>
        <v>#REF!</v>
      </c>
      <c r="BC17" s="971" t="e">
        <f t="shared" si="10"/>
        <v>#REF!</v>
      </c>
      <c r="BD17" s="972"/>
      <c r="BE17" s="973" t="e">
        <f>IF(AU17&lt;=#REF!,#REF!,IF(AU17&lt;=#REF!,#REF!,IF(AU17&lt;=#REF!,#REF!,IF(AU17&lt;=#REF!,#REF!,IF(AU17&lt;=#REF!,#REF!,IF(AU17&lt;=#REF!,#REF!,IF(AU17&lt;=#REF!,#REF!,0.05)))))))</f>
        <v>#REF!</v>
      </c>
      <c r="BF17" s="971" t="e">
        <f t="shared" si="11"/>
        <v>#REF!</v>
      </c>
      <c r="BH17" s="598" t="e">
        <f t="shared" si="12"/>
        <v>#REF!</v>
      </c>
      <c r="BJ17" s="598" t="e">
        <f t="shared" si="13"/>
        <v>#REF!</v>
      </c>
      <c r="BK17" s="599" t="e">
        <f t="shared" si="14"/>
        <v>#REF!</v>
      </c>
      <c r="BL17" s="972" t="e">
        <f t="shared" si="15"/>
        <v>#REF!</v>
      </c>
      <c r="CB17" s="971">
        <v>8000</v>
      </c>
      <c r="CC17" s="971"/>
      <c r="CD17" s="971"/>
      <c r="CE17" s="971">
        <f t="shared" si="16"/>
        <v>8000</v>
      </c>
      <c r="CF17" s="971"/>
      <c r="CG17" s="971"/>
      <c r="CH17" s="971">
        <f t="shared" si="17"/>
        <v>16000</v>
      </c>
      <c r="CI17" s="971"/>
      <c r="CJ17" s="971"/>
      <c r="CK17" s="971">
        <f t="shared" si="18"/>
        <v>16000</v>
      </c>
      <c r="CL17" s="972">
        <f t="shared" si="1"/>
        <v>0.05</v>
      </c>
      <c r="CM17" s="971">
        <f t="shared" si="19"/>
        <v>400</v>
      </c>
      <c r="CN17" s="972"/>
      <c r="CO17" s="972">
        <f t="shared" si="2"/>
        <v>0.05</v>
      </c>
      <c r="CP17" s="971">
        <f t="shared" si="20"/>
        <v>400</v>
      </c>
      <c r="CQ17" s="972"/>
      <c r="CR17" s="972">
        <f t="shared" si="3"/>
        <v>0.22</v>
      </c>
      <c r="CS17" s="971">
        <f t="shared" si="21"/>
        <v>3696</v>
      </c>
      <c r="CT17" s="972"/>
      <c r="CU17" s="973">
        <f t="shared" si="4"/>
        <v>-0.05</v>
      </c>
      <c r="CV17" s="971">
        <f t="shared" si="22"/>
        <v>-800</v>
      </c>
      <c r="CX17" s="598">
        <f t="shared" si="23"/>
        <v>1378.72</v>
      </c>
      <c r="CZ17" s="598">
        <f t="shared" si="24"/>
        <v>21074.720000000001</v>
      </c>
      <c r="DA17" s="599">
        <f t="shared" si="25"/>
        <v>3696</v>
      </c>
      <c r="DB17" s="972">
        <f t="shared" si="26"/>
        <v>0.17537599550551561</v>
      </c>
    </row>
    <row r="18" spans="1:118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17"/>
      <c r="M18" s="1292"/>
      <c r="N18" s="1393">
        <f t="shared" si="0"/>
        <v>0</v>
      </c>
      <c r="O18" s="1394"/>
      <c r="P18" s="1395"/>
      <c r="Q18" s="1396"/>
      <c r="R18" s="1337" t="e">
        <f>((O18+P18+Q18)/F22)*H33</f>
        <v>#DIV/0!</v>
      </c>
      <c r="S18" s="970"/>
      <c r="AL18" s="971">
        <v>9000</v>
      </c>
      <c r="AM18" s="971"/>
      <c r="AN18" s="971"/>
      <c r="AO18" s="971">
        <f t="shared" si="5"/>
        <v>9000</v>
      </c>
      <c r="AP18" s="971"/>
      <c r="AQ18" s="971"/>
      <c r="AR18" s="971">
        <f t="shared" si="6"/>
        <v>18000</v>
      </c>
      <c r="AS18" s="971"/>
      <c r="AT18" s="971"/>
      <c r="AU18" s="971">
        <f t="shared" si="7"/>
        <v>18000</v>
      </c>
      <c r="AV18" s="972" t="e">
        <f>IF(AL18&lt;=#REF!,#REF!,IF(AL18&lt;=#REF!,#REF!,IF(AL18&lt;=#REF!,#REF!,IF(AL18&lt;=#REF!,#REF!,IF(AL18&lt;=#REF!,#REF!,IF(AL18&lt;=#REF!,#REF!,IF(AL18&lt;=#REF!,#REF!,0.05)))))))</f>
        <v>#REF!</v>
      </c>
      <c r="AW18" s="971" t="e">
        <f t="shared" si="8"/>
        <v>#REF!</v>
      </c>
      <c r="AX18" s="972"/>
      <c r="AY18" s="972" t="e">
        <f>IF(AO18&lt;=#REF!,#REF!,IF(AO18&lt;=#REF!,#REF!,IF(AO18&lt;=#REF!,#REF!,IF(AO18&lt;=#REF!,#REF!,IF(AO18&lt;=#REF!,#REF!,IF(AO18&lt;=#REF!,#REF!,IF(AO18&lt;=#REF!,#REF!,0.05)))))))</f>
        <v>#REF!</v>
      </c>
      <c r="AZ18" s="971" t="e">
        <f t="shared" si="9"/>
        <v>#REF!</v>
      </c>
      <c r="BA18" s="972"/>
      <c r="BB18" s="972" t="e">
        <f>IF(AR18&lt;=#REF!,#REF!,IF(AR18&lt;=#REF!,#REF!,IF(AR18&lt;=#REF!,#REF!,IF(AR18&lt;=#REF!,#REF!,IF(AR18&lt;=#REF!,#REF!,IF(AR18&lt;=#REF!,#REF!,IF(AR18&lt;=#REF!,#REF!,0.05)))))))</f>
        <v>#REF!</v>
      </c>
      <c r="BC18" s="971" t="e">
        <f t="shared" si="10"/>
        <v>#REF!</v>
      </c>
      <c r="BD18" s="972"/>
      <c r="BE18" s="973" t="e">
        <f>IF(AU18&lt;=#REF!,#REF!,IF(AU18&lt;=#REF!,#REF!,IF(AU18&lt;=#REF!,#REF!,IF(AU18&lt;=#REF!,#REF!,IF(AU18&lt;=#REF!,#REF!,IF(AU18&lt;=#REF!,#REF!,IF(AU18&lt;=#REF!,#REF!,0.05)))))))</f>
        <v>#REF!</v>
      </c>
      <c r="BF18" s="971" t="e">
        <f t="shared" si="11"/>
        <v>#REF!</v>
      </c>
      <c r="BH18" s="598" t="e">
        <f t="shared" si="12"/>
        <v>#REF!</v>
      </c>
      <c r="BJ18" s="598" t="e">
        <f t="shared" si="13"/>
        <v>#REF!</v>
      </c>
      <c r="BK18" s="599" t="e">
        <f t="shared" si="14"/>
        <v>#REF!</v>
      </c>
      <c r="BL18" s="972" t="e">
        <f t="shared" si="15"/>
        <v>#REF!</v>
      </c>
      <c r="CB18" s="971">
        <v>9000</v>
      </c>
      <c r="CC18" s="971"/>
      <c r="CD18" s="971"/>
      <c r="CE18" s="971">
        <f t="shared" si="16"/>
        <v>9000</v>
      </c>
      <c r="CF18" s="971"/>
      <c r="CG18" s="971"/>
      <c r="CH18" s="971">
        <f t="shared" si="17"/>
        <v>18000</v>
      </c>
      <c r="CI18" s="971"/>
      <c r="CJ18" s="971"/>
      <c r="CK18" s="971">
        <f t="shared" si="18"/>
        <v>18000</v>
      </c>
      <c r="CL18" s="972">
        <f t="shared" si="1"/>
        <v>0.05</v>
      </c>
      <c r="CM18" s="971">
        <f t="shared" si="19"/>
        <v>450</v>
      </c>
      <c r="CN18" s="972"/>
      <c r="CO18" s="972">
        <f t="shared" si="2"/>
        <v>0.05</v>
      </c>
      <c r="CP18" s="971">
        <f t="shared" si="20"/>
        <v>450</v>
      </c>
      <c r="CQ18" s="972"/>
      <c r="CR18" s="972">
        <f t="shared" si="3"/>
        <v>0.22</v>
      </c>
      <c r="CS18" s="971">
        <f t="shared" si="21"/>
        <v>4158</v>
      </c>
      <c r="CT18" s="972"/>
      <c r="CU18" s="973">
        <f t="shared" si="4"/>
        <v>-0.05</v>
      </c>
      <c r="CV18" s="971">
        <f t="shared" si="22"/>
        <v>-900</v>
      </c>
      <c r="CX18" s="598">
        <f t="shared" si="23"/>
        <v>1551.0600000000002</v>
      </c>
      <c r="CZ18" s="598">
        <f t="shared" si="24"/>
        <v>23709.06</v>
      </c>
      <c r="DA18" s="599">
        <f t="shared" si="25"/>
        <v>4158</v>
      </c>
      <c r="DB18" s="972">
        <f t="shared" si="26"/>
        <v>0.17537599550551561</v>
      </c>
    </row>
    <row r="19" spans="1:118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827"/>
      <c r="M19" s="1292"/>
      <c r="N19" s="1393">
        <f t="shared" si="0"/>
        <v>0</v>
      </c>
      <c r="O19" s="1394"/>
      <c r="P19" s="1395"/>
      <c r="Q19" s="1396"/>
      <c r="R19" s="1337" t="e">
        <f>((O19+P19+Q19)/F22)*H33</f>
        <v>#DIV/0!</v>
      </c>
      <c r="S19" s="970"/>
      <c r="AL19" s="971">
        <v>10000</v>
      </c>
      <c r="AM19" s="971"/>
      <c r="AN19" s="971"/>
      <c r="AO19" s="971">
        <f t="shared" si="5"/>
        <v>10000</v>
      </c>
      <c r="AP19" s="971"/>
      <c r="AQ19" s="971"/>
      <c r="AR19" s="971">
        <f t="shared" si="6"/>
        <v>20000</v>
      </c>
      <c r="AS19" s="971"/>
      <c r="AT19" s="971"/>
      <c r="AU19" s="971">
        <f t="shared" si="7"/>
        <v>20000</v>
      </c>
      <c r="AV19" s="972" t="e">
        <f>IF(AL19&lt;=#REF!,#REF!,IF(AL19&lt;=#REF!,#REF!,IF(AL19&lt;=#REF!,#REF!,IF(AL19&lt;=#REF!,#REF!,IF(AL19&lt;=#REF!,#REF!,IF(AL19&lt;=#REF!,#REF!,IF(AL19&lt;=#REF!,#REF!,0.05)))))))</f>
        <v>#REF!</v>
      </c>
      <c r="AW19" s="971" t="e">
        <f t="shared" si="8"/>
        <v>#REF!</v>
      </c>
      <c r="AX19" s="972"/>
      <c r="AY19" s="972" t="e">
        <f>IF(AO19&lt;=#REF!,#REF!,IF(AO19&lt;=#REF!,#REF!,IF(AO19&lt;=#REF!,#REF!,IF(AO19&lt;=#REF!,#REF!,IF(AO19&lt;=#REF!,#REF!,IF(AO19&lt;=#REF!,#REF!,IF(AO19&lt;=#REF!,#REF!,0.05)))))))</f>
        <v>#REF!</v>
      </c>
      <c r="AZ19" s="971" t="e">
        <f t="shared" si="9"/>
        <v>#REF!</v>
      </c>
      <c r="BA19" s="972"/>
      <c r="BB19" s="972" t="e">
        <f>IF(AR19&lt;=#REF!,#REF!,IF(AR19&lt;=#REF!,#REF!,IF(AR19&lt;=#REF!,#REF!,IF(AR19&lt;=#REF!,#REF!,IF(AR19&lt;=#REF!,#REF!,IF(AR19&lt;=#REF!,#REF!,IF(AR19&lt;=#REF!,#REF!,0.05)))))))</f>
        <v>#REF!</v>
      </c>
      <c r="BC19" s="971" t="e">
        <f t="shared" si="10"/>
        <v>#REF!</v>
      </c>
      <c r="BD19" s="972"/>
      <c r="BE19" s="973" t="e">
        <f>IF(AU19&lt;=#REF!,#REF!,IF(AU19&lt;=#REF!,#REF!,IF(AU19&lt;=#REF!,#REF!,IF(AU19&lt;=#REF!,#REF!,IF(AU19&lt;=#REF!,#REF!,IF(AU19&lt;=#REF!,#REF!,IF(AU19&lt;=#REF!,#REF!,0.05)))))))</f>
        <v>#REF!</v>
      </c>
      <c r="BF19" s="971" t="e">
        <f t="shared" si="11"/>
        <v>#REF!</v>
      </c>
      <c r="BH19" s="598" t="e">
        <f t="shared" si="12"/>
        <v>#REF!</v>
      </c>
      <c r="BJ19" s="598" t="e">
        <f t="shared" si="13"/>
        <v>#REF!</v>
      </c>
      <c r="BK19" s="599" t="e">
        <f t="shared" si="14"/>
        <v>#REF!</v>
      </c>
      <c r="BL19" s="972" t="e">
        <f t="shared" si="15"/>
        <v>#REF!</v>
      </c>
      <c r="CB19" s="971">
        <v>10000</v>
      </c>
      <c r="CC19" s="971"/>
      <c r="CD19" s="971"/>
      <c r="CE19" s="971">
        <f t="shared" si="16"/>
        <v>10000</v>
      </c>
      <c r="CF19" s="971"/>
      <c r="CG19" s="971"/>
      <c r="CH19" s="971">
        <f t="shared" si="17"/>
        <v>20000</v>
      </c>
      <c r="CI19" s="971"/>
      <c r="CJ19" s="971"/>
      <c r="CK19" s="971">
        <f t="shared" si="18"/>
        <v>20000</v>
      </c>
      <c r="CL19" s="972">
        <f t="shared" si="1"/>
        <v>0.05</v>
      </c>
      <c r="CM19" s="971">
        <f t="shared" si="19"/>
        <v>500</v>
      </c>
      <c r="CN19" s="972"/>
      <c r="CO19" s="972">
        <f t="shared" si="2"/>
        <v>0.05</v>
      </c>
      <c r="CP19" s="971">
        <f t="shared" si="20"/>
        <v>500</v>
      </c>
      <c r="CQ19" s="972"/>
      <c r="CR19" s="972">
        <f t="shared" si="3"/>
        <v>0.2</v>
      </c>
      <c r="CS19" s="971">
        <f t="shared" si="21"/>
        <v>4200</v>
      </c>
      <c r="CT19" s="972"/>
      <c r="CU19" s="973">
        <f t="shared" si="4"/>
        <v>-0.05</v>
      </c>
      <c r="CV19" s="971">
        <f t="shared" si="22"/>
        <v>-1000</v>
      </c>
      <c r="CX19" s="598">
        <f t="shared" si="23"/>
        <v>1694.0000000000002</v>
      </c>
      <c r="CZ19" s="598">
        <f t="shared" si="24"/>
        <v>25894</v>
      </c>
      <c r="DA19" s="599">
        <f t="shared" si="25"/>
        <v>4200</v>
      </c>
      <c r="DB19" s="972">
        <f t="shared" si="26"/>
        <v>0.16219973739090138</v>
      </c>
    </row>
    <row r="20" spans="1:118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M20" s="1292"/>
      <c r="N20" s="1393">
        <f t="shared" si="0"/>
        <v>0</v>
      </c>
      <c r="O20" s="1397"/>
      <c r="P20" s="1397"/>
      <c r="Q20" s="1397"/>
      <c r="R20" s="1337" t="e">
        <f>((O20+P20+Q20)/F22)*H33</f>
        <v>#DIV/0!</v>
      </c>
      <c r="S20" s="970"/>
      <c r="AL20" s="971">
        <v>11000</v>
      </c>
      <c r="AM20" s="971"/>
      <c r="AN20" s="971"/>
      <c r="AO20" s="971">
        <f t="shared" si="5"/>
        <v>11000</v>
      </c>
      <c r="AP20" s="971"/>
      <c r="AQ20" s="971"/>
      <c r="AR20" s="971">
        <f t="shared" si="6"/>
        <v>22000</v>
      </c>
      <c r="AS20" s="971"/>
      <c r="AT20" s="971"/>
      <c r="AU20" s="971">
        <f t="shared" si="7"/>
        <v>22000</v>
      </c>
      <c r="AV20" s="972" t="e">
        <f>IF(AL20&lt;=#REF!,#REF!,IF(AL20&lt;=#REF!,#REF!,IF(AL20&lt;=#REF!,#REF!,IF(AL20&lt;=#REF!,#REF!,IF(AL20&lt;=#REF!,#REF!,IF(AL20&lt;=#REF!,#REF!,IF(AL20&lt;=#REF!,#REF!,0.05)))))))</f>
        <v>#REF!</v>
      </c>
      <c r="AW20" s="971" t="e">
        <f t="shared" si="8"/>
        <v>#REF!</v>
      </c>
      <c r="AX20" s="972"/>
      <c r="AY20" s="972" t="e">
        <f>IF(AO20&lt;=#REF!,#REF!,IF(AO20&lt;=#REF!,#REF!,IF(AO20&lt;=#REF!,#REF!,IF(AO20&lt;=#REF!,#REF!,IF(AO20&lt;=#REF!,#REF!,IF(AO20&lt;=#REF!,#REF!,IF(AO20&lt;=#REF!,#REF!,0.05)))))))</f>
        <v>#REF!</v>
      </c>
      <c r="AZ20" s="971" t="e">
        <f t="shared" si="9"/>
        <v>#REF!</v>
      </c>
      <c r="BA20" s="972"/>
      <c r="BB20" s="972" t="e">
        <f>IF(AR20&lt;=#REF!,#REF!,IF(AR20&lt;=#REF!,#REF!,IF(AR20&lt;=#REF!,#REF!,IF(AR20&lt;=#REF!,#REF!,IF(AR20&lt;=#REF!,#REF!,IF(AR20&lt;=#REF!,#REF!,IF(AR20&lt;=#REF!,#REF!,0.05)))))))</f>
        <v>#REF!</v>
      </c>
      <c r="BC20" s="971" t="e">
        <f t="shared" si="10"/>
        <v>#REF!</v>
      </c>
      <c r="BD20" s="972"/>
      <c r="BE20" s="973" t="e">
        <f>IF(AU20&lt;=#REF!,#REF!,IF(AU20&lt;=#REF!,#REF!,IF(AU20&lt;=#REF!,#REF!,IF(AU20&lt;=#REF!,#REF!,IF(AU20&lt;=#REF!,#REF!,IF(AU20&lt;=#REF!,#REF!,IF(AU20&lt;=#REF!,#REF!,0.05)))))))</f>
        <v>#REF!</v>
      </c>
      <c r="BF20" s="971" t="e">
        <f t="shared" si="11"/>
        <v>#REF!</v>
      </c>
      <c r="BH20" s="598" t="e">
        <f t="shared" si="12"/>
        <v>#REF!</v>
      </c>
      <c r="BJ20" s="598" t="e">
        <f t="shared" si="13"/>
        <v>#REF!</v>
      </c>
      <c r="BK20" s="599" t="e">
        <f t="shared" si="14"/>
        <v>#REF!</v>
      </c>
      <c r="BL20" s="972" t="e">
        <f t="shared" si="15"/>
        <v>#REF!</v>
      </c>
      <c r="CB20" s="971">
        <v>11000</v>
      </c>
      <c r="CC20" s="971"/>
      <c r="CD20" s="971"/>
      <c r="CE20" s="971">
        <f t="shared" si="16"/>
        <v>11000</v>
      </c>
      <c r="CF20" s="971"/>
      <c r="CG20" s="971"/>
      <c r="CH20" s="971">
        <f t="shared" si="17"/>
        <v>22000</v>
      </c>
      <c r="CI20" s="971"/>
      <c r="CJ20" s="971"/>
      <c r="CK20" s="971">
        <f t="shared" si="18"/>
        <v>22000</v>
      </c>
      <c r="CL20" s="972">
        <f t="shared" si="1"/>
        <v>0.05</v>
      </c>
      <c r="CM20" s="971">
        <f t="shared" si="19"/>
        <v>550</v>
      </c>
      <c r="CN20" s="972"/>
      <c r="CO20" s="972">
        <f t="shared" si="2"/>
        <v>0.03</v>
      </c>
      <c r="CP20" s="971">
        <f t="shared" si="20"/>
        <v>330</v>
      </c>
      <c r="CQ20" s="972"/>
      <c r="CR20" s="972">
        <f t="shared" si="3"/>
        <v>0.2</v>
      </c>
      <c r="CS20" s="971">
        <f t="shared" si="21"/>
        <v>4576</v>
      </c>
      <c r="CT20" s="972"/>
      <c r="CU20" s="973">
        <f t="shared" si="4"/>
        <v>-0.05</v>
      </c>
      <c r="CV20" s="971">
        <f t="shared" si="22"/>
        <v>-1100</v>
      </c>
      <c r="CX20" s="598">
        <f t="shared" si="23"/>
        <v>1844.92</v>
      </c>
      <c r="CZ20" s="598">
        <f t="shared" si="24"/>
        <v>28200.92</v>
      </c>
      <c r="DA20" s="599">
        <f t="shared" si="25"/>
        <v>4356</v>
      </c>
      <c r="DB20" s="972">
        <f t="shared" si="26"/>
        <v>0.15446304588644627</v>
      </c>
    </row>
    <row r="21" spans="1:118" s="585" customFormat="1">
      <c r="A21" s="1560" t="s">
        <v>1046</v>
      </c>
      <c r="B21" s="853"/>
      <c r="C21" s="1779"/>
      <c r="D21" s="626"/>
      <c r="E21" s="627">
        <f t="shared" ref="E21:E22" si="27">B21*D21</f>
        <v>0</v>
      </c>
      <c r="M21" s="1292"/>
      <c r="N21" s="1393">
        <f t="shared" si="0"/>
        <v>0</v>
      </c>
      <c r="O21" s="1397"/>
      <c r="P21" s="1397"/>
      <c r="Q21" s="1397"/>
      <c r="R21" s="1337" t="e">
        <f>((O21+P21+Q21)/F22)*H33</f>
        <v>#DIV/0!</v>
      </c>
      <c r="S21" s="970"/>
      <c r="AL21" s="971">
        <v>12000</v>
      </c>
      <c r="AM21" s="971"/>
      <c r="AN21" s="971"/>
      <c r="AO21" s="971">
        <f t="shared" si="5"/>
        <v>12000</v>
      </c>
      <c r="AP21" s="971"/>
      <c r="AQ21" s="971"/>
      <c r="AR21" s="971">
        <f t="shared" si="6"/>
        <v>24000</v>
      </c>
      <c r="AS21" s="971"/>
      <c r="AT21" s="971"/>
      <c r="AU21" s="971">
        <f t="shared" si="7"/>
        <v>24000</v>
      </c>
      <c r="AV21" s="972" t="e">
        <f>IF(AL21&lt;=#REF!,#REF!,IF(AL21&lt;=#REF!,#REF!,IF(AL21&lt;=#REF!,#REF!,IF(AL21&lt;=#REF!,#REF!,IF(AL21&lt;=#REF!,#REF!,IF(AL21&lt;=#REF!,#REF!,IF(AL21&lt;=#REF!,#REF!,0.05)))))))</f>
        <v>#REF!</v>
      </c>
      <c r="AW21" s="971" t="e">
        <f t="shared" si="8"/>
        <v>#REF!</v>
      </c>
      <c r="AX21" s="972"/>
      <c r="AY21" s="972" t="e">
        <f>IF(AO21&lt;=#REF!,#REF!,IF(AO21&lt;=#REF!,#REF!,IF(AO21&lt;=#REF!,#REF!,IF(AO21&lt;=#REF!,#REF!,IF(AO21&lt;=#REF!,#REF!,IF(AO21&lt;=#REF!,#REF!,IF(AO21&lt;=#REF!,#REF!,0.05)))))))</f>
        <v>#REF!</v>
      </c>
      <c r="AZ21" s="971" t="e">
        <f t="shared" si="9"/>
        <v>#REF!</v>
      </c>
      <c r="BA21" s="972"/>
      <c r="BB21" s="972" t="e">
        <f>IF(AR21&lt;=#REF!,#REF!,IF(AR21&lt;=#REF!,#REF!,IF(AR21&lt;=#REF!,#REF!,IF(AR21&lt;=#REF!,#REF!,IF(AR21&lt;=#REF!,#REF!,IF(AR21&lt;=#REF!,#REF!,IF(AR21&lt;=#REF!,#REF!,0.05)))))))</f>
        <v>#REF!</v>
      </c>
      <c r="BC21" s="971" t="e">
        <f t="shared" si="10"/>
        <v>#REF!</v>
      </c>
      <c r="BD21" s="972"/>
      <c r="BE21" s="973" t="e">
        <f>IF(AU21&lt;=#REF!,#REF!,IF(AU21&lt;=#REF!,#REF!,IF(AU21&lt;=#REF!,#REF!,IF(AU21&lt;=#REF!,#REF!,IF(AU21&lt;=#REF!,#REF!,IF(AU21&lt;=#REF!,#REF!,IF(AU21&lt;=#REF!,#REF!,0.05)))))))</f>
        <v>#REF!</v>
      </c>
      <c r="BF21" s="971" t="e">
        <f t="shared" si="11"/>
        <v>#REF!</v>
      </c>
      <c r="BH21" s="598" t="e">
        <f t="shared" si="12"/>
        <v>#REF!</v>
      </c>
      <c r="BJ21" s="598" t="e">
        <f t="shared" si="13"/>
        <v>#REF!</v>
      </c>
      <c r="BK21" s="599" t="e">
        <f t="shared" si="14"/>
        <v>#REF!</v>
      </c>
      <c r="BL21" s="972" t="e">
        <f t="shared" si="15"/>
        <v>#REF!</v>
      </c>
      <c r="CB21" s="971">
        <v>12000</v>
      </c>
      <c r="CC21" s="971"/>
      <c r="CD21" s="971"/>
      <c r="CE21" s="971">
        <f t="shared" si="16"/>
        <v>12000</v>
      </c>
      <c r="CF21" s="971"/>
      <c r="CG21" s="971"/>
      <c r="CH21" s="971">
        <f t="shared" si="17"/>
        <v>24000</v>
      </c>
      <c r="CI21" s="971"/>
      <c r="CJ21" s="971"/>
      <c r="CK21" s="971">
        <f t="shared" si="18"/>
        <v>24000</v>
      </c>
      <c r="CL21" s="972">
        <f t="shared" si="1"/>
        <v>0.05</v>
      </c>
      <c r="CM21" s="971">
        <f t="shared" si="19"/>
        <v>600</v>
      </c>
      <c r="CN21" s="972"/>
      <c r="CO21" s="972">
        <f t="shared" si="2"/>
        <v>0.03</v>
      </c>
      <c r="CP21" s="971">
        <f t="shared" si="20"/>
        <v>360</v>
      </c>
      <c r="CQ21" s="972"/>
      <c r="CR21" s="972">
        <f t="shared" si="3"/>
        <v>0.2</v>
      </c>
      <c r="CS21" s="971">
        <f t="shared" si="21"/>
        <v>4992</v>
      </c>
      <c r="CT21" s="972"/>
      <c r="CU21" s="973">
        <f t="shared" si="4"/>
        <v>-0.05</v>
      </c>
      <c r="CV21" s="971">
        <f t="shared" si="22"/>
        <v>-1200</v>
      </c>
      <c r="CX21" s="598">
        <f t="shared" si="23"/>
        <v>2012.64</v>
      </c>
      <c r="CZ21" s="598">
        <f t="shared" si="24"/>
        <v>30764.639999999999</v>
      </c>
      <c r="DA21" s="599">
        <f t="shared" si="25"/>
        <v>4752</v>
      </c>
      <c r="DB21" s="972">
        <f t="shared" si="26"/>
        <v>0.15446304588644627</v>
      </c>
    </row>
    <row r="22" spans="1:118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N22" s="1393">
        <f t="shared" si="0"/>
        <v>0</v>
      </c>
      <c r="O22" s="1397"/>
      <c r="P22" s="1397"/>
      <c r="Q22" s="1397"/>
      <c r="R22" s="1337" t="e">
        <f>((O22+P22+Q22)/F22)*H33</f>
        <v>#DIV/0!</v>
      </c>
      <c r="S22" s="970"/>
      <c r="AL22" s="971">
        <v>13000</v>
      </c>
      <c r="AM22" s="971"/>
      <c r="AN22" s="971"/>
      <c r="AO22" s="971">
        <f t="shared" si="5"/>
        <v>13000</v>
      </c>
      <c r="AP22" s="971"/>
      <c r="AQ22" s="971"/>
      <c r="AR22" s="971">
        <f t="shared" si="6"/>
        <v>26000</v>
      </c>
      <c r="AS22" s="971"/>
      <c r="AT22" s="971"/>
      <c r="AU22" s="971">
        <f t="shared" si="7"/>
        <v>26000</v>
      </c>
      <c r="AV22" s="972" t="e">
        <f>IF(AL22&lt;=#REF!,#REF!,IF(AL22&lt;=#REF!,#REF!,IF(AL22&lt;=#REF!,#REF!,IF(AL22&lt;=#REF!,#REF!,IF(AL22&lt;=#REF!,#REF!,IF(AL22&lt;=#REF!,#REF!,IF(AL22&lt;=#REF!,#REF!,0.05)))))))</f>
        <v>#REF!</v>
      </c>
      <c r="AW22" s="971" t="e">
        <f t="shared" si="8"/>
        <v>#REF!</v>
      </c>
      <c r="AX22" s="972"/>
      <c r="AY22" s="972" t="e">
        <f>IF(AO22&lt;=#REF!,#REF!,IF(AO22&lt;=#REF!,#REF!,IF(AO22&lt;=#REF!,#REF!,IF(AO22&lt;=#REF!,#REF!,IF(AO22&lt;=#REF!,#REF!,IF(AO22&lt;=#REF!,#REF!,IF(AO22&lt;=#REF!,#REF!,0.05)))))))</f>
        <v>#REF!</v>
      </c>
      <c r="AZ22" s="971" t="e">
        <f t="shared" si="9"/>
        <v>#REF!</v>
      </c>
      <c r="BA22" s="972"/>
      <c r="BB22" s="972" t="e">
        <f>IF(AR22&lt;=#REF!,#REF!,IF(AR22&lt;=#REF!,#REF!,IF(AR22&lt;=#REF!,#REF!,IF(AR22&lt;=#REF!,#REF!,IF(AR22&lt;=#REF!,#REF!,IF(AR22&lt;=#REF!,#REF!,IF(AR22&lt;=#REF!,#REF!,0.05)))))))</f>
        <v>#REF!</v>
      </c>
      <c r="BC22" s="971" t="e">
        <f t="shared" si="10"/>
        <v>#REF!</v>
      </c>
      <c r="BD22" s="972"/>
      <c r="BE22" s="973" t="e">
        <f>IF(AU22&lt;=#REF!,#REF!,IF(AU22&lt;=#REF!,#REF!,IF(AU22&lt;=#REF!,#REF!,IF(AU22&lt;=#REF!,#REF!,IF(AU22&lt;=#REF!,#REF!,IF(AU22&lt;=#REF!,#REF!,IF(AU22&lt;=#REF!,#REF!,0.05)))))))</f>
        <v>#REF!</v>
      </c>
      <c r="BF22" s="971" t="e">
        <f t="shared" si="11"/>
        <v>#REF!</v>
      </c>
      <c r="BH22" s="598" t="e">
        <f t="shared" si="12"/>
        <v>#REF!</v>
      </c>
      <c r="BJ22" s="598" t="e">
        <f t="shared" si="13"/>
        <v>#REF!</v>
      </c>
      <c r="BK22" s="599" t="e">
        <f t="shared" si="14"/>
        <v>#REF!</v>
      </c>
      <c r="BL22" s="972" t="e">
        <f t="shared" si="15"/>
        <v>#REF!</v>
      </c>
      <c r="CB22" s="971">
        <v>13000</v>
      </c>
      <c r="CC22" s="971"/>
      <c r="CD22" s="971"/>
      <c r="CE22" s="971">
        <f t="shared" si="16"/>
        <v>13000</v>
      </c>
      <c r="CF22" s="971"/>
      <c r="CG22" s="971"/>
      <c r="CH22" s="971">
        <f t="shared" si="17"/>
        <v>26000</v>
      </c>
      <c r="CI22" s="971"/>
      <c r="CJ22" s="971"/>
      <c r="CK22" s="971">
        <f t="shared" si="18"/>
        <v>26000</v>
      </c>
      <c r="CL22" s="972">
        <f t="shared" si="1"/>
        <v>0.05</v>
      </c>
      <c r="CM22" s="971">
        <f t="shared" si="19"/>
        <v>650</v>
      </c>
      <c r="CN22" s="972"/>
      <c r="CO22" s="972">
        <f t="shared" si="2"/>
        <v>0.03</v>
      </c>
      <c r="CP22" s="971">
        <f t="shared" si="20"/>
        <v>390</v>
      </c>
      <c r="CQ22" s="972"/>
      <c r="CR22" s="972">
        <f t="shared" si="3"/>
        <v>0.18</v>
      </c>
      <c r="CS22" s="971">
        <f t="shared" si="21"/>
        <v>4867.2</v>
      </c>
      <c r="CT22" s="972"/>
      <c r="CU22" s="973">
        <f t="shared" si="4"/>
        <v>-0.05</v>
      </c>
      <c r="CV22" s="971">
        <f t="shared" si="22"/>
        <v>-1300</v>
      </c>
      <c r="CX22" s="598">
        <f t="shared" si="23"/>
        <v>2142.5040000000004</v>
      </c>
      <c r="CZ22" s="598">
        <f t="shared" si="24"/>
        <v>32749.703999999998</v>
      </c>
      <c r="DA22" s="599">
        <f t="shared" si="25"/>
        <v>4607.2</v>
      </c>
      <c r="DB22" s="972">
        <f t="shared" si="26"/>
        <v>0.14067913407705915</v>
      </c>
    </row>
    <row r="23" spans="1:118" s="585" customFormat="1">
      <c r="A23" s="647" t="s">
        <v>543</v>
      </c>
      <c r="B23" s="1154">
        <f>(F23/J23)*(1+G18)</f>
        <v>0</v>
      </c>
      <c r="C23" s="944" t="s">
        <v>544</v>
      </c>
      <c r="D23" s="1155">
        <v>14.65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IF(G11=O52,Q52,IF(G11=O54,Q54))</f>
        <v>40</v>
      </c>
      <c r="K23" s="590">
        <v>40</v>
      </c>
      <c r="L23" s="585">
        <v>34</v>
      </c>
      <c r="N23" s="1393">
        <f t="shared" si="0"/>
        <v>0</v>
      </c>
      <c r="O23" s="1397"/>
      <c r="P23" s="1397"/>
      <c r="Q23" s="1397"/>
      <c r="R23" s="1337" t="e">
        <f>((O23+P23+Q23)/F22)*H33</f>
        <v>#DIV/0!</v>
      </c>
      <c r="S23" s="997"/>
      <c r="AL23" s="971">
        <v>14000</v>
      </c>
      <c r="AM23" s="971"/>
      <c r="AN23" s="971"/>
      <c r="AO23" s="971">
        <f t="shared" si="5"/>
        <v>14000</v>
      </c>
      <c r="AP23" s="971"/>
      <c r="AQ23" s="971"/>
      <c r="AR23" s="971">
        <f t="shared" si="6"/>
        <v>28000</v>
      </c>
      <c r="AS23" s="971"/>
      <c r="AT23" s="971"/>
      <c r="AU23" s="971">
        <f t="shared" si="7"/>
        <v>28000</v>
      </c>
      <c r="AV23" s="972" t="e">
        <f>IF(AL23&lt;=#REF!,#REF!,IF(AL23&lt;=#REF!,#REF!,IF(AL23&lt;=#REF!,#REF!,IF(AL23&lt;=#REF!,#REF!,IF(AL23&lt;=#REF!,#REF!,IF(AL23&lt;=#REF!,#REF!,IF(AL23&lt;=#REF!,#REF!,0.05)))))))</f>
        <v>#REF!</v>
      </c>
      <c r="AW23" s="971" t="e">
        <f t="shared" si="8"/>
        <v>#REF!</v>
      </c>
      <c r="AX23" s="972"/>
      <c r="AY23" s="972" t="e">
        <f>IF(AO23&lt;=#REF!,#REF!,IF(AO23&lt;=#REF!,#REF!,IF(AO23&lt;=#REF!,#REF!,IF(AO23&lt;=#REF!,#REF!,IF(AO23&lt;=#REF!,#REF!,IF(AO23&lt;=#REF!,#REF!,IF(AO23&lt;=#REF!,#REF!,0.05)))))))</f>
        <v>#REF!</v>
      </c>
      <c r="AZ23" s="971" t="e">
        <f t="shared" si="9"/>
        <v>#REF!</v>
      </c>
      <c r="BA23" s="972"/>
      <c r="BB23" s="972" t="e">
        <f>IF(AR23&lt;=#REF!,#REF!,IF(AR23&lt;=#REF!,#REF!,IF(AR23&lt;=#REF!,#REF!,IF(AR23&lt;=#REF!,#REF!,IF(AR23&lt;=#REF!,#REF!,IF(AR23&lt;=#REF!,#REF!,IF(AR23&lt;=#REF!,#REF!,0.05)))))))</f>
        <v>#REF!</v>
      </c>
      <c r="BC23" s="971" t="e">
        <f t="shared" si="10"/>
        <v>#REF!</v>
      </c>
      <c r="BD23" s="972"/>
      <c r="BE23" s="973" t="e">
        <f>IF(AU23&lt;=#REF!,#REF!,IF(AU23&lt;=#REF!,#REF!,IF(AU23&lt;=#REF!,#REF!,IF(AU23&lt;=#REF!,#REF!,IF(AU23&lt;=#REF!,#REF!,IF(AU23&lt;=#REF!,#REF!,IF(AU23&lt;=#REF!,#REF!,0.05)))))))</f>
        <v>#REF!</v>
      </c>
      <c r="BF23" s="971" t="e">
        <f t="shared" si="11"/>
        <v>#REF!</v>
      </c>
      <c r="BH23" s="598" t="e">
        <f t="shared" si="12"/>
        <v>#REF!</v>
      </c>
      <c r="BJ23" s="598" t="e">
        <f t="shared" si="13"/>
        <v>#REF!</v>
      </c>
      <c r="BK23" s="599" t="e">
        <f t="shared" si="14"/>
        <v>#REF!</v>
      </c>
      <c r="BL23" s="972" t="e">
        <f t="shared" si="15"/>
        <v>#REF!</v>
      </c>
      <c r="CB23" s="971">
        <v>14000</v>
      </c>
      <c r="CC23" s="971"/>
      <c r="CD23" s="971"/>
      <c r="CE23" s="971">
        <f t="shared" si="16"/>
        <v>14000</v>
      </c>
      <c r="CF23" s="971"/>
      <c r="CG23" s="971"/>
      <c r="CH23" s="971">
        <f t="shared" si="17"/>
        <v>28000</v>
      </c>
      <c r="CI23" s="971"/>
      <c r="CJ23" s="971"/>
      <c r="CK23" s="971">
        <f t="shared" si="18"/>
        <v>28000</v>
      </c>
      <c r="CL23" s="972">
        <f t="shared" si="1"/>
        <v>0.05</v>
      </c>
      <c r="CM23" s="971">
        <f t="shared" si="19"/>
        <v>700</v>
      </c>
      <c r="CN23" s="972"/>
      <c r="CO23" s="972">
        <f t="shared" si="2"/>
        <v>0.03</v>
      </c>
      <c r="CP23" s="971">
        <f t="shared" si="20"/>
        <v>420</v>
      </c>
      <c r="CQ23" s="972"/>
      <c r="CR23" s="972">
        <f t="shared" si="3"/>
        <v>0.18</v>
      </c>
      <c r="CS23" s="971">
        <f t="shared" si="21"/>
        <v>5241.5999999999995</v>
      </c>
      <c r="CT23" s="972"/>
      <c r="CU23" s="973">
        <f t="shared" si="4"/>
        <v>-0.05</v>
      </c>
      <c r="CV23" s="971">
        <f t="shared" si="22"/>
        <v>-1400</v>
      </c>
      <c r="CX23" s="598">
        <f t="shared" si="23"/>
        <v>2307.3119999999999</v>
      </c>
      <c r="CZ23" s="598">
        <f t="shared" si="24"/>
        <v>35268.911999999997</v>
      </c>
      <c r="DA23" s="599">
        <f t="shared" si="25"/>
        <v>4961.5999999999995</v>
      </c>
      <c r="DB23" s="972">
        <f t="shared" si="26"/>
        <v>0.14067913407705915</v>
      </c>
    </row>
    <row r="24" spans="1:118" s="585" customFormat="1">
      <c r="A24" s="647" t="s">
        <v>546</v>
      </c>
      <c r="B24" s="1153">
        <f>(F24/J24)*(1+G18)</f>
        <v>0</v>
      </c>
      <c r="C24" s="1156" t="str">
        <f>C23</f>
        <v>bags w/ waste</v>
      </c>
      <c r="D24" s="1156">
        <f>D23</f>
        <v>14.65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IF(I11=O52,R52,IF(I11=O54,R54))</f>
        <v>42</v>
      </c>
      <c r="K24" s="590">
        <v>42</v>
      </c>
      <c r="L24" s="585">
        <v>36</v>
      </c>
      <c r="N24" s="1393">
        <f t="shared" si="0"/>
        <v>0</v>
      </c>
      <c r="O24" s="1397"/>
      <c r="P24" s="1397"/>
      <c r="Q24" s="1397"/>
      <c r="R24" s="1337" t="e">
        <f>((O24+P24+Q24)/F22)*H33</f>
        <v>#DIV/0!</v>
      </c>
      <c r="S24" s="970"/>
      <c r="AL24" s="971">
        <v>15000</v>
      </c>
      <c r="AM24" s="971"/>
      <c r="AN24" s="971"/>
      <c r="AO24" s="971">
        <f t="shared" si="5"/>
        <v>15000</v>
      </c>
      <c r="AP24" s="971"/>
      <c r="AQ24" s="971"/>
      <c r="AR24" s="971">
        <f t="shared" si="6"/>
        <v>30000</v>
      </c>
      <c r="AS24" s="971"/>
      <c r="AT24" s="971"/>
      <c r="AU24" s="971">
        <f t="shared" si="7"/>
        <v>30000</v>
      </c>
      <c r="AV24" s="972" t="e">
        <f>IF(AL24&lt;=#REF!,#REF!,IF(AL24&lt;=#REF!,#REF!,IF(AL24&lt;=#REF!,#REF!,IF(AL24&lt;=#REF!,#REF!,IF(AL24&lt;=#REF!,#REF!,IF(AL24&lt;=#REF!,#REF!,IF(AL24&lt;=#REF!,#REF!,0.05)))))))</f>
        <v>#REF!</v>
      </c>
      <c r="AW24" s="971" t="e">
        <f t="shared" si="8"/>
        <v>#REF!</v>
      </c>
      <c r="AX24" s="972"/>
      <c r="AY24" s="972" t="e">
        <f>IF(AO24&lt;=#REF!,#REF!,IF(AO24&lt;=#REF!,#REF!,IF(AO24&lt;=#REF!,#REF!,IF(AO24&lt;=#REF!,#REF!,IF(AO24&lt;=#REF!,#REF!,IF(AO24&lt;=#REF!,#REF!,IF(AO24&lt;=#REF!,#REF!,0.05)))))))</f>
        <v>#REF!</v>
      </c>
      <c r="AZ24" s="971" t="e">
        <f t="shared" si="9"/>
        <v>#REF!</v>
      </c>
      <c r="BA24" s="972"/>
      <c r="BB24" s="972" t="e">
        <f>IF(AR24&lt;=#REF!,#REF!,IF(AR24&lt;=#REF!,#REF!,IF(AR24&lt;=#REF!,#REF!,IF(AR24&lt;=#REF!,#REF!,IF(AR24&lt;=#REF!,#REF!,IF(AR24&lt;=#REF!,#REF!,IF(AR24&lt;=#REF!,#REF!,0.05)))))))</f>
        <v>#REF!</v>
      </c>
      <c r="BC24" s="971" t="e">
        <f t="shared" si="10"/>
        <v>#REF!</v>
      </c>
      <c r="BD24" s="972"/>
      <c r="BE24" s="973" t="e">
        <f>IF(AU24&lt;=#REF!,#REF!,IF(AU24&lt;=#REF!,#REF!,IF(AU24&lt;=#REF!,#REF!,IF(AU24&lt;=#REF!,#REF!,IF(AU24&lt;=#REF!,#REF!,IF(AU24&lt;=#REF!,#REF!,IF(AU24&lt;=#REF!,#REF!,0.05)))))))</f>
        <v>#REF!</v>
      </c>
      <c r="BF24" s="971" t="e">
        <f t="shared" si="11"/>
        <v>#REF!</v>
      </c>
      <c r="BH24" s="598" t="e">
        <f t="shared" si="12"/>
        <v>#REF!</v>
      </c>
      <c r="BJ24" s="598" t="e">
        <f t="shared" si="13"/>
        <v>#REF!</v>
      </c>
      <c r="BK24" s="599" t="e">
        <f t="shared" si="14"/>
        <v>#REF!</v>
      </c>
      <c r="BL24" s="972" t="e">
        <f t="shared" si="15"/>
        <v>#REF!</v>
      </c>
      <c r="CB24" s="971">
        <v>15000</v>
      </c>
      <c r="CC24" s="971"/>
      <c r="CD24" s="971"/>
      <c r="CE24" s="971">
        <f t="shared" si="16"/>
        <v>15000</v>
      </c>
      <c r="CF24" s="971"/>
      <c r="CG24" s="971"/>
      <c r="CH24" s="971">
        <f t="shared" si="17"/>
        <v>30000</v>
      </c>
      <c r="CI24" s="971"/>
      <c r="CJ24" s="971"/>
      <c r="CK24" s="971">
        <f t="shared" si="18"/>
        <v>30000</v>
      </c>
      <c r="CL24" s="972">
        <f t="shared" si="1"/>
        <v>0.05</v>
      </c>
      <c r="CM24" s="971">
        <f t="shared" si="19"/>
        <v>750</v>
      </c>
      <c r="CN24" s="972"/>
      <c r="CO24" s="972">
        <f t="shared" si="2"/>
        <v>0.03</v>
      </c>
      <c r="CP24" s="971">
        <f t="shared" si="20"/>
        <v>450</v>
      </c>
      <c r="CQ24" s="972"/>
      <c r="CR24" s="972">
        <f t="shared" si="3"/>
        <v>0.18</v>
      </c>
      <c r="CS24" s="971">
        <f t="shared" si="21"/>
        <v>5616</v>
      </c>
      <c r="CT24" s="972"/>
      <c r="CU24" s="973">
        <f t="shared" si="4"/>
        <v>-0.05</v>
      </c>
      <c r="CV24" s="971">
        <f t="shared" si="22"/>
        <v>-1500</v>
      </c>
      <c r="CX24" s="598">
        <f t="shared" si="23"/>
        <v>2472.1200000000003</v>
      </c>
      <c r="CZ24" s="598">
        <f t="shared" si="24"/>
        <v>37788.120000000003</v>
      </c>
      <c r="DA24" s="599">
        <f t="shared" si="25"/>
        <v>5316</v>
      </c>
      <c r="DB24" s="972">
        <f t="shared" si="26"/>
        <v>0.14067913407705912</v>
      </c>
    </row>
    <row r="25" spans="1:118" s="585" customFormat="1">
      <c r="A25" s="647" t="s">
        <v>548</v>
      </c>
      <c r="B25" s="1152">
        <f>(F25/J25)*(1+G18)</f>
        <v>0</v>
      </c>
      <c r="C25" s="1157" t="str">
        <f>C23</f>
        <v>bags w/ waste</v>
      </c>
      <c r="D25" s="1157">
        <f>D23</f>
        <v>14.65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IF(K11=O52,S52,IF(K11=O54,S54))</f>
        <v>40</v>
      </c>
      <c r="K25" s="1142">
        <v>40</v>
      </c>
      <c r="L25" s="784">
        <v>34</v>
      </c>
      <c r="N25" s="1393">
        <f t="shared" si="0"/>
        <v>0</v>
      </c>
      <c r="O25" s="1397"/>
      <c r="P25" s="1397"/>
      <c r="Q25" s="1397"/>
      <c r="R25" s="1337" t="e">
        <f>((O25+P25+Q25)/F22)*H33</f>
        <v>#DIV/0!</v>
      </c>
      <c r="S25" s="970"/>
      <c r="AL25" s="971">
        <v>16000</v>
      </c>
      <c r="AM25" s="971"/>
      <c r="AN25" s="971"/>
      <c r="AO25" s="971">
        <f t="shared" si="5"/>
        <v>16000</v>
      </c>
      <c r="AP25" s="971"/>
      <c r="AQ25" s="971"/>
      <c r="AR25" s="971">
        <f t="shared" si="6"/>
        <v>32000</v>
      </c>
      <c r="AS25" s="971"/>
      <c r="AT25" s="971"/>
      <c r="AU25" s="971">
        <f t="shared" si="7"/>
        <v>32000</v>
      </c>
      <c r="AV25" s="972" t="e">
        <f>IF(AL25&lt;=#REF!,#REF!,IF(AL25&lt;=#REF!,#REF!,IF(AL25&lt;=#REF!,#REF!,IF(AL25&lt;=#REF!,#REF!,IF(AL25&lt;=#REF!,#REF!,IF(AL25&lt;=#REF!,#REF!,IF(AL25&lt;=#REF!,#REF!,0.05)))))))</f>
        <v>#REF!</v>
      </c>
      <c r="AW25" s="971" t="e">
        <f t="shared" si="8"/>
        <v>#REF!</v>
      </c>
      <c r="AX25" s="972"/>
      <c r="AY25" s="972" t="e">
        <f>IF(AO25&lt;=#REF!,#REF!,IF(AO25&lt;=#REF!,#REF!,IF(AO25&lt;=#REF!,#REF!,IF(AO25&lt;=#REF!,#REF!,IF(AO25&lt;=#REF!,#REF!,IF(AO25&lt;=#REF!,#REF!,IF(AO25&lt;=#REF!,#REF!,0.05)))))))</f>
        <v>#REF!</v>
      </c>
      <c r="AZ25" s="971" t="e">
        <f t="shared" si="9"/>
        <v>#REF!</v>
      </c>
      <c r="BA25" s="972"/>
      <c r="BB25" s="972" t="e">
        <f>IF(AR25&lt;=#REF!,#REF!,IF(AR25&lt;=#REF!,#REF!,IF(AR25&lt;=#REF!,#REF!,IF(AR25&lt;=#REF!,#REF!,IF(AR25&lt;=#REF!,#REF!,IF(AR25&lt;=#REF!,#REF!,IF(AR25&lt;=#REF!,#REF!,0.05)))))))</f>
        <v>#REF!</v>
      </c>
      <c r="BC25" s="971" t="e">
        <f t="shared" si="10"/>
        <v>#REF!</v>
      </c>
      <c r="BD25" s="972"/>
      <c r="BE25" s="973" t="e">
        <f>IF(AU25&lt;=#REF!,#REF!,IF(AU25&lt;=#REF!,#REF!,IF(AU25&lt;=#REF!,#REF!,IF(AU25&lt;=#REF!,#REF!,IF(AU25&lt;=#REF!,#REF!,IF(AU25&lt;=#REF!,#REF!,IF(AU25&lt;=#REF!,#REF!,0.05)))))))</f>
        <v>#REF!</v>
      </c>
      <c r="BF25" s="971" t="e">
        <f t="shared" si="11"/>
        <v>#REF!</v>
      </c>
      <c r="BH25" s="598" t="e">
        <f t="shared" si="12"/>
        <v>#REF!</v>
      </c>
      <c r="BJ25" s="598" t="e">
        <f t="shared" si="13"/>
        <v>#REF!</v>
      </c>
      <c r="BK25" s="599" t="e">
        <f t="shared" si="14"/>
        <v>#REF!</v>
      </c>
      <c r="BL25" s="972" t="e">
        <f t="shared" si="15"/>
        <v>#REF!</v>
      </c>
      <c r="CB25" s="971">
        <v>16000</v>
      </c>
      <c r="CC25" s="971"/>
      <c r="CD25" s="971"/>
      <c r="CE25" s="971">
        <f t="shared" si="16"/>
        <v>16000</v>
      </c>
      <c r="CF25" s="971"/>
      <c r="CG25" s="971"/>
      <c r="CH25" s="971">
        <f t="shared" si="17"/>
        <v>32000</v>
      </c>
      <c r="CI25" s="971"/>
      <c r="CJ25" s="971"/>
      <c r="CK25" s="971">
        <f t="shared" si="18"/>
        <v>32000</v>
      </c>
      <c r="CL25" s="972">
        <f t="shared" si="1"/>
        <v>0.05</v>
      </c>
      <c r="CM25" s="971">
        <f t="shared" si="19"/>
        <v>800</v>
      </c>
      <c r="CN25" s="972"/>
      <c r="CO25" s="972">
        <f t="shared" si="2"/>
        <v>0.03</v>
      </c>
      <c r="CP25" s="971">
        <f t="shared" si="20"/>
        <v>480</v>
      </c>
      <c r="CQ25" s="972"/>
      <c r="CR25" s="972">
        <f t="shared" si="3"/>
        <v>0.18</v>
      </c>
      <c r="CS25" s="971">
        <f t="shared" si="21"/>
        <v>5990.4</v>
      </c>
      <c r="CT25" s="972"/>
      <c r="CU25" s="973">
        <f t="shared" si="4"/>
        <v>-0.05</v>
      </c>
      <c r="CV25" s="971">
        <f t="shared" si="22"/>
        <v>-1600</v>
      </c>
      <c r="CX25" s="598">
        <f t="shared" si="23"/>
        <v>2636.9280000000003</v>
      </c>
      <c r="CZ25" s="598">
        <f t="shared" si="24"/>
        <v>40307.328000000001</v>
      </c>
      <c r="DA25" s="599">
        <f t="shared" si="25"/>
        <v>5670.4</v>
      </c>
      <c r="DB25" s="972">
        <f t="shared" si="26"/>
        <v>0.14067913407705912</v>
      </c>
    </row>
    <row r="26" spans="1:118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N26" s="1393">
        <f t="shared" si="0"/>
        <v>0</v>
      </c>
      <c r="O26" s="1397"/>
      <c r="P26" s="1397"/>
      <c r="Q26" s="1397"/>
      <c r="R26" s="1337" t="e">
        <f>((O26+P26+Q26)/F22)*H33</f>
        <v>#DIV/0!</v>
      </c>
      <c r="S26" s="970"/>
      <c r="AL26" s="1003">
        <v>17000</v>
      </c>
      <c r="AM26" s="1003"/>
      <c r="AN26" s="1003"/>
      <c r="AO26" s="1003">
        <f t="shared" si="5"/>
        <v>17000</v>
      </c>
      <c r="AP26" s="1003"/>
      <c r="AQ26" s="1003"/>
      <c r="AR26" s="1003">
        <f t="shared" si="6"/>
        <v>34000</v>
      </c>
      <c r="AS26" s="1003"/>
      <c r="AT26" s="1003"/>
      <c r="AU26" s="971">
        <f t="shared" si="7"/>
        <v>34000</v>
      </c>
      <c r="AV26" s="1004" t="e">
        <f>IF(AL26&lt;=#REF!,#REF!,IF(AL26&lt;=#REF!,#REF!,IF(AL26&lt;=#REF!,#REF!,IF(AL26&lt;=#REF!,#REF!,IF(AL26&lt;=#REF!,#REF!,IF(AL26&lt;=#REF!,#REF!,IF(AL26&lt;=#REF!,#REF!,0.05)))))))</f>
        <v>#REF!</v>
      </c>
      <c r="AW26" s="1003" t="e">
        <f t="shared" si="8"/>
        <v>#REF!</v>
      </c>
      <c r="AX26" s="1004"/>
      <c r="AY26" s="1004" t="e">
        <f>IF(AO26&lt;=#REF!,#REF!,IF(AO26&lt;=#REF!,#REF!,IF(AO26&lt;=#REF!,#REF!,IF(AO26&lt;=#REF!,#REF!,IF(AO26&lt;=#REF!,#REF!,IF(AO26&lt;=#REF!,#REF!,IF(AO26&lt;=#REF!,#REF!,0.05)))))))</f>
        <v>#REF!</v>
      </c>
      <c r="AZ26" s="1003" t="e">
        <f t="shared" si="9"/>
        <v>#REF!</v>
      </c>
      <c r="BA26" s="1004"/>
      <c r="BB26" s="1004" t="e">
        <f>IF(AR26&lt;=#REF!,#REF!,IF(AR26&lt;=#REF!,#REF!,IF(AR26&lt;=#REF!,#REF!,IF(AR26&lt;=#REF!,#REF!,IF(AR26&lt;=#REF!,#REF!,IF(AR26&lt;=#REF!,#REF!,IF(AR26&lt;=#REF!,#REF!,0.05)))))))</f>
        <v>#REF!</v>
      </c>
      <c r="BC26" s="971" t="e">
        <f t="shared" si="10"/>
        <v>#REF!</v>
      </c>
      <c r="BD26" s="1004"/>
      <c r="BE26" s="1005" t="e">
        <f>IF(AU26&lt;=#REF!,#REF!,IF(AU26&lt;=#REF!,#REF!,IF(AU26&lt;=#REF!,#REF!,IF(AU26&lt;=#REF!,#REF!,IF(AU26&lt;=#REF!,#REF!,IF(AU26&lt;=#REF!,#REF!,IF(AU26&lt;=#REF!,#REF!,0.05)))))))</f>
        <v>#REF!</v>
      </c>
      <c r="BF26" s="1003" t="e">
        <f t="shared" si="11"/>
        <v>#REF!</v>
      </c>
      <c r="BG26" s="667"/>
      <c r="BH26" s="668" t="e">
        <f t="shared" si="12"/>
        <v>#REF!</v>
      </c>
      <c r="BI26" s="667"/>
      <c r="BJ26" s="668" t="e">
        <f t="shared" si="13"/>
        <v>#REF!</v>
      </c>
      <c r="BK26" s="669" t="e">
        <f t="shared" si="14"/>
        <v>#REF!</v>
      </c>
      <c r="BL26" s="1004" t="e">
        <f t="shared" si="15"/>
        <v>#REF!</v>
      </c>
      <c r="CB26" s="1003">
        <v>17000</v>
      </c>
      <c r="CC26" s="1003"/>
      <c r="CD26" s="1003"/>
      <c r="CE26" s="1003">
        <f t="shared" si="16"/>
        <v>17000</v>
      </c>
      <c r="CF26" s="1003"/>
      <c r="CG26" s="1003"/>
      <c r="CH26" s="1003">
        <f t="shared" si="17"/>
        <v>34000</v>
      </c>
      <c r="CI26" s="1003"/>
      <c r="CJ26" s="1003"/>
      <c r="CK26" s="971">
        <f t="shared" si="18"/>
        <v>34000</v>
      </c>
      <c r="CL26" s="1004">
        <f t="shared" si="1"/>
        <v>0.05</v>
      </c>
      <c r="CM26" s="1003">
        <f t="shared" si="19"/>
        <v>850</v>
      </c>
      <c r="CN26" s="1004"/>
      <c r="CO26" s="1004">
        <f t="shared" si="2"/>
        <v>0.03</v>
      </c>
      <c r="CP26" s="1003">
        <f t="shared" si="20"/>
        <v>510</v>
      </c>
      <c r="CQ26" s="1004"/>
      <c r="CR26" s="1004">
        <f t="shared" si="3"/>
        <v>0.18</v>
      </c>
      <c r="CS26" s="971">
        <f t="shared" si="21"/>
        <v>6364.8</v>
      </c>
      <c r="CT26" s="1004"/>
      <c r="CU26" s="1005">
        <f t="shared" si="4"/>
        <v>-0.05</v>
      </c>
      <c r="CV26" s="1003">
        <f t="shared" si="22"/>
        <v>-1700</v>
      </c>
      <c r="CW26" s="667"/>
      <c r="CX26" s="668">
        <f t="shared" si="23"/>
        <v>2801.7360000000003</v>
      </c>
      <c r="CY26" s="667"/>
      <c r="CZ26" s="668">
        <f t="shared" si="24"/>
        <v>42826.536</v>
      </c>
      <c r="DA26" s="669">
        <f t="shared" si="25"/>
        <v>6024.8</v>
      </c>
      <c r="DB26" s="1004">
        <f>DA26/CZ26</f>
        <v>0.14067913407705915</v>
      </c>
    </row>
    <row r="27" spans="1:118" s="585" customFormat="1" ht="16.2" thickBot="1">
      <c r="A27" s="647" t="s">
        <v>550</v>
      </c>
      <c r="B27" s="853">
        <f>(F23+F25)/1200</f>
        <v>0</v>
      </c>
      <c r="C27" s="679" t="s">
        <v>551</v>
      </c>
      <c r="D27" s="629">
        <f>139.5/5</f>
        <v>27.9</v>
      </c>
      <c r="E27" s="648">
        <f t="shared" si="28"/>
        <v>0</v>
      </c>
      <c r="F27" s="1176" t="s">
        <v>730</v>
      </c>
      <c r="G27" s="600"/>
      <c r="H27" s="780"/>
      <c r="I27" s="1006"/>
      <c r="M27" s="1292"/>
      <c r="N27" s="1398">
        <f>SUM(O27:Q27)</f>
        <v>0</v>
      </c>
      <c r="O27" s="1399"/>
      <c r="P27" s="1399"/>
      <c r="Q27" s="1399"/>
      <c r="R27" s="1338" t="e">
        <f>((O27+P27+Q27)/F22)*H33</f>
        <v>#DIV/0!</v>
      </c>
      <c r="S27" s="1335"/>
      <c r="T27" s="1129"/>
      <c r="U27" s="1135"/>
      <c r="V27" s="1135"/>
      <c r="W27" s="784"/>
      <c r="AL27" s="971">
        <v>18000</v>
      </c>
      <c r="AM27" s="971"/>
      <c r="AN27" s="971"/>
      <c r="AO27" s="971">
        <f t="shared" si="5"/>
        <v>18000</v>
      </c>
      <c r="AP27" s="971"/>
      <c r="AQ27" s="971"/>
      <c r="AR27" s="971">
        <f t="shared" si="6"/>
        <v>36000</v>
      </c>
      <c r="AS27" s="971"/>
      <c r="AT27" s="971"/>
      <c r="AU27" s="971">
        <f t="shared" si="7"/>
        <v>36000</v>
      </c>
      <c r="AV27" s="972" t="e">
        <f>IF(AL27&lt;=#REF!,#REF!,IF(AL27&lt;=#REF!,#REF!,IF(AL27&lt;=#REF!,#REF!,IF(AL27&lt;=#REF!,#REF!,IF(AL27&lt;=#REF!,#REF!,IF(AL27&lt;=#REF!,#REF!,IF(AL27&lt;=#REF!,#REF!,0.05)))))))</f>
        <v>#REF!</v>
      </c>
      <c r="AW27" s="971" t="e">
        <f t="shared" si="8"/>
        <v>#REF!</v>
      </c>
      <c r="AX27" s="972"/>
      <c r="AY27" s="972" t="e">
        <f>IF(AO27&lt;=#REF!,#REF!,IF(AO27&lt;=#REF!,#REF!,IF(AO27&lt;=#REF!,#REF!,IF(AO27&lt;=#REF!,#REF!,IF(AO27&lt;=#REF!,#REF!,IF(AO27&lt;=#REF!,#REF!,IF(AO27&lt;=#REF!,#REF!,0.05)))))))</f>
        <v>#REF!</v>
      </c>
      <c r="AZ27" s="971" t="e">
        <f t="shared" si="9"/>
        <v>#REF!</v>
      </c>
      <c r="BA27" s="972"/>
      <c r="BB27" s="972" t="e">
        <f>IF(AR27&lt;=#REF!,#REF!,IF(AR27&lt;=#REF!,#REF!,IF(AR27&lt;=#REF!,#REF!,IF(AR27&lt;=#REF!,#REF!,IF(AR27&lt;=#REF!,#REF!,IF(AR27&lt;=#REF!,#REF!,IF(AR27&lt;=#REF!,#REF!,0.05)))))))</f>
        <v>#REF!</v>
      </c>
      <c r="BC27" s="971" t="e">
        <f t="shared" si="10"/>
        <v>#REF!</v>
      </c>
      <c r="BD27" s="972"/>
      <c r="BE27" s="973" t="e">
        <f>IF(AU27&lt;=#REF!,#REF!,IF(AU27&lt;=#REF!,#REF!,IF(AU27&lt;=#REF!,#REF!,IF(AU27&lt;=#REF!,#REF!,IF(AU27&lt;=#REF!,#REF!,IF(AU27&lt;=#REF!,#REF!,IF(AU27&lt;=#REF!,#REF!,0.05)))))))</f>
        <v>#REF!</v>
      </c>
      <c r="BF27" s="971" t="e">
        <f t="shared" si="11"/>
        <v>#REF!</v>
      </c>
      <c r="BH27" s="598" t="e">
        <f t="shared" si="12"/>
        <v>#REF!</v>
      </c>
      <c r="BJ27" s="598" t="e">
        <f t="shared" si="13"/>
        <v>#REF!</v>
      </c>
      <c r="BK27" s="599" t="e">
        <f t="shared" si="14"/>
        <v>#REF!</v>
      </c>
      <c r="BL27" s="972" t="e">
        <f t="shared" si="15"/>
        <v>#REF!</v>
      </c>
      <c r="CB27" s="971">
        <v>18000</v>
      </c>
      <c r="CC27" s="971"/>
      <c r="CD27" s="971"/>
      <c r="CE27" s="971">
        <f t="shared" si="16"/>
        <v>18000</v>
      </c>
      <c r="CF27" s="971"/>
      <c r="CG27" s="971"/>
      <c r="CH27" s="971">
        <f t="shared" si="17"/>
        <v>36000</v>
      </c>
      <c r="CI27" s="971"/>
      <c r="CJ27" s="971"/>
      <c r="CK27" s="971">
        <f t="shared" si="18"/>
        <v>36000</v>
      </c>
      <c r="CL27" s="972">
        <f t="shared" si="1"/>
        <v>0.05</v>
      </c>
      <c r="CM27" s="971">
        <f t="shared" si="19"/>
        <v>900</v>
      </c>
      <c r="CN27" s="972"/>
      <c r="CO27" s="972">
        <f t="shared" si="2"/>
        <v>0.03</v>
      </c>
      <c r="CP27" s="971">
        <f t="shared" si="20"/>
        <v>540</v>
      </c>
      <c r="CQ27" s="972"/>
      <c r="CR27" s="972">
        <f t="shared" si="3"/>
        <v>0.18</v>
      </c>
      <c r="CS27" s="971">
        <f t="shared" si="21"/>
        <v>6739.2</v>
      </c>
      <c r="CT27" s="972"/>
      <c r="CU27" s="973">
        <f t="shared" si="4"/>
        <v>-5.5E-2</v>
      </c>
      <c r="CV27" s="971">
        <f t="shared" si="22"/>
        <v>-1980</v>
      </c>
      <c r="CX27" s="598">
        <f t="shared" si="23"/>
        <v>2953.944</v>
      </c>
      <c r="CZ27" s="598">
        <f t="shared" si="24"/>
        <v>45153.144</v>
      </c>
      <c r="DA27" s="599">
        <f t="shared" si="25"/>
        <v>6199.2</v>
      </c>
      <c r="DB27" s="972">
        <f t="shared" si="26"/>
        <v>0.13729276526126286</v>
      </c>
    </row>
    <row r="28" spans="1:118" s="585" customFormat="1" ht="16.2" thickBot="1">
      <c r="A28" s="647" t="s">
        <v>552</v>
      </c>
      <c r="B28" s="853">
        <f>IF(B14="Yes",((F23+F24+F25)/1200),(F24/1200))</f>
        <v>0</v>
      </c>
      <c r="C28" s="679" t="s">
        <v>553</v>
      </c>
      <c r="D28" s="629">
        <v>27</v>
      </c>
      <c r="E28" s="648">
        <f t="shared" si="28"/>
        <v>0</v>
      </c>
      <c r="F28" s="600"/>
      <c r="G28" s="600"/>
      <c r="H28" s="600"/>
      <c r="I28" s="604"/>
      <c r="M28" s="1283">
        <f>SUM(O28:Q28)</f>
        <v>0</v>
      </c>
      <c r="N28" s="1403">
        <f>SUM(N3:N27)</f>
        <v>0</v>
      </c>
      <c r="O28" s="1349">
        <f t="shared" ref="O28:W28" si="29">SUM(O3:O27)</f>
        <v>0</v>
      </c>
      <c r="P28" s="1350">
        <f t="shared" si="29"/>
        <v>0</v>
      </c>
      <c r="Q28" s="1351">
        <f t="shared" si="29"/>
        <v>0</v>
      </c>
      <c r="R28" s="1336" t="e">
        <f t="shared" si="29"/>
        <v>#DIV/0!</v>
      </c>
      <c r="S28" s="1332">
        <f>SUM(S3:S27)</f>
        <v>0</v>
      </c>
      <c r="T28" s="1333">
        <f t="shared" si="29"/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AL28" s="971">
        <v>19000</v>
      </c>
      <c r="AM28" s="971"/>
      <c r="AN28" s="971"/>
      <c r="AO28" s="971">
        <f t="shared" si="5"/>
        <v>19000</v>
      </c>
      <c r="AP28" s="971"/>
      <c r="AQ28" s="971"/>
      <c r="AR28" s="971">
        <f t="shared" si="6"/>
        <v>38000</v>
      </c>
      <c r="AS28" s="971"/>
      <c r="AT28" s="971"/>
      <c r="AU28" s="971">
        <f t="shared" si="7"/>
        <v>38000</v>
      </c>
      <c r="AV28" s="972" t="e">
        <f>IF(AL28&lt;=#REF!,#REF!,IF(AL28&lt;=#REF!,#REF!,IF(AL28&lt;=#REF!,#REF!,IF(AL28&lt;=#REF!,#REF!,IF(AL28&lt;=#REF!,#REF!,IF(AL28&lt;=#REF!,#REF!,IF(AL28&lt;=#REF!,#REF!,0.05)))))))</f>
        <v>#REF!</v>
      </c>
      <c r="AW28" s="971" t="e">
        <f t="shared" si="8"/>
        <v>#REF!</v>
      </c>
      <c r="AX28" s="972"/>
      <c r="AY28" s="972" t="e">
        <f>IF(AO28&lt;=#REF!,#REF!,IF(AO28&lt;=#REF!,#REF!,IF(AO28&lt;=#REF!,#REF!,IF(AO28&lt;=#REF!,#REF!,IF(AO28&lt;=#REF!,#REF!,IF(AO28&lt;=#REF!,#REF!,IF(AO28&lt;=#REF!,#REF!,0.05)))))))</f>
        <v>#REF!</v>
      </c>
      <c r="AZ28" s="971" t="e">
        <f t="shared" si="9"/>
        <v>#REF!</v>
      </c>
      <c r="BA28" s="972"/>
      <c r="BB28" s="972" t="e">
        <f>IF(AR28&lt;=#REF!,#REF!,IF(AR28&lt;=#REF!,#REF!,IF(AR28&lt;=#REF!,#REF!,IF(AR28&lt;=#REF!,#REF!,IF(AR28&lt;=#REF!,#REF!,IF(AR28&lt;=#REF!,#REF!,IF(AR28&lt;=#REF!,#REF!,0.05)))))))</f>
        <v>#REF!</v>
      </c>
      <c r="BC28" s="971" t="e">
        <f t="shared" si="10"/>
        <v>#REF!</v>
      </c>
      <c r="BD28" s="972"/>
      <c r="BE28" s="973" t="e">
        <f>IF(AU28&lt;=#REF!,#REF!,IF(AU28&lt;=#REF!,#REF!,IF(AU28&lt;=#REF!,#REF!,IF(AU28&lt;=#REF!,#REF!,IF(AU28&lt;=#REF!,#REF!,IF(AU28&lt;=#REF!,#REF!,IF(AU28&lt;=#REF!,#REF!,0.05)))))))</f>
        <v>#REF!</v>
      </c>
      <c r="BF28" s="971" t="e">
        <f t="shared" si="11"/>
        <v>#REF!</v>
      </c>
      <c r="BH28" s="598" t="e">
        <f t="shared" si="12"/>
        <v>#REF!</v>
      </c>
      <c r="BJ28" s="598" t="e">
        <f t="shared" si="13"/>
        <v>#REF!</v>
      </c>
      <c r="BK28" s="599" t="e">
        <f t="shared" si="14"/>
        <v>#REF!</v>
      </c>
      <c r="BL28" s="972" t="e">
        <f t="shared" si="15"/>
        <v>#REF!</v>
      </c>
      <c r="CB28" s="971">
        <v>19000</v>
      </c>
      <c r="CC28" s="971"/>
      <c r="CD28" s="971"/>
      <c r="CE28" s="971">
        <f t="shared" si="16"/>
        <v>19000</v>
      </c>
      <c r="CF28" s="971"/>
      <c r="CG28" s="971"/>
      <c r="CH28" s="971">
        <f t="shared" si="17"/>
        <v>38000</v>
      </c>
      <c r="CI28" s="971"/>
      <c r="CJ28" s="971"/>
      <c r="CK28" s="971">
        <f t="shared" si="18"/>
        <v>38000</v>
      </c>
      <c r="CL28" s="972">
        <f t="shared" si="1"/>
        <v>0.05</v>
      </c>
      <c r="CM28" s="971">
        <f t="shared" si="19"/>
        <v>950</v>
      </c>
      <c r="CN28" s="972"/>
      <c r="CO28" s="972">
        <f t="shared" si="2"/>
        <v>0.03</v>
      </c>
      <c r="CP28" s="971">
        <f t="shared" si="20"/>
        <v>570</v>
      </c>
      <c r="CQ28" s="972"/>
      <c r="CR28" s="972">
        <f t="shared" si="3"/>
        <v>0.18</v>
      </c>
      <c r="CS28" s="971">
        <f t="shared" si="21"/>
        <v>7113.5999999999995</v>
      </c>
      <c r="CT28" s="972"/>
      <c r="CU28" s="973">
        <f t="shared" si="4"/>
        <v>-5.5E-2</v>
      </c>
      <c r="CV28" s="971">
        <f t="shared" si="22"/>
        <v>-2090</v>
      </c>
      <c r="CX28" s="598">
        <f t="shared" si="23"/>
        <v>3118.0520000000001</v>
      </c>
      <c r="CZ28" s="598">
        <f t="shared" si="24"/>
        <v>47661.652000000002</v>
      </c>
      <c r="DA28" s="599">
        <f t="shared" si="25"/>
        <v>6543.5999999999995</v>
      </c>
      <c r="DB28" s="972">
        <f t="shared" si="26"/>
        <v>0.13729276526126286</v>
      </c>
    </row>
    <row r="29" spans="1:118" s="585" customFormat="1" ht="16.2" thickBot="1">
      <c r="A29" s="647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N29" s="1046" t="s">
        <v>888</v>
      </c>
      <c r="Q29" s="939"/>
      <c r="R29" s="1002"/>
      <c r="S29" s="1002"/>
      <c r="T29" s="1002"/>
      <c r="U29" s="1002"/>
      <c r="V29" s="1002"/>
      <c r="AX29" s="971">
        <v>20000</v>
      </c>
      <c r="AY29" s="971"/>
      <c r="AZ29" s="971"/>
      <c r="BA29" s="971">
        <f t="shared" si="5"/>
        <v>20000</v>
      </c>
      <c r="BB29" s="971"/>
      <c r="BC29" s="971"/>
      <c r="BD29" s="971">
        <f t="shared" si="6"/>
        <v>40000</v>
      </c>
      <c r="BE29" s="971"/>
      <c r="BF29" s="971"/>
      <c r="BG29" s="971">
        <f t="shared" si="7"/>
        <v>40000</v>
      </c>
      <c r="BH29" s="972" t="e">
        <f>IF(AX29&lt;=#REF!,#REF!,IF(AX29&lt;=#REF!,#REF!,IF(AX29&lt;=#REF!,#REF!,IF(AX29&lt;=#REF!,#REF!,IF(AX29&lt;=#REF!,#REF!,IF(AX29&lt;=#REF!,#REF!,IF(AX29&lt;=#REF!,#REF!,0.05)))))))</f>
        <v>#REF!</v>
      </c>
      <c r="BI29" s="971" t="e">
        <f t="shared" si="8"/>
        <v>#REF!</v>
      </c>
      <c r="BJ29" s="972"/>
      <c r="BK29" s="972" t="e">
        <f>IF(BA29&lt;=#REF!,#REF!,IF(BA29&lt;=#REF!,#REF!,IF(BA29&lt;=#REF!,#REF!,IF(BA29&lt;=#REF!,#REF!,IF(BA29&lt;=#REF!,#REF!,IF(BA29&lt;=#REF!,#REF!,IF(BA29&lt;=#REF!,#REF!,0.05)))))))</f>
        <v>#REF!</v>
      </c>
      <c r="BL29" s="971" t="e">
        <f t="shared" si="9"/>
        <v>#REF!</v>
      </c>
      <c r="BM29" s="972"/>
      <c r="BN29" s="972" t="e">
        <f>IF(BD29&lt;=#REF!,#REF!,IF(BD29&lt;=#REF!,#REF!,IF(BD29&lt;=#REF!,#REF!,IF(BD29&lt;=#REF!,#REF!,IF(BD29&lt;=#REF!,#REF!,IF(BD29&lt;=#REF!,#REF!,IF(BD29&lt;=#REF!,#REF!,0.05)))))))</f>
        <v>#REF!</v>
      </c>
      <c r="BO29" s="971" t="e">
        <f t="shared" si="10"/>
        <v>#REF!</v>
      </c>
      <c r="BP29" s="972"/>
      <c r="BQ29" s="973" t="e">
        <f>IF(BG29&lt;=#REF!,#REF!,IF(BG29&lt;=#REF!,#REF!,IF(BG29&lt;=#REF!,#REF!,IF(BG29&lt;=#REF!,#REF!,IF(BG29&lt;=#REF!,#REF!,IF(BG29&lt;=#REF!,#REF!,IF(BG29&lt;=#REF!,#REF!,0.05)))))))</f>
        <v>#REF!</v>
      </c>
      <c r="BR29" s="971" t="e">
        <f t="shared" si="11"/>
        <v>#REF!</v>
      </c>
      <c r="BT29" s="598" t="e">
        <f t="shared" si="12"/>
        <v>#REF!</v>
      </c>
      <c r="BV29" s="598" t="e">
        <f t="shared" si="13"/>
        <v>#REF!</v>
      </c>
      <c r="BW29" s="599" t="e">
        <f t="shared" si="14"/>
        <v>#REF!</v>
      </c>
      <c r="BX29" s="972" t="e">
        <f t="shared" si="15"/>
        <v>#REF!</v>
      </c>
      <c r="CN29" s="971">
        <v>20000</v>
      </c>
      <c r="CO29" s="971"/>
      <c r="CP29" s="971"/>
      <c r="CQ29" s="971">
        <f t="shared" si="16"/>
        <v>20000</v>
      </c>
      <c r="CR29" s="971"/>
      <c r="CS29" s="971"/>
      <c r="CT29" s="971">
        <f t="shared" si="17"/>
        <v>40000</v>
      </c>
      <c r="CU29" s="971"/>
      <c r="CV29" s="971"/>
      <c r="CW29" s="971">
        <f t="shared" si="18"/>
        <v>40000</v>
      </c>
      <c r="CX29" s="972">
        <f t="shared" ref="CX29:CX51" si="30">IF(CN29&lt;=BP$6,BO$6,IF(CN29&lt;=BP$7,BO$7,IF(CN29&lt;=BP$8,BO$8,IF(CN29&lt;=BP$9,BO$9,IF(CN29&lt;=BP$14,BO$14,IF(CN29&lt;=BP$15,BO$15,IF(CN29&lt;=BP$16,BO$16,0.05)))))))</f>
        <v>0.05</v>
      </c>
      <c r="CY29" s="971">
        <f t="shared" si="19"/>
        <v>1000</v>
      </c>
      <c r="CZ29" s="972"/>
      <c r="DA29" s="972">
        <f t="shared" ref="DA29:DA51" si="31">IF(CQ29&lt;=BS$6,BR$6,IF(CQ29&lt;=BS$7,BR$7,IF(CQ29&lt;=BS$8,BR$8,IF(CQ29&lt;=BS$9,BR$9,IF(CQ29&lt;=BS$14,BR$14,IF(CQ29&lt;=BS$15,BR$15,IF(CQ29&lt;=BS$16,BR$16,0.05)))))))</f>
        <v>0.03</v>
      </c>
      <c r="DB29" s="971">
        <f t="shared" si="20"/>
        <v>600</v>
      </c>
      <c r="DC29" s="972"/>
      <c r="DD29" s="972">
        <f t="shared" ref="DD29:DD51" si="32">IF(CT29&lt;=BV$6,BU$6,IF(CT29&lt;=BV$7,BU$7,IF(CT29&lt;=BV$8,BU$8,IF(CT29&lt;=BV$9,BU$9,IF(CT29&lt;=BV$14,BU$14,IF(CT29&lt;=BV$15,BU$15,IF(CT29&lt;=BV$16,BU$16,0.05)))))))</f>
        <v>0.18</v>
      </c>
      <c r="DE29" s="971">
        <f t="shared" si="21"/>
        <v>7488</v>
      </c>
      <c r="DF29" s="972"/>
      <c r="DG29" s="973">
        <f t="shared" ref="DG29:DG51" si="33">IF(CW29&lt;=BY$6,BX$6,IF(CW29&lt;=BY$7,BX$7,IF(CW29&lt;=BY$8,BX$8,IF(CW29&lt;=BY$9,BX$9,IF(CW29&lt;=BY$14,BX$14,IF(CW29&lt;=BY$15,BX$15,IF(CW29&lt;=BY$16,BX$16,0.05)))))))</f>
        <v>-5.5E-2</v>
      </c>
      <c r="DH29" s="971">
        <f t="shared" si="22"/>
        <v>-2200</v>
      </c>
      <c r="DJ29" s="598">
        <f t="shared" si="23"/>
        <v>3282.1600000000003</v>
      </c>
      <c r="DL29" s="598">
        <f t="shared" si="24"/>
        <v>50170.16</v>
      </c>
      <c r="DM29" s="599">
        <f t="shared" si="25"/>
        <v>6888</v>
      </c>
      <c r="DN29" s="972">
        <f t="shared" si="26"/>
        <v>0.13729276526126286</v>
      </c>
    </row>
    <row r="30" spans="1:118" s="585" customFormat="1" ht="16.2" thickBot="1">
      <c r="A30" s="647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173" t="s">
        <v>729</v>
      </c>
      <c r="N30" s="1330">
        <f>SUM(O28,Q28)</f>
        <v>0</v>
      </c>
      <c r="O30" s="1340" t="s">
        <v>891</v>
      </c>
      <c r="P30" s="1340" t="s">
        <v>889</v>
      </c>
      <c r="Q30" s="1340" t="s">
        <v>892</v>
      </c>
      <c r="S30" s="1002"/>
      <c r="T30" s="1002"/>
      <c r="U30" s="1002"/>
      <c r="V30" s="1002"/>
      <c r="AX30" s="971">
        <v>21000</v>
      </c>
      <c r="AY30" s="971"/>
      <c r="AZ30" s="971"/>
      <c r="BA30" s="971">
        <f t="shared" si="5"/>
        <v>21000</v>
      </c>
      <c r="BB30" s="971"/>
      <c r="BC30" s="971"/>
      <c r="BD30" s="971">
        <f t="shared" si="6"/>
        <v>42000</v>
      </c>
      <c r="BE30" s="971"/>
      <c r="BF30" s="971"/>
      <c r="BG30" s="971">
        <f t="shared" si="7"/>
        <v>42000</v>
      </c>
      <c r="BH30" s="972" t="e">
        <f>IF(AX30&lt;=#REF!,#REF!,IF(AX30&lt;=#REF!,#REF!,IF(AX30&lt;=#REF!,#REF!,IF(AX30&lt;=#REF!,#REF!,IF(AX30&lt;=#REF!,#REF!,IF(AX30&lt;=#REF!,#REF!,IF(AX30&lt;=#REF!,#REF!,0.05)))))))</f>
        <v>#REF!</v>
      </c>
      <c r="BI30" s="971" t="e">
        <f t="shared" si="8"/>
        <v>#REF!</v>
      </c>
      <c r="BJ30" s="972"/>
      <c r="BK30" s="972" t="e">
        <f>IF(BA30&lt;=#REF!,#REF!,IF(BA30&lt;=#REF!,#REF!,IF(BA30&lt;=#REF!,#REF!,IF(BA30&lt;=#REF!,#REF!,IF(BA30&lt;=#REF!,#REF!,IF(BA30&lt;=#REF!,#REF!,IF(BA30&lt;=#REF!,#REF!,0.05)))))))</f>
        <v>#REF!</v>
      </c>
      <c r="BL30" s="971" t="e">
        <f t="shared" si="9"/>
        <v>#REF!</v>
      </c>
      <c r="BM30" s="972"/>
      <c r="BN30" s="972" t="e">
        <f>IF(BD30&lt;=#REF!,#REF!,IF(BD30&lt;=#REF!,#REF!,IF(BD30&lt;=#REF!,#REF!,IF(BD30&lt;=#REF!,#REF!,IF(BD30&lt;=#REF!,#REF!,IF(BD30&lt;=#REF!,#REF!,IF(BD30&lt;=#REF!,#REF!,0.05)))))))</f>
        <v>#REF!</v>
      </c>
      <c r="BO30" s="971" t="e">
        <f t="shared" si="10"/>
        <v>#REF!</v>
      </c>
      <c r="BP30" s="972"/>
      <c r="BQ30" s="973" t="e">
        <f>IF(BG30&lt;=#REF!,#REF!,IF(BG30&lt;=#REF!,#REF!,IF(BG30&lt;=#REF!,#REF!,IF(BG30&lt;=#REF!,#REF!,IF(BG30&lt;=#REF!,#REF!,IF(BG30&lt;=#REF!,#REF!,IF(BG30&lt;=#REF!,#REF!,0.05)))))))</f>
        <v>#REF!</v>
      </c>
      <c r="BR30" s="971" t="e">
        <f t="shared" si="11"/>
        <v>#REF!</v>
      </c>
      <c r="BT30" s="598" t="e">
        <f t="shared" si="12"/>
        <v>#REF!</v>
      </c>
      <c r="BV30" s="598" t="e">
        <f t="shared" si="13"/>
        <v>#REF!</v>
      </c>
      <c r="BW30" s="599" t="e">
        <f t="shared" si="14"/>
        <v>#REF!</v>
      </c>
      <c r="BX30" s="972" t="e">
        <f t="shared" si="15"/>
        <v>#REF!</v>
      </c>
      <c r="CN30" s="971">
        <v>21000</v>
      </c>
      <c r="CO30" s="971"/>
      <c r="CP30" s="971"/>
      <c r="CQ30" s="971">
        <f t="shared" si="16"/>
        <v>21000</v>
      </c>
      <c r="CR30" s="971"/>
      <c r="CS30" s="971"/>
      <c r="CT30" s="971">
        <f t="shared" si="17"/>
        <v>42000</v>
      </c>
      <c r="CU30" s="971"/>
      <c r="CV30" s="971"/>
      <c r="CW30" s="971">
        <f t="shared" si="18"/>
        <v>42000</v>
      </c>
      <c r="CX30" s="972">
        <f t="shared" si="30"/>
        <v>0.05</v>
      </c>
      <c r="CY30" s="971">
        <f t="shared" si="19"/>
        <v>1050</v>
      </c>
      <c r="CZ30" s="972"/>
      <c r="DA30" s="972">
        <f t="shared" si="31"/>
        <v>0.03</v>
      </c>
      <c r="DB30" s="971">
        <f t="shared" si="20"/>
        <v>630</v>
      </c>
      <c r="DC30" s="972"/>
      <c r="DD30" s="972">
        <f t="shared" si="32"/>
        <v>0.18</v>
      </c>
      <c r="DE30" s="971">
        <f t="shared" si="21"/>
        <v>7862.4</v>
      </c>
      <c r="DF30" s="972"/>
      <c r="DG30" s="973">
        <f t="shared" si="33"/>
        <v>-5.5E-2</v>
      </c>
      <c r="DH30" s="971">
        <f t="shared" si="22"/>
        <v>-2310</v>
      </c>
      <c r="DJ30" s="598">
        <f t="shared" si="23"/>
        <v>3446.2680000000005</v>
      </c>
      <c r="DL30" s="598">
        <f t="shared" si="24"/>
        <v>52678.667999999998</v>
      </c>
      <c r="DM30" s="599">
        <f t="shared" si="25"/>
        <v>7232.4</v>
      </c>
      <c r="DN30" s="972">
        <f t="shared" si="26"/>
        <v>0.13729276526126286</v>
      </c>
    </row>
    <row r="31" spans="1:118" s="585" customFormat="1" ht="16.2" thickBot="1">
      <c r="A31" s="647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N31" s="747" t="e">
        <f>N30/M28</f>
        <v>#DIV/0!</v>
      </c>
      <c r="O31" s="747" t="e">
        <f>O28/M28</f>
        <v>#DIV/0!</v>
      </c>
      <c r="P31" s="747" t="e">
        <f>P28/M28</f>
        <v>#DIV/0!</v>
      </c>
      <c r="Q31" s="747" t="e">
        <f>Q28/M28</f>
        <v>#DIV/0!</v>
      </c>
      <c r="S31" s="1007"/>
      <c r="T31" s="1002"/>
      <c r="U31" s="1002"/>
      <c r="V31" s="1002"/>
      <c r="AX31" s="971">
        <v>22000</v>
      </c>
      <c r="AY31" s="971"/>
      <c r="AZ31" s="971"/>
      <c r="BA31" s="971">
        <f t="shared" si="5"/>
        <v>22000</v>
      </c>
      <c r="BB31" s="971"/>
      <c r="BC31" s="971"/>
      <c r="BD31" s="971">
        <f t="shared" si="6"/>
        <v>44000</v>
      </c>
      <c r="BE31" s="971"/>
      <c r="BF31" s="971"/>
      <c r="BG31" s="971">
        <f t="shared" si="7"/>
        <v>44000</v>
      </c>
      <c r="BH31" s="972" t="e">
        <f>IF(AX31&lt;=#REF!,#REF!,IF(AX31&lt;=#REF!,#REF!,IF(AX31&lt;=#REF!,#REF!,IF(AX31&lt;=#REF!,#REF!,IF(AX31&lt;=#REF!,#REF!,IF(AX31&lt;=#REF!,#REF!,IF(AX31&lt;=#REF!,#REF!,0.05)))))))</f>
        <v>#REF!</v>
      </c>
      <c r="BI31" s="971" t="e">
        <f t="shared" si="8"/>
        <v>#REF!</v>
      </c>
      <c r="BJ31" s="972"/>
      <c r="BK31" s="972" t="e">
        <f>IF(BA31&lt;=#REF!,#REF!,IF(BA31&lt;=#REF!,#REF!,IF(BA31&lt;=#REF!,#REF!,IF(BA31&lt;=#REF!,#REF!,IF(BA31&lt;=#REF!,#REF!,IF(BA31&lt;=#REF!,#REF!,IF(BA31&lt;=#REF!,#REF!,0.05)))))))</f>
        <v>#REF!</v>
      </c>
      <c r="BL31" s="971" t="e">
        <f t="shared" si="9"/>
        <v>#REF!</v>
      </c>
      <c r="BM31" s="972"/>
      <c r="BN31" s="972" t="e">
        <f>IF(BD31&lt;=#REF!,#REF!,IF(BD31&lt;=#REF!,#REF!,IF(BD31&lt;=#REF!,#REF!,IF(BD31&lt;=#REF!,#REF!,IF(BD31&lt;=#REF!,#REF!,IF(BD31&lt;=#REF!,#REF!,IF(BD31&lt;=#REF!,#REF!,0.05)))))))</f>
        <v>#REF!</v>
      </c>
      <c r="BO31" s="971" t="e">
        <f t="shared" si="10"/>
        <v>#REF!</v>
      </c>
      <c r="BP31" s="972"/>
      <c r="BQ31" s="973" t="e">
        <f>IF(BG31&lt;=#REF!,#REF!,IF(BG31&lt;=#REF!,#REF!,IF(BG31&lt;=#REF!,#REF!,IF(BG31&lt;=#REF!,#REF!,IF(BG31&lt;=#REF!,#REF!,IF(BG31&lt;=#REF!,#REF!,IF(BG31&lt;=#REF!,#REF!,0.05)))))))</f>
        <v>#REF!</v>
      </c>
      <c r="BR31" s="971" t="e">
        <f t="shared" si="11"/>
        <v>#REF!</v>
      </c>
      <c r="BT31" s="598" t="e">
        <f t="shared" si="12"/>
        <v>#REF!</v>
      </c>
      <c r="BV31" s="598" t="e">
        <f t="shared" si="13"/>
        <v>#REF!</v>
      </c>
      <c r="BW31" s="599" t="e">
        <f t="shared" si="14"/>
        <v>#REF!</v>
      </c>
      <c r="BX31" s="972" t="e">
        <f t="shared" si="15"/>
        <v>#REF!</v>
      </c>
      <c r="CN31" s="971">
        <v>22000</v>
      </c>
      <c r="CO31" s="971"/>
      <c r="CP31" s="971"/>
      <c r="CQ31" s="971">
        <f t="shared" si="16"/>
        <v>22000</v>
      </c>
      <c r="CR31" s="971"/>
      <c r="CS31" s="971"/>
      <c r="CT31" s="971">
        <f t="shared" si="17"/>
        <v>44000</v>
      </c>
      <c r="CU31" s="971"/>
      <c r="CV31" s="971"/>
      <c r="CW31" s="971">
        <f t="shared" si="18"/>
        <v>44000</v>
      </c>
      <c r="CX31" s="972">
        <f t="shared" si="30"/>
        <v>0.05</v>
      </c>
      <c r="CY31" s="971">
        <f t="shared" si="19"/>
        <v>1100</v>
      </c>
      <c r="CZ31" s="972"/>
      <c r="DA31" s="972">
        <f t="shared" si="31"/>
        <v>0.03</v>
      </c>
      <c r="DB31" s="971">
        <f t="shared" si="20"/>
        <v>660</v>
      </c>
      <c r="DC31" s="972"/>
      <c r="DD31" s="972">
        <f t="shared" si="32"/>
        <v>0.18</v>
      </c>
      <c r="DE31" s="971">
        <f t="shared" si="21"/>
        <v>8236.7999999999993</v>
      </c>
      <c r="DF31" s="972"/>
      <c r="DG31" s="973">
        <f t="shared" si="33"/>
        <v>-5.5E-2</v>
      </c>
      <c r="DH31" s="971">
        <f t="shared" si="22"/>
        <v>-2420</v>
      </c>
      <c r="DJ31" s="598">
        <f t="shared" si="23"/>
        <v>3610.3760000000007</v>
      </c>
      <c r="DL31" s="598">
        <f t="shared" si="24"/>
        <v>55187.175999999999</v>
      </c>
      <c r="DM31" s="599">
        <f t="shared" si="25"/>
        <v>7576.7999999999993</v>
      </c>
      <c r="DN31" s="972">
        <f t="shared" si="26"/>
        <v>0.13729276526126286</v>
      </c>
    </row>
    <row r="32" spans="1:118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S32" s="600"/>
      <c r="T32" s="600"/>
      <c r="U32" s="600"/>
      <c r="V32" s="600"/>
      <c r="AX32" s="971">
        <v>23000</v>
      </c>
      <c r="AY32" s="971"/>
      <c r="AZ32" s="971"/>
      <c r="BA32" s="971">
        <f t="shared" si="5"/>
        <v>23000</v>
      </c>
      <c r="BB32" s="971"/>
      <c r="BC32" s="971"/>
      <c r="BD32" s="971">
        <f t="shared" si="6"/>
        <v>46000</v>
      </c>
      <c r="BE32" s="971"/>
      <c r="BF32" s="971"/>
      <c r="BG32" s="971">
        <f t="shared" si="7"/>
        <v>46000</v>
      </c>
      <c r="BH32" s="972" t="e">
        <f>IF(AX32&lt;=#REF!,#REF!,IF(AX32&lt;=#REF!,#REF!,IF(AX32&lt;=#REF!,#REF!,IF(AX32&lt;=#REF!,#REF!,IF(AX32&lt;=#REF!,#REF!,IF(AX32&lt;=#REF!,#REF!,IF(AX32&lt;=#REF!,#REF!,0.05)))))))</f>
        <v>#REF!</v>
      </c>
      <c r="BI32" s="971" t="e">
        <f t="shared" si="8"/>
        <v>#REF!</v>
      </c>
      <c r="BJ32" s="972"/>
      <c r="BK32" s="972" t="e">
        <f>IF(BA32&lt;=#REF!,#REF!,IF(BA32&lt;=#REF!,#REF!,IF(BA32&lt;=#REF!,#REF!,IF(BA32&lt;=#REF!,#REF!,IF(BA32&lt;=#REF!,#REF!,IF(BA32&lt;=#REF!,#REF!,IF(BA32&lt;=#REF!,#REF!,0.05)))))))</f>
        <v>#REF!</v>
      </c>
      <c r="BL32" s="971" t="e">
        <f t="shared" si="9"/>
        <v>#REF!</v>
      </c>
      <c r="BM32" s="972"/>
      <c r="BN32" s="972" t="e">
        <f>IF(BD32&lt;=#REF!,#REF!,IF(BD32&lt;=#REF!,#REF!,IF(BD32&lt;=#REF!,#REF!,IF(BD32&lt;=#REF!,#REF!,IF(BD32&lt;=#REF!,#REF!,IF(BD32&lt;=#REF!,#REF!,IF(BD32&lt;=#REF!,#REF!,0.05)))))))</f>
        <v>#REF!</v>
      </c>
      <c r="BO32" s="971" t="e">
        <f t="shared" si="10"/>
        <v>#REF!</v>
      </c>
      <c r="BP32" s="972"/>
      <c r="BQ32" s="973" t="e">
        <f>IF(BG32&lt;=#REF!,#REF!,IF(BG32&lt;=#REF!,#REF!,IF(BG32&lt;=#REF!,#REF!,IF(BG32&lt;=#REF!,#REF!,IF(BG32&lt;=#REF!,#REF!,IF(BG32&lt;=#REF!,#REF!,IF(BG32&lt;=#REF!,#REF!,0.05)))))))</f>
        <v>#REF!</v>
      </c>
      <c r="BR32" s="971" t="e">
        <f t="shared" si="11"/>
        <v>#REF!</v>
      </c>
      <c r="BT32" s="598" t="e">
        <f t="shared" si="12"/>
        <v>#REF!</v>
      </c>
      <c r="BV32" s="598" t="e">
        <f t="shared" si="13"/>
        <v>#REF!</v>
      </c>
      <c r="BW32" s="599" t="e">
        <f t="shared" si="14"/>
        <v>#REF!</v>
      </c>
      <c r="BX32" s="972" t="e">
        <f t="shared" si="15"/>
        <v>#REF!</v>
      </c>
      <c r="CN32" s="971">
        <v>23000</v>
      </c>
      <c r="CO32" s="971"/>
      <c r="CP32" s="971"/>
      <c r="CQ32" s="971">
        <f t="shared" si="16"/>
        <v>23000</v>
      </c>
      <c r="CR32" s="971"/>
      <c r="CS32" s="971"/>
      <c r="CT32" s="971">
        <f t="shared" si="17"/>
        <v>46000</v>
      </c>
      <c r="CU32" s="971"/>
      <c r="CV32" s="971"/>
      <c r="CW32" s="971">
        <f t="shared" si="18"/>
        <v>46000</v>
      </c>
      <c r="CX32" s="972">
        <f t="shared" si="30"/>
        <v>0.05</v>
      </c>
      <c r="CY32" s="971">
        <f t="shared" si="19"/>
        <v>1150</v>
      </c>
      <c r="CZ32" s="972"/>
      <c r="DA32" s="972">
        <f t="shared" si="31"/>
        <v>0.03</v>
      </c>
      <c r="DB32" s="971">
        <f t="shared" si="20"/>
        <v>690</v>
      </c>
      <c r="DC32" s="972"/>
      <c r="DD32" s="972">
        <f t="shared" si="32"/>
        <v>0.18</v>
      </c>
      <c r="DE32" s="971">
        <f t="shared" si="21"/>
        <v>8611.1999999999989</v>
      </c>
      <c r="DF32" s="972"/>
      <c r="DG32" s="973">
        <f t="shared" si="33"/>
        <v>-0.06</v>
      </c>
      <c r="DH32" s="971">
        <f t="shared" si="22"/>
        <v>-2760</v>
      </c>
      <c r="DJ32" s="598">
        <f t="shared" si="23"/>
        <v>3758.384</v>
      </c>
      <c r="DL32" s="598">
        <f t="shared" si="24"/>
        <v>57449.584000000003</v>
      </c>
      <c r="DM32" s="599">
        <f t="shared" si="25"/>
        <v>7691.1999999999989</v>
      </c>
      <c r="DN32" s="972">
        <f t="shared" si="26"/>
        <v>0.13387738369001939</v>
      </c>
    </row>
    <row r="33" spans="1:118" s="585" customFormat="1" ht="16.2" thickBot="1">
      <c r="A33" s="647" t="s">
        <v>555</v>
      </c>
      <c r="B33" s="853">
        <f>((IF(G11=O52,P52,IF(G11=O54,P54))*H33)/2000)*(1+G19)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S33" s="620"/>
      <c r="T33" s="620"/>
      <c r="AX33" s="971">
        <v>24000</v>
      </c>
      <c r="AY33" s="971"/>
      <c r="AZ33" s="971"/>
      <c r="BA33" s="971">
        <f t="shared" si="5"/>
        <v>24000</v>
      </c>
      <c r="BB33" s="971"/>
      <c r="BC33" s="971"/>
      <c r="BD33" s="971">
        <f t="shared" si="6"/>
        <v>48000</v>
      </c>
      <c r="BE33" s="971"/>
      <c r="BF33" s="971"/>
      <c r="BG33" s="971">
        <f t="shared" si="7"/>
        <v>48000</v>
      </c>
      <c r="BH33" s="972" t="e">
        <f>IF(AX33&lt;=#REF!,#REF!,IF(AX33&lt;=#REF!,#REF!,IF(AX33&lt;=#REF!,#REF!,IF(AX33&lt;=#REF!,#REF!,IF(AX33&lt;=#REF!,#REF!,IF(AX33&lt;=#REF!,#REF!,IF(AX33&lt;=#REF!,#REF!,0.05)))))))</f>
        <v>#REF!</v>
      </c>
      <c r="BI33" s="971" t="e">
        <f t="shared" si="8"/>
        <v>#REF!</v>
      </c>
      <c r="BJ33" s="972"/>
      <c r="BK33" s="972" t="e">
        <f>IF(BA33&lt;=#REF!,#REF!,IF(BA33&lt;=#REF!,#REF!,IF(BA33&lt;=#REF!,#REF!,IF(BA33&lt;=#REF!,#REF!,IF(BA33&lt;=#REF!,#REF!,IF(BA33&lt;=#REF!,#REF!,IF(BA33&lt;=#REF!,#REF!,0.05)))))))</f>
        <v>#REF!</v>
      </c>
      <c r="BL33" s="971" t="e">
        <f t="shared" si="9"/>
        <v>#REF!</v>
      </c>
      <c r="BM33" s="972"/>
      <c r="BN33" s="972" t="e">
        <f>IF(BD33&lt;=#REF!,#REF!,IF(BD33&lt;=#REF!,#REF!,IF(BD33&lt;=#REF!,#REF!,IF(BD33&lt;=#REF!,#REF!,IF(BD33&lt;=#REF!,#REF!,IF(BD33&lt;=#REF!,#REF!,IF(BD33&lt;=#REF!,#REF!,0.05)))))))</f>
        <v>#REF!</v>
      </c>
      <c r="BO33" s="971" t="e">
        <f t="shared" si="10"/>
        <v>#REF!</v>
      </c>
      <c r="BP33" s="972"/>
      <c r="BQ33" s="973" t="e">
        <f>IF(BG33&lt;=#REF!,#REF!,IF(BG33&lt;=#REF!,#REF!,IF(BG33&lt;=#REF!,#REF!,IF(BG33&lt;=#REF!,#REF!,IF(BG33&lt;=#REF!,#REF!,IF(BG33&lt;=#REF!,#REF!,IF(BG33&lt;=#REF!,#REF!,0.05)))))))</f>
        <v>#REF!</v>
      </c>
      <c r="BR33" s="971" t="e">
        <f t="shared" si="11"/>
        <v>#REF!</v>
      </c>
      <c r="BT33" s="598" t="e">
        <f t="shared" si="12"/>
        <v>#REF!</v>
      </c>
      <c r="BV33" s="598" t="e">
        <f t="shared" si="13"/>
        <v>#REF!</v>
      </c>
      <c r="BW33" s="599" t="e">
        <f t="shared" si="14"/>
        <v>#REF!</v>
      </c>
      <c r="BX33" s="972" t="e">
        <f t="shared" si="15"/>
        <v>#REF!</v>
      </c>
      <c r="CN33" s="971">
        <v>24000</v>
      </c>
      <c r="CO33" s="971"/>
      <c r="CP33" s="971"/>
      <c r="CQ33" s="971">
        <f t="shared" si="16"/>
        <v>24000</v>
      </c>
      <c r="CR33" s="971"/>
      <c r="CS33" s="971"/>
      <c r="CT33" s="971">
        <f t="shared" si="17"/>
        <v>48000</v>
      </c>
      <c r="CU33" s="971"/>
      <c r="CV33" s="971"/>
      <c r="CW33" s="971">
        <f t="shared" si="18"/>
        <v>48000</v>
      </c>
      <c r="CX33" s="972">
        <f t="shared" si="30"/>
        <v>0.05</v>
      </c>
      <c r="CY33" s="971">
        <f t="shared" si="19"/>
        <v>1200</v>
      </c>
      <c r="CZ33" s="972"/>
      <c r="DA33" s="972">
        <f t="shared" si="31"/>
        <v>0.03</v>
      </c>
      <c r="DB33" s="971">
        <f t="shared" si="20"/>
        <v>720</v>
      </c>
      <c r="DC33" s="972"/>
      <c r="DD33" s="972">
        <f t="shared" si="32"/>
        <v>0.18</v>
      </c>
      <c r="DE33" s="971">
        <f t="shared" si="21"/>
        <v>8985.6</v>
      </c>
      <c r="DF33" s="972"/>
      <c r="DG33" s="973">
        <f t="shared" si="33"/>
        <v>-0.06</v>
      </c>
      <c r="DH33" s="971">
        <f t="shared" si="22"/>
        <v>-2880</v>
      </c>
      <c r="DJ33" s="598">
        <f t="shared" si="23"/>
        <v>3921.7920000000004</v>
      </c>
      <c r="DL33" s="598">
        <f t="shared" si="24"/>
        <v>59947.392</v>
      </c>
      <c r="DM33" s="599">
        <f t="shared" si="25"/>
        <v>8025.6</v>
      </c>
      <c r="DN33" s="972">
        <f t="shared" si="26"/>
        <v>0.13387738369001942</v>
      </c>
    </row>
    <row r="34" spans="1:118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R34" s="593"/>
      <c r="S34" s="593"/>
      <c r="T34" s="593"/>
      <c r="AX34" s="971">
        <v>25000</v>
      </c>
      <c r="AY34" s="971"/>
      <c r="AZ34" s="971"/>
      <c r="BA34" s="971">
        <f t="shared" si="5"/>
        <v>25000</v>
      </c>
      <c r="BB34" s="971"/>
      <c r="BC34" s="971"/>
      <c r="BD34" s="971">
        <f t="shared" si="6"/>
        <v>50000</v>
      </c>
      <c r="BE34" s="971"/>
      <c r="BF34" s="971"/>
      <c r="BG34" s="971">
        <f t="shared" si="7"/>
        <v>50000</v>
      </c>
      <c r="BH34" s="972" t="e">
        <f>IF(AX34&lt;=#REF!,#REF!,IF(AX34&lt;=#REF!,#REF!,IF(AX34&lt;=#REF!,#REF!,IF(AX34&lt;=#REF!,#REF!,IF(AX34&lt;=#REF!,#REF!,IF(AX34&lt;=#REF!,#REF!,IF(AX34&lt;=#REF!,#REF!,0.05)))))))</f>
        <v>#REF!</v>
      </c>
      <c r="BI34" s="971" t="e">
        <f t="shared" si="8"/>
        <v>#REF!</v>
      </c>
      <c r="BJ34" s="972"/>
      <c r="BK34" s="972" t="e">
        <f>IF(BA34&lt;=#REF!,#REF!,IF(BA34&lt;=#REF!,#REF!,IF(BA34&lt;=#REF!,#REF!,IF(BA34&lt;=#REF!,#REF!,IF(BA34&lt;=#REF!,#REF!,IF(BA34&lt;=#REF!,#REF!,IF(BA34&lt;=#REF!,#REF!,0.05)))))))</f>
        <v>#REF!</v>
      </c>
      <c r="BL34" s="971" t="e">
        <f t="shared" si="9"/>
        <v>#REF!</v>
      </c>
      <c r="BM34" s="972"/>
      <c r="BN34" s="972" t="e">
        <f>IF(BD34&lt;=#REF!,#REF!,IF(BD34&lt;=#REF!,#REF!,IF(BD34&lt;=#REF!,#REF!,IF(BD34&lt;=#REF!,#REF!,IF(BD34&lt;=#REF!,#REF!,IF(BD34&lt;=#REF!,#REF!,IF(BD34&lt;=#REF!,#REF!,0.05)))))))</f>
        <v>#REF!</v>
      </c>
      <c r="BO34" s="971" t="e">
        <f t="shared" si="10"/>
        <v>#REF!</v>
      </c>
      <c r="BP34" s="972"/>
      <c r="BQ34" s="973" t="e">
        <f>IF(BG34&lt;=#REF!,#REF!,IF(BG34&lt;=#REF!,#REF!,IF(BG34&lt;=#REF!,#REF!,IF(BG34&lt;=#REF!,#REF!,IF(BG34&lt;=#REF!,#REF!,IF(BG34&lt;=#REF!,#REF!,IF(BG34&lt;=#REF!,#REF!,0.05)))))))</f>
        <v>#REF!</v>
      </c>
      <c r="BR34" s="971" t="e">
        <f t="shared" si="11"/>
        <v>#REF!</v>
      </c>
      <c r="BT34" s="598" t="e">
        <f t="shared" si="12"/>
        <v>#REF!</v>
      </c>
      <c r="BV34" s="598" t="e">
        <f t="shared" si="13"/>
        <v>#REF!</v>
      </c>
      <c r="BW34" s="599" t="e">
        <f t="shared" si="14"/>
        <v>#REF!</v>
      </c>
      <c r="BX34" s="972" t="e">
        <f t="shared" si="15"/>
        <v>#REF!</v>
      </c>
      <c r="CN34" s="971">
        <v>25000</v>
      </c>
      <c r="CO34" s="971"/>
      <c r="CP34" s="971"/>
      <c r="CQ34" s="971">
        <f t="shared" si="16"/>
        <v>25000</v>
      </c>
      <c r="CR34" s="971"/>
      <c r="CS34" s="971"/>
      <c r="CT34" s="971">
        <f t="shared" si="17"/>
        <v>50000</v>
      </c>
      <c r="CU34" s="971"/>
      <c r="CV34" s="971"/>
      <c r="CW34" s="971">
        <f t="shared" si="18"/>
        <v>50000</v>
      </c>
      <c r="CX34" s="972">
        <f t="shared" si="30"/>
        <v>0.05</v>
      </c>
      <c r="CY34" s="971">
        <f t="shared" si="19"/>
        <v>1250</v>
      </c>
      <c r="CZ34" s="972"/>
      <c r="DA34" s="972">
        <f t="shared" si="31"/>
        <v>0.03</v>
      </c>
      <c r="DB34" s="971">
        <f t="shared" si="20"/>
        <v>750</v>
      </c>
      <c r="DC34" s="972"/>
      <c r="DD34" s="972">
        <f t="shared" si="32"/>
        <v>0.18</v>
      </c>
      <c r="DE34" s="971">
        <f t="shared" si="21"/>
        <v>9360</v>
      </c>
      <c r="DF34" s="972"/>
      <c r="DG34" s="973">
        <f t="shared" si="33"/>
        <v>-0.06</v>
      </c>
      <c r="DH34" s="971">
        <f t="shared" si="22"/>
        <v>-3000</v>
      </c>
      <c r="DJ34" s="598">
        <f t="shared" si="23"/>
        <v>4085.2000000000003</v>
      </c>
      <c r="DL34" s="598">
        <f t="shared" si="24"/>
        <v>62445.2</v>
      </c>
      <c r="DM34" s="599">
        <f t="shared" si="25"/>
        <v>8360</v>
      </c>
      <c r="DN34" s="972">
        <f t="shared" si="26"/>
        <v>0.13387738369001942</v>
      </c>
    </row>
    <row r="35" spans="1:118" s="585" customFormat="1">
      <c r="A35" s="641" t="s">
        <v>649</v>
      </c>
      <c r="B35" s="1560" t="s">
        <v>1046</v>
      </c>
      <c r="C35" s="679"/>
      <c r="D35" s="679"/>
      <c r="E35" s="680"/>
      <c r="F35" s="600"/>
      <c r="G35" s="600"/>
      <c r="S35" s="600"/>
      <c r="T35" s="600"/>
      <c r="AX35" s="971">
        <v>26000</v>
      </c>
      <c r="AY35" s="971"/>
      <c r="AZ35" s="971"/>
      <c r="BA35" s="971">
        <f t="shared" si="5"/>
        <v>26000</v>
      </c>
      <c r="BB35" s="971"/>
      <c r="BC35" s="971"/>
      <c r="BD35" s="971">
        <f t="shared" ref="BD35:BD51" si="34">AX35+BA35</f>
        <v>52000</v>
      </c>
      <c r="BE35" s="971"/>
      <c r="BF35" s="971"/>
      <c r="BG35" s="971">
        <f t="shared" ref="BG35:BG51" si="35">BD35</f>
        <v>52000</v>
      </c>
      <c r="BH35" s="972" t="e">
        <f>IF(AX35&lt;=#REF!,#REF!,IF(AX35&lt;=#REF!,#REF!,IF(AX35&lt;=#REF!,#REF!,IF(AX35&lt;=#REF!,#REF!,IF(AX35&lt;=#REF!,#REF!,IF(AX35&lt;=#REF!,#REF!,IF(AX35&lt;=#REF!,#REF!,0.05)))))))</f>
        <v>#REF!</v>
      </c>
      <c r="BI35" s="971" t="e">
        <f t="shared" ref="BI35:BI51" si="36">BH35*AX35</f>
        <v>#REF!</v>
      </c>
      <c r="BJ35" s="972"/>
      <c r="BK35" s="972" t="e">
        <f>IF(BA35&lt;=#REF!,#REF!,IF(BA35&lt;=#REF!,#REF!,IF(BA35&lt;=#REF!,#REF!,IF(BA35&lt;=#REF!,#REF!,IF(BA35&lt;=#REF!,#REF!,IF(BA35&lt;=#REF!,#REF!,IF(BA35&lt;=#REF!,#REF!,0.05)))))))</f>
        <v>#REF!</v>
      </c>
      <c r="BL35" s="971" t="e">
        <f t="shared" ref="BL35:BL51" si="37">BK35*BA35</f>
        <v>#REF!</v>
      </c>
      <c r="BM35" s="972"/>
      <c r="BN35" s="972" t="e">
        <f>IF(BD35&lt;=#REF!,#REF!,IF(BD35&lt;=#REF!,#REF!,IF(BD35&lt;=#REF!,#REF!,IF(BD35&lt;=#REF!,#REF!,IF(BD35&lt;=#REF!,#REF!,IF(BD35&lt;=#REF!,#REF!,IF(BD35&lt;=#REF!,#REF!,0.05)))))))</f>
        <v>#REF!</v>
      </c>
      <c r="BO35" s="971" t="e">
        <f t="shared" ref="BO35:BO51" si="38">BN35*SUM(BL35,BI35,BD35)</f>
        <v>#REF!</v>
      </c>
      <c r="BP35" s="972"/>
      <c r="BQ35" s="973" t="e">
        <f>IF(BG35&lt;=#REF!,#REF!,IF(BG35&lt;=#REF!,#REF!,IF(BG35&lt;=#REF!,#REF!,IF(BG35&lt;=#REF!,#REF!,IF(BG35&lt;=#REF!,#REF!,IF(BG35&lt;=#REF!,#REF!,IF(BG35&lt;=#REF!,#REF!,0.05)))))))</f>
        <v>#REF!</v>
      </c>
      <c r="BR35" s="971" t="e">
        <f t="shared" ref="BR35:BR51" si="39">BQ35*BG35</f>
        <v>#REF!</v>
      </c>
      <c r="BT35" s="598" t="e">
        <f t="shared" ref="BT35:BT51" si="40">0.07*SUM(BD35,BI35,BL35,BO35,BR35)</f>
        <v>#REF!</v>
      </c>
      <c r="BV35" s="598" t="e">
        <f t="shared" ref="BV35:BV51" si="41">SUM(BT35,BR35,BO35,BL35,BI35,BD35)</f>
        <v>#REF!</v>
      </c>
      <c r="BW35" s="599" t="e">
        <f t="shared" ref="BW35:BW51" si="42">SUM(BR35,BO35,BL35,BI35)</f>
        <v>#REF!</v>
      </c>
      <c r="BX35" s="972" t="e">
        <f t="shared" ref="BX35:BX51" si="43">BW35/BV35</f>
        <v>#REF!</v>
      </c>
      <c r="CN35" s="971">
        <v>26000</v>
      </c>
      <c r="CO35" s="971"/>
      <c r="CP35" s="971"/>
      <c r="CQ35" s="971">
        <f t="shared" si="16"/>
        <v>26000</v>
      </c>
      <c r="CR35" s="971"/>
      <c r="CS35" s="971"/>
      <c r="CT35" s="971">
        <f t="shared" si="17"/>
        <v>52000</v>
      </c>
      <c r="CU35" s="971"/>
      <c r="CV35" s="971"/>
      <c r="CW35" s="971">
        <f t="shared" si="18"/>
        <v>52000</v>
      </c>
      <c r="CX35" s="972">
        <f t="shared" si="30"/>
        <v>0.05</v>
      </c>
      <c r="CY35" s="971">
        <f t="shared" si="19"/>
        <v>1300</v>
      </c>
      <c r="CZ35" s="972"/>
      <c r="DA35" s="972">
        <f t="shared" si="31"/>
        <v>0.03</v>
      </c>
      <c r="DB35" s="971">
        <f t="shared" si="20"/>
        <v>780</v>
      </c>
      <c r="DC35" s="972"/>
      <c r="DD35" s="972">
        <f t="shared" si="32"/>
        <v>0.18</v>
      </c>
      <c r="DE35" s="971">
        <f t="shared" si="21"/>
        <v>9734.4</v>
      </c>
      <c r="DF35" s="972"/>
      <c r="DG35" s="973">
        <f t="shared" si="33"/>
        <v>-0.06</v>
      </c>
      <c r="DH35" s="971">
        <f t="shared" si="22"/>
        <v>-3120</v>
      </c>
      <c r="DJ35" s="598">
        <f t="shared" si="23"/>
        <v>4248.6080000000002</v>
      </c>
      <c r="DL35" s="598">
        <f t="shared" si="24"/>
        <v>64943.008000000002</v>
      </c>
      <c r="DM35" s="599">
        <f t="shared" si="25"/>
        <v>8694.4</v>
      </c>
      <c r="DN35" s="972">
        <f t="shared" si="26"/>
        <v>0.13387738369001939</v>
      </c>
    </row>
    <row r="36" spans="1:118" s="585" customFormat="1">
      <c r="A36" s="1708" t="s">
        <v>723</v>
      </c>
      <c r="B36" s="1009">
        <f>ROUNDUP(IF(A36=N37,(F24/P37),IF(A36=N38,(F24/P38),IF(A36=N39,(F24/P39),IF(A36=N42,(F24/P42),IF(A36=N43,(F24/P43),IF(A36=N44,(F24/P44),"none"))))))*(1+G20),0)</f>
        <v>0</v>
      </c>
      <c r="C36" s="679" t="s">
        <v>553</v>
      </c>
      <c r="D36" s="629">
        <f>IF(A36=N37,(O37),IF(A36=N38,(O38),IF(A36=N39,(O39),IF(A36=N42,(O42),IF(A36=N43,(O43),IF(A36=N44,(O44),"none"))))))</f>
        <v>199.8</v>
      </c>
      <c r="E36" s="648">
        <f>B36*D36</f>
        <v>0</v>
      </c>
      <c r="F36" s="948"/>
      <c r="G36" s="600"/>
      <c r="H36" s="1534">
        <v>448</v>
      </c>
      <c r="I36" s="1607" t="s">
        <v>1033</v>
      </c>
      <c r="J36" s="633" t="s">
        <v>994</v>
      </c>
      <c r="K36" s="852">
        <f>(ROUNDUP(SUM(E20:E26)*B40,0))</f>
        <v>0</v>
      </c>
      <c r="M36" s="1840"/>
      <c r="N36" s="1840" t="s">
        <v>1256</v>
      </c>
      <c r="O36" s="1010" t="s">
        <v>559</v>
      </c>
      <c r="P36" s="1010" t="s">
        <v>560</v>
      </c>
      <c r="Q36" s="1010" t="s">
        <v>561</v>
      </c>
      <c r="R36" s="1841" t="s">
        <v>1257</v>
      </c>
      <c r="S36" s="1841"/>
      <c r="AX36" s="971">
        <v>27000</v>
      </c>
      <c r="AY36" s="971"/>
      <c r="AZ36" s="971"/>
      <c r="BA36" s="971">
        <f t="shared" si="5"/>
        <v>27000</v>
      </c>
      <c r="BB36" s="971"/>
      <c r="BC36" s="971"/>
      <c r="BD36" s="971">
        <f t="shared" si="34"/>
        <v>54000</v>
      </c>
      <c r="BE36" s="971"/>
      <c r="BF36" s="971"/>
      <c r="BG36" s="971">
        <f t="shared" si="35"/>
        <v>54000</v>
      </c>
      <c r="BH36" s="972" t="e">
        <f>IF(AX36&lt;=#REF!,#REF!,IF(AX36&lt;=#REF!,#REF!,IF(AX36&lt;=#REF!,#REF!,IF(AX36&lt;=#REF!,#REF!,IF(AX36&lt;=#REF!,#REF!,IF(AX36&lt;=#REF!,#REF!,IF(AX36&lt;=#REF!,#REF!,0.05)))))))</f>
        <v>#REF!</v>
      </c>
      <c r="BI36" s="971" t="e">
        <f t="shared" si="36"/>
        <v>#REF!</v>
      </c>
      <c r="BJ36" s="972"/>
      <c r="BK36" s="972" t="e">
        <f>IF(BA36&lt;=#REF!,#REF!,IF(BA36&lt;=#REF!,#REF!,IF(BA36&lt;=#REF!,#REF!,IF(BA36&lt;=#REF!,#REF!,IF(BA36&lt;=#REF!,#REF!,IF(BA36&lt;=#REF!,#REF!,IF(BA36&lt;=#REF!,#REF!,0.05)))))))</f>
        <v>#REF!</v>
      </c>
      <c r="BL36" s="971" t="e">
        <f t="shared" si="37"/>
        <v>#REF!</v>
      </c>
      <c r="BM36" s="972"/>
      <c r="BN36" s="972" t="e">
        <f>IF(BD36&lt;=#REF!,#REF!,IF(BD36&lt;=#REF!,#REF!,IF(BD36&lt;=#REF!,#REF!,IF(BD36&lt;=#REF!,#REF!,IF(BD36&lt;=#REF!,#REF!,IF(BD36&lt;=#REF!,#REF!,IF(BD36&lt;=#REF!,#REF!,0.05)))))))</f>
        <v>#REF!</v>
      </c>
      <c r="BO36" s="971" t="e">
        <f t="shared" si="38"/>
        <v>#REF!</v>
      </c>
      <c r="BP36" s="972"/>
      <c r="BQ36" s="973" t="e">
        <f>IF(BG36&lt;=#REF!,#REF!,IF(BG36&lt;=#REF!,#REF!,IF(BG36&lt;=#REF!,#REF!,IF(BG36&lt;=#REF!,#REF!,IF(BG36&lt;=#REF!,#REF!,IF(BG36&lt;=#REF!,#REF!,IF(BG36&lt;=#REF!,#REF!,0.05)))))))</f>
        <v>#REF!</v>
      </c>
      <c r="BR36" s="971" t="e">
        <f t="shared" si="39"/>
        <v>#REF!</v>
      </c>
      <c r="BT36" s="598" t="e">
        <f t="shared" si="40"/>
        <v>#REF!</v>
      </c>
      <c r="BV36" s="598" t="e">
        <f t="shared" si="41"/>
        <v>#REF!</v>
      </c>
      <c r="BW36" s="599" t="e">
        <f t="shared" si="42"/>
        <v>#REF!</v>
      </c>
      <c r="BX36" s="972" t="e">
        <f t="shared" si="43"/>
        <v>#REF!</v>
      </c>
      <c r="CN36" s="971">
        <v>27000</v>
      </c>
      <c r="CO36" s="971"/>
      <c r="CP36" s="971"/>
      <c r="CQ36" s="971">
        <f t="shared" si="16"/>
        <v>27000</v>
      </c>
      <c r="CR36" s="971"/>
      <c r="CS36" s="971"/>
      <c r="CT36" s="971">
        <f t="shared" si="17"/>
        <v>54000</v>
      </c>
      <c r="CU36" s="971"/>
      <c r="CV36" s="971"/>
      <c r="CW36" s="971">
        <f t="shared" si="18"/>
        <v>54000</v>
      </c>
      <c r="CX36" s="972">
        <f t="shared" si="30"/>
        <v>0.05</v>
      </c>
      <c r="CY36" s="971">
        <f t="shared" si="19"/>
        <v>1350</v>
      </c>
      <c r="CZ36" s="972"/>
      <c r="DA36" s="972">
        <f t="shared" si="31"/>
        <v>0.03</v>
      </c>
      <c r="DB36" s="971">
        <f t="shared" si="20"/>
        <v>810</v>
      </c>
      <c r="DC36" s="972"/>
      <c r="DD36" s="972">
        <f t="shared" si="32"/>
        <v>0.18</v>
      </c>
      <c r="DE36" s="971">
        <f t="shared" si="21"/>
        <v>10108.799999999999</v>
      </c>
      <c r="DF36" s="972"/>
      <c r="DG36" s="973">
        <f t="shared" si="33"/>
        <v>-0.06</v>
      </c>
      <c r="DH36" s="971">
        <f t="shared" si="22"/>
        <v>-3240</v>
      </c>
      <c r="DJ36" s="598">
        <f t="shared" si="23"/>
        <v>4412.0160000000005</v>
      </c>
      <c r="DL36" s="598">
        <f t="shared" si="24"/>
        <v>67440.815999999992</v>
      </c>
      <c r="DM36" s="599">
        <f t="shared" si="25"/>
        <v>9028.7999999999993</v>
      </c>
      <c r="DN36" s="972">
        <f t="shared" si="26"/>
        <v>0.13387738369001942</v>
      </c>
    </row>
    <row r="37" spans="1:118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1031</v>
      </c>
      <c r="I37" s="959" t="s">
        <v>1032</v>
      </c>
      <c r="J37" s="633" t="s">
        <v>993</v>
      </c>
      <c r="K37" s="1482">
        <f>(ROUNDUP(((SUM(E27:E31,IF(B36&lt;448,(SUM(E35:E37)),0)))*D40),0))</f>
        <v>0</v>
      </c>
      <c r="L37" s="585" t="s">
        <v>991</v>
      </c>
      <c r="M37" s="632" t="s">
        <v>562</v>
      </c>
      <c r="N37" s="1012" t="s">
        <v>683</v>
      </c>
      <c r="O37" s="1013">
        <f>P37*Q37</f>
        <v>116.99999999999999</v>
      </c>
      <c r="P37" s="1014">
        <v>300</v>
      </c>
      <c r="Q37" s="1015">
        <f>0.35+0.04</f>
        <v>0.38999999999999996</v>
      </c>
      <c r="R37" s="1002"/>
      <c r="AX37" s="971">
        <v>28000</v>
      </c>
      <c r="AY37" s="971"/>
      <c r="AZ37" s="971"/>
      <c r="BA37" s="971">
        <f t="shared" si="5"/>
        <v>28000</v>
      </c>
      <c r="BB37" s="971"/>
      <c r="BC37" s="971"/>
      <c r="BD37" s="971">
        <f t="shared" si="34"/>
        <v>56000</v>
      </c>
      <c r="BE37" s="971"/>
      <c r="BF37" s="971"/>
      <c r="BG37" s="971">
        <f t="shared" si="35"/>
        <v>56000</v>
      </c>
      <c r="BH37" s="972" t="e">
        <f>IF(AX37&lt;=#REF!,#REF!,IF(AX37&lt;=#REF!,#REF!,IF(AX37&lt;=#REF!,#REF!,IF(AX37&lt;=#REF!,#REF!,IF(AX37&lt;=#REF!,#REF!,IF(AX37&lt;=#REF!,#REF!,IF(AX37&lt;=#REF!,#REF!,0.05)))))))</f>
        <v>#REF!</v>
      </c>
      <c r="BI37" s="971" t="e">
        <f t="shared" si="36"/>
        <v>#REF!</v>
      </c>
      <c r="BJ37" s="972"/>
      <c r="BK37" s="972" t="e">
        <f>IF(BA37&lt;=#REF!,#REF!,IF(BA37&lt;=#REF!,#REF!,IF(BA37&lt;=#REF!,#REF!,IF(BA37&lt;=#REF!,#REF!,IF(BA37&lt;=#REF!,#REF!,IF(BA37&lt;=#REF!,#REF!,IF(BA37&lt;=#REF!,#REF!,0.05)))))))</f>
        <v>#REF!</v>
      </c>
      <c r="BL37" s="971" t="e">
        <f t="shared" si="37"/>
        <v>#REF!</v>
      </c>
      <c r="BM37" s="972"/>
      <c r="BN37" s="972" t="e">
        <f>IF(BD37&lt;=#REF!,#REF!,IF(BD37&lt;=#REF!,#REF!,IF(BD37&lt;=#REF!,#REF!,IF(BD37&lt;=#REF!,#REF!,IF(BD37&lt;=#REF!,#REF!,IF(BD37&lt;=#REF!,#REF!,IF(BD37&lt;=#REF!,#REF!,0.05)))))))</f>
        <v>#REF!</v>
      </c>
      <c r="BO37" s="971" t="e">
        <f t="shared" si="38"/>
        <v>#REF!</v>
      </c>
      <c r="BP37" s="972"/>
      <c r="BQ37" s="973" t="e">
        <f>IF(BG37&lt;=#REF!,#REF!,IF(BG37&lt;=#REF!,#REF!,IF(BG37&lt;=#REF!,#REF!,IF(BG37&lt;=#REF!,#REF!,IF(BG37&lt;=#REF!,#REF!,IF(BG37&lt;=#REF!,#REF!,IF(BG37&lt;=#REF!,#REF!,0.05)))))))</f>
        <v>#REF!</v>
      </c>
      <c r="BR37" s="971" t="e">
        <f t="shared" si="39"/>
        <v>#REF!</v>
      </c>
      <c r="BT37" s="598" t="e">
        <f t="shared" si="40"/>
        <v>#REF!</v>
      </c>
      <c r="BV37" s="598" t="e">
        <f t="shared" si="41"/>
        <v>#REF!</v>
      </c>
      <c r="BW37" s="599" t="e">
        <f t="shared" si="42"/>
        <v>#REF!</v>
      </c>
      <c r="BX37" s="972" t="e">
        <f t="shared" si="43"/>
        <v>#REF!</v>
      </c>
      <c r="CN37" s="971">
        <v>28000</v>
      </c>
      <c r="CO37" s="971"/>
      <c r="CP37" s="971"/>
      <c r="CQ37" s="971">
        <f t="shared" si="16"/>
        <v>28000</v>
      </c>
      <c r="CR37" s="971"/>
      <c r="CS37" s="971"/>
      <c r="CT37" s="971">
        <f t="shared" si="17"/>
        <v>56000</v>
      </c>
      <c r="CU37" s="971"/>
      <c r="CV37" s="971"/>
      <c r="CW37" s="971">
        <f t="shared" si="18"/>
        <v>56000</v>
      </c>
      <c r="CX37" s="972">
        <f t="shared" si="30"/>
        <v>0.05</v>
      </c>
      <c r="CY37" s="971">
        <f t="shared" si="19"/>
        <v>1400</v>
      </c>
      <c r="CZ37" s="972"/>
      <c r="DA37" s="972">
        <f t="shared" si="31"/>
        <v>0.03</v>
      </c>
      <c r="DB37" s="971">
        <f t="shared" si="20"/>
        <v>840</v>
      </c>
      <c r="DC37" s="972"/>
      <c r="DD37" s="972">
        <f t="shared" si="32"/>
        <v>0.18</v>
      </c>
      <c r="DE37" s="971">
        <f t="shared" si="21"/>
        <v>10483.199999999999</v>
      </c>
      <c r="DF37" s="972"/>
      <c r="DG37" s="973">
        <f t="shared" si="33"/>
        <v>-0.06</v>
      </c>
      <c r="DH37" s="971">
        <f t="shared" si="22"/>
        <v>-3360</v>
      </c>
      <c r="DJ37" s="598">
        <f t="shared" si="23"/>
        <v>4575.424</v>
      </c>
      <c r="DL37" s="598">
        <f t="shared" si="24"/>
        <v>69938.623999999996</v>
      </c>
      <c r="DM37" s="599">
        <f t="shared" si="25"/>
        <v>9363.1999999999989</v>
      </c>
      <c r="DN37" s="972">
        <f t="shared" si="26"/>
        <v>0.13387738369001939</v>
      </c>
    </row>
    <row r="38" spans="1:118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948"/>
      <c r="I38" s="959" t="s">
        <v>1096</v>
      </c>
      <c r="J38" s="633" t="s">
        <v>992</v>
      </c>
      <c r="K38" s="852">
        <f>SUM(K36:K37)</f>
        <v>0</v>
      </c>
      <c r="M38" s="632" t="s">
        <v>563</v>
      </c>
      <c r="N38" s="1016" t="s">
        <v>684</v>
      </c>
      <c r="O38" s="1017">
        <f>P38*Q38</f>
        <v>105</v>
      </c>
      <c r="P38" s="1018">
        <v>250</v>
      </c>
      <c r="Q38" s="1019">
        <f>0.38+0.04</f>
        <v>0.42</v>
      </c>
      <c r="AX38" s="971">
        <v>29000</v>
      </c>
      <c r="AY38" s="971"/>
      <c r="AZ38" s="971"/>
      <c r="BA38" s="971">
        <f t="shared" si="5"/>
        <v>29000</v>
      </c>
      <c r="BB38" s="971"/>
      <c r="BC38" s="971"/>
      <c r="BD38" s="971">
        <f t="shared" si="34"/>
        <v>58000</v>
      </c>
      <c r="BE38" s="971"/>
      <c r="BF38" s="971"/>
      <c r="BG38" s="971">
        <f t="shared" si="35"/>
        <v>58000</v>
      </c>
      <c r="BH38" s="972" t="e">
        <f>IF(AX38&lt;=#REF!,#REF!,IF(AX38&lt;=#REF!,#REF!,IF(AX38&lt;=#REF!,#REF!,IF(AX38&lt;=#REF!,#REF!,IF(AX38&lt;=#REF!,#REF!,IF(AX38&lt;=#REF!,#REF!,IF(AX38&lt;=#REF!,#REF!,0.05)))))))</f>
        <v>#REF!</v>
      </c>
      <c r="BI38" s="971" t="e">
        <f t="shared" si="36"/>
        <v>#REF!</v>
      </c>
      <c r="BJ38" s="972"/>
      <c r="BK38" s="972" t="e">
        <f>IF(BA38&lt;=#REF!,#REF!,IF(BA38&lt;=#REF!,#REF!,IF(BA38&lt;=#REF!,#REF!,IF(BA38&lt;=#REF!,#REF!,IF(BA38&lt;=#REF!,#REF!,IF(BA38&lt;=#REF!,#REF!,IF(BA38&lt;=#REF!,#REF!,0.05)))))))</f>
        <v>#REF!</v>
      </c>
      <c r="BL38" s="971" t="e">
        <f t="shared" si="37"/>
        <v>#REF!</v>
      </c>
      <c r="BM38" s="972"/>
      <c r="BN38" s="972" t="e">
        <f>IF(BD38&lt;=#REF!,#REF!,IF(BD38&lt;=#REF!,#REF!,IF(BD38&lt;=#REF!,#REF!,IF(BD38&lt;=#REF!,#REF!,IF(BD38&lt;=#REF!,#REF!,IF(BD38&lt;=#REF!,#REF!,IF(BD38&lt;=#REF!,#REF!,0.05)))))))</f>
        <v>#REF!</v>
      </c>
      <c r="BO38" s="971" t="e">
        <f t="shared" si="38"/>
        <v>#REF!</v>
      </c>
      <c r="BP38" s="972"/>
      <c r="BQ38" s="973" t="e">
        <f>IF(BG38&lt;=#REF!,#REF!,IF(BG38&lt;=#REF!,#REF!,IF(BG38&lt;=#REF!,#REF!,IF(BG38&lt;=#REF!,#REF!,IF(BG38&lt;=#REF!,#REF!,IF(BG38&lt;=#REF!,#REF!,IF(BG38&lt;=#REF!,#REF!,0.05)))))))</f>
        <v>#REF!</v>
      </c>
      <c r="BR38" s="971" t="e">
        <f t="shared" si="39"/>
        <v>#REF!</v>
      </c>
      <c r="BT38" s="598" t="e">
        <f t="shared" si="40"/>
        <v>#REF!</v>
      </c>
      <c r="BV38" s="598" t="e">
        <f t="shared" si="41"/>
        <v>#REF!</v>
      </c>
      <c r="BW38" s="599" t="e">
        <f t="shared" si="42"/>
        <v>#REF!</v>
      </c>
      <c r="BX38" s="972" t="e">
        <f t="shared" si="43"/>
        <v>#REF!</v>
      </c>
      <c r="CN38" s="971">
        <v>29000</v>
      </c>
      <c r="CO38" s="971"/>
      <c r="CP38" s="971"/>
      <c r="CQ38" s="971">
        <f t="shared" si="16"/>
        <v>29000</v>
      </c>
      <c r="CR38" s="971"/>
      <c r="CS38" s="971"/>
      <c r="CT38" s="971">
        <f t="shared" si="17"/>
        <v>58000</v>
      </c>
      <c r="CU38" s="971"/>
      <c r="CV38" s="971"/>
      <c r="CW38" s="971">
        <f t="shared" si="18"/>
        <v>58000</v>
      </c>
      <c r="CX38" s="972">
        <f t="shared" si="30"/>
        <v>0.05</v>
      </c>
      <c r="CY38" s="971">
        <f t="shared" si="19"/>
        <v>1450</v>
      </c>
      <c r="CZ38" s="972"/>
      <c r="DA38" s="972">
        <f t="shared" si="31"/>
        <v>0.03</v>
      </c>
      <c r="DB38" s="971">
        <f t="shared" si="20"/>
        <v>870</v>
      </c>
      <c r="DC38" s="972"/>
      <c r="DD38" s="972">
        <f t="shared" si="32"/>
        <v>0.18</v>
      </c>
      <c r="DE38" s="971">
        <f t="shared" si="21"/>
        <v>10857.6</v>
      </c>
      <c r="DF38" s="972"/>
      <c r="DG38" s="973">
        <f t="shared" si="33"/>
        <v>-0.06</v>
      </c>
      <c r="DH38" s="971">
        <f t="shared" si="22"/>
        <v>-3480</v>
      </c>
      <c r="DJ38" s="598">
        <f t="shared" si="23"/>
        <v>4738.8320000000012</v>
      </c>
      <c r="DL38" s="598">
        <f t="shared" si="24"/>
        <v>72436.432000000001</v>
      </c>
      <c r="DM38" s="599">
        <f t="shared" si="25"/>
        <v>9697.6</v>
      </c>
      <c r="DN38" s="972">
        <f t="shared" si="26"/>
        <v>0.13387738369001942</v>
      </c>
    </row>
    <row r="39" spans="1:118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J39" s="674" t="s">
        <v>995</v>
      </c>
      <c r="K39" s="700"/>
      <c r="L39" s="700"/>
      <c r="M39" s="632" t="s">
        <v>564</v>
      </c>
      <c r="N39" s="1020" t="s">
        <v>685</v>
      </c>
      <c r="O39" s="1108">
        <f>P39*Q39</f>
        <v>73.200000000000017</v>
      </c>
      <c r="P39" s="1021">
        <v>120</v>
      </c>
      <c r="Q39" s="1022">
        <f>0.55+0.06</f>
        <v>0.6100000000000001</v>
      </c>
      <c r="R39" s="620"/>
      <c r="AX39" s="971">
        <v>30000</v>
      </c>
      <c r="AY39" s="971"/>
      <c r="AZ39" s="971"/>
      <c r="BA39" s="971">
        <f t="shared" si="5"/>
        <v>30000</v>
      </c>
      <c r="BB39" s="971"/>
      <c r="BC39" s="971"/>
      <c r="BD39" s="971">
        <f t="shared" si="34"/>
        <v>60000</v>
      </c>
      <c r="BE39" s="971"/>
      <c r="BF39" s="971"/>
      <c r="BG39" s="971">
        <f t="shared" si="35"/>
        <v>60000</v>
      </c>
      <c r="BH39" s="972" t="e">
        <f>IF(AX39&lt;=#REF!,#REF!,IF(AX39&lt;=#REF!,#REF!,IF(AX39&lt;=#REF!,#REF!,IF(AX39&lt;=#REF!,#REF!,IF(AX39&lt;=#REF!,#REF!,IF(AX39&lt;=#REF!,#REF!,IF(AX39&lt;=#REF!,#REF!,0.05)))))))</f>
        <v>#REF!</v>
      </c>
      <c r="BI39" s="971" t="e">
        <f t="shared" si="36"/>
        <v>#REF!</v>
      </c>
      <c r="BJ39" s="972"/>
      <c r="BK39" s="972" t="e">
        <f>IF(BA39&lt;=#REF!,#REF!,IF(BA39&lt;=#REF!,#REF!,IF(BA39&lt;=#REF!,#REF!,IF(BA39&lt;=#REF!,#REF!,IF(BA39&lt;=#REF!,#REF!,IF(BA39&lt;=#REF!,#REF!,IF(BA39&lt;=#REF!,#REF!,0.05)))))))</f>
        <v>#REF!</v>
      </c>
      <c r="BL39" s="971" t="e">
        <f t="shared" si="37"/>
        <v>#REF!</v>
      </c>
      <c r="BM39" s="972"/>
      <c r="BN39" s="972" t="e">
        <f>IF(BD39&lt;=#REF!,#REF!,IF(BD39&lt;=#REF!,#REF!,IF(BD39&lt;=#REF!,#REF!,IF(BD39&lt;=#REF!,#REF!,IF(BD39&lt;=#REF!,#REF!,IF(BD39&lt;=#REF!,#REF!,IF(BD39&lt;=#REF!,#REF!,0.05)))))))</f>
        <v>#REF!</v>
      </c>
      <c r="BO39" s="971" t="e">
        <f t="shared" si="38"/>
        <v>#REF!</v>
      </c>
      <c r="BP39" s="972"/>
      <c r="BQ39" s="973" t="e">
        <f>IF(BG39&lt;=#REF!,#REF!,IF(BG39&lt;=#REF!,#REF!,IF(BG39&lt;=#REF!,#REF!,IF(BG39&lt;=#REF!,#REF!,IF(BG39&lt;=#REF!,#REF!,IF(BG39&lt;=#REF!,#REF!,IF(BG39&lt;=#REF!,#REF!,0.05)))))))</f>
        <v>#REF!</v>
      </c>
      <c r="BR39" s="971" t="e">
        <f t="shared" si="39"/>
        <v>#REF!</v>
      </c>
      <c r="BT39" s="598" t="e">
        <f t="shared" si="40"/>
        <v>#REF!</v>
      </c>
      <c r="BV39" s="598" t="e">
        <f t="shared" si="41"/>
        <v>#REF!</v>
      </c>
      <c r="BW39" s="599" t="e">
        <f t="shared" si="42"/>
        <v>#REF!</v>
      </c>
      <c r="BX39" s="972" t="e">
        <f t="shared" si="43"/>
        <v>#REF!</v>
      </c>
      <c r="CN39" s="971">
        <v>30000</v>
      </c>
      <c r="CO39" s="971"/>
      <c r="CP39" s="971"/>
      <c r="CQ39" s="971">
        <f t="shared" si="16"/>
        <v>30000</v>
      </c>
      <c r="CR39" s="971"/>
      <c r="CS39" s="971"/>
      <c r="CT39" s="971">
        <f t="shared" si="17"/>
        <v>60000</v>
      </c>
      <c r="CU39" s="971"/>
      <c r="CV39" s="971"/>
      <c r="CW39" s="971">
        <f t="shared" si="18"/>
        <v>60000</v>
      </c>
      <c r="CX39" s="972">
        <f t="shared" si="30"/>
        <v>0.05</v>
      </c>
      <c r="CY39" s="971">
        <f t="shared" si="19"/>
        <v>1500</v>
      </c>
      <c r="CZ39" s="972"/>
      <c r="DA39" s="972">
        <f t="shared" si="31"/>
        <v>0.03</v>
      </c>
      <c r="DB39" s="971">
        <f t="shared" si="20"/>
        <v>900</v>
      </c>
      <c r="DC39" s="972"/>
      <c r="DD39" s="972">
        <f t="shared" si="32"/>
        <v>0.18</v>
      </c>
      <c r="DE39" s="971">
        <f t="shared" si="21"/>
        <v>11232</v>
      </c>
      <c r="DF39" s="972"/>
      <c r="DG39" s="973">
        <f t="shared" si="33"/>
        <v>-0.06</v>
      </c>
      <c r="DH39" s="971">
        <f t="shared" si="22"/>
        <v>-3600</v>
      </c>
      <c r="DJ39" s="598">
        <f t="shared" si="23"/>
        <v>4902.2400000000007</v>
      </c>
      <c r="DL39" s="598">
        <f t="shared" si="24"/>
        <v>74934.240000000005</v>
      </c>
      <c r="DM39" s="599">
        <f t="shared" si="25"/>
        <v>10032</v>
      </c>
      <c r="DN39" s="972">
        <f t="shared" si="26"/>
        <v>0.13387738369001939</v>
      </c>
    </row>
    <row r="40" spans="1:118" s="585" customForma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600"/>
      <c r="O40" s="600"/>
      <c r="AX40" s="971">
        <v>31000</v>
      </c>
      <c r="AY40" s="971"/>
      <c r="AZ40" s="971"/>
      <c r="BA40" s="971">
        <f t="shared" si="5"/>
        <v>31000</v>
      </c>
      <c r="BB40" s="971"/>
      <c r="BC40" s="971"/>
      <c r="BD40" s="971">
        <f t="shared" si="34"/>
        <v>62000</v>
      </c>
      <c r="BE40" s="971"/>
      <c r="BF40" s="971"/>
      <c r="BG40" s="971">
        <f t="shared" si="35"/>
        <v>62000</v>
      </c>
      <c r="BH40" s="972" t="e">
        <f>IF(AX40&lt;=#REF!,#REF!,IF(AX40&lt;=#REF!,#REF!,IF(AX40&lt;=#REF!,#REF!,IF(AX40&lt;=#REF!,#REF!,IF(AX40&lt;=#REF!,#REF!,IF(AX40&lt;=#REF!,#REF!,IF(AX40&lt;=#REF!,#REF!,0.05)))))))</f>
        <v>#REF!</v>
      </c>
      <c r="BI40" s="971" t="e">
        <f t="shared" si="36"/>
        <v>#REF!</v>
      </c>
      <c r="BJ40" s="972"/>
      <c r="BK40" s="972" t="e">
        <f>IF(BA40&lt;=#REF!,#REF!,IF(BA40&lt;=#REF!,#REF!,IF(BA40&lt;=#REF!,#REF!,IF(BA40&lt;=#REF!,#REF!,IF(BA40&lt;=#REF!,#REF!,IF(BA40&lt;=#REF!,#REF!,IF(BA40&lt;=#REF!,#REF!,0.05)))))))</f>
        <v>#REF!</v>
      </c>
      <c r="BL40" s="971" t="e">
        <f t="shared" si="37"/>
        <v>#REF!</v>
      </c>
      <c r="BM40" s="972"/>
      <c r="BN40" s="972" t="e">
        <f>IF(BD40&lt;=#REF!,#REF!,IF(BD40&lt;=#REF!,#REF!,IF(BD40&lt;=#REF!,#REF!,IF(BD40&lt;=#REF!,#REF!,IF(BD40&lt;=#REF!,#REF!,IF(BD40&lt;=#REF!,#REF!,IF(BD40&lt;=#REF!,#REF!,0.05)))))))</f>
        <v>#REF!</v>
      </c>
      <c r="BO40" s="971" t="e">
        <f t="shared" si="38"/>
        <v>#REF!</v>
      </c>
      <c r="BP40" s="972"/>
      <c r="BQ40" s="973" t="e">
        <f>IF(BG40&lt;=#REF!,#REF!,IF(BG40&lt;=#REF!,#REF!,IF(BG40&lt;=#REF!,#REF!,IF(BG40&lt;=#REF!,#REF!,IF(BG40&lt;=#REF!,#REF!,IF(BG40&lt;=#REF!,#REF!,IF(BG40&lt;=#REF!,#REF!,0.05)))))))</f>
        <v>#REF!</v>
      </c>
      <c r="BR40" s="971" t="e">
        <f t="shared" si="39"/>
        <v>#REF!</v>
      </c>
      <c r="BT40" s="598" t="e">
        <f t="shared" si="40"/>
        <v>#REF!</v>
      </c>
      <c r="BV40" s="598" t="e">
        <f t="shared" si="41"/>
        <v>#REF!</v>
      </c>
      <c r="BW40" s="599" t="e">
        <f t="shared" si="42"/>
        <v>#REF!</v>
      </c>
      <c r="BX40" s="972" t="e">
        <f t="shared" si="43"/>
        <v>#REF!</v>
      </c>
      <c r="CN40" s="971">
        <v>31000</v>
      </c>
      <c r="CO40" s="971"/>
      <c r="CP40" s="971"/>
      <c r="CQ40" s="971">
        <f t="shared" si="16"/>
        <v>31000</v>
      </c>
      <c r="CR40" s="971"/>
      <c r="CS40" s="971"/>
      <c r="CT40" s="971">
        <f t="shared" si="17"/>
        <v>62000</v>
      </c>
      <c r="CU40" s="971"/>
      <c r="CV40" s="971"/>
      <c r="CW40" s="971">
        <f t="shared" si="18"/>
        <v>62000</v>
      </c>
      <c r="CX40" s="972">
        <f t="shared" si="30"/>
        <v>0.05</v>
      </c>
      <c r="CY40" s="971">
        <f t="shared" si="19"/>
        <v>1550</v>
      </c>
      <c r="CZ40" s="972"/>
      <c r="DA40" s="972">
        <f t="shared" si="31"/>
        <v>0.03</v>
      </c>
      <c r="DB40" s="971">
        <f t="shared" si="20"/>
        <v>930</v>
      </c>
      <c r="DC40" s="972"/>
      <c r="DD40" s="972">
        <f t="shared" si="32"/>
        <v>0.18</v>
      </c>
      <c r="DE40" s="971">
        <f t="shared" si="21"/>
        <v>11606.4</v>
      </c>
      <c r="DF40" s="972"/>
      <c r="DG40" s="973">
        <f t="shared" si="33"/>
        <v>-0.06</v>
      </c>
      <c r="DH40" s="971">
        <f t="shared" si="22"/>
        <v>-3720</v>
      </c>
      <c r="DJ40" s="598">
        <f t="shared" si="23"/>
        <v>5065.6480000000001</v>
      </c>
      <c r="DL40" s="598">
        <f t="shared" si="24"/>
        <v>77432.047999999995</v>
      </c>
      <c r="DM40" s="599">
        <f t="shared" si="25"/>
        <v>10366.4</v>
      </c>
      <c r="DN40" s="972">
        <f t="shared" si="26"/>
        <v>0.13387738369001942</v>
      </c>
    </row>
    <row r="41" spans="1:118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111" t="s">
        <v>1069</v>
      </c>
      <c r="O41" s="1010" t="s">
        <v>559</v>
      </c>
      <c r="P41" s="1010" t="s">
        <v>560</v>
      </c>
      <c r="Q41" s="1010" t="s">
        <v>561</v>
      </c>
      <c r="R41" s="1590" t="s">
        <v>1068</v>
      </c>
      <c r="S41" s="1411"/>
      <c r="AX41" s="971">
        <v>32000</v>
      </c>
      <c r="AY41" s="971"/>
      <c r="AZ41" s="971"/>
      <c r="BA41" s="971">
        <f t="shared" si="5"/>
        <v>32000</v>
      </c>
      <c r="BB41" s="971"/>
      <c r="BC41" s="971"/>
      <c r="BD41" s="971">
        <f t="shared" si="34"/>
        <v>64000</v>
      </c>
      <c r="BE41" s="971"/>
      <c r="BF41" s="971"/>
      <c r="BG41" s="971">
        <f t="shared" si="35"/>
        <v>64000</v>
      </c>
      <c r="BH41" s="972" t="e">
        <f>IF(AX41&lt;=#REF!,#REF!,IF(AX41&lt;=#REF!,#REF!,IF(AX41&lt;=#REF!,#REF!,IF(AX41&lt;=#REF!,#REF!,IF(AX41&lt;=#REF!,#REF!,IF(AX41&lt;=#REF!,#REF!,IF(AX41&lt;=#REF!,#REF!,0.05)))))))</f>
        <v>#REF!</v>
      </c>
      <c r="BI41" s="971" t="e">
        <f t="shared" si="36"/>
        <v>#REF!</v>
      </c>
      <c r="BJ41" s="972"/>
      <c r="BK41" s="972" t="e">
        <f>IF(BA41&lt;=#REF!,#REF!,IF(BA41&lt;=#REF!,#REF!,IF(BA41&lt;=#REF!,#REF!,IF(BA41&lt;=#REF!,#REF!,IF(BA41&lt;=#REF!,#REF!,IF(BA41&lt;=#REF!,#REF!,IF(BA41&lt;=#REF!,#REF!,0.05)))))))</f>
        <v>#REF!</v>
      </c>
      <c r="BL41" s="971" t="e">
        <f t="shared" si="37"/>
        <v>#REF!</v>
      </c>
      <c r="BM41" s="972"/>
      <c r="BN41" s="972" t="e">
        <f>IF(BD41&lt;=#REF!,#REF!,IF(BD41&lt;=#REF!,#REF!,IF(BD41&lt;=#REF!,#REF!,IF(BD41&lt;=#REF!,#REF!,IF(BD41&lt;=#REF!,#REF!,IF(BD41&lt;=#REF!,#REF!,IF(BD41&lt;=#REF!,#REF!,0.05)))))))</f>
        <v>#REF!</v>
      </c>
      <c r="BO41" s="971" t="e">
        <f t="shared" si="38"/>
        <v>#REF!</v>
      </c>
      <c r="BP41" s="972"/>
      <c r="BQ41" s="973" t="e">
        <f>IF(BG41&lt;=#REF!,#REF!,IF(BG41&lt;=#REF!,#REF!,IF(BG41&lt;=#REF!,#REF!,IF(BG41&lt;=#REF!,#REF!,IF(BG41&lt;=#REF!,#REF!,IF(BG41&lt;=#REF!,#REF!,IF(BG41&lt;=#REF!,#REF!,0.05)))))))</f>
        <v>#REF!</v>
      </c>
      <c r="BR41" s="971" t="e">
        <f t="shared" si="39"/>
        <v>#REF!</v>
      </c>
      <c r="BT41" s="598" t="e">
        <f t="shared" si="40"/>
        <v>#REF!</v>
      </c>
      <c r="BV41" s="598" t="e">
        <f t="shared" si="41"/>
        <v>#REF!</v>
      </c>
      <c r="BW41" s="599" t="e">
        <f t="shared" si="42"/>
        <v>#REF!</v>
      </c>
      <c r="BX41" s="972" t="e">
        <f t="shared" si="43"/>
        <v>#REF!</v>
      </c>
      <c r="CN41" s="971">
        <v>32000</v>
      </c>
      <c r="CO41" s="971"/>
      <c r="CP41" s="971"/>
      <c r="CQ41" s="971">
        <f t="shared" si="16"/>
        <v>32000</v>
      </c>
      <c r="CR41" s="971"/>
      <c r="CS41" s="971"/>
      <c r="CT41" s="971">
        <f t="shared" si="17"/>
        <v>64000</v>
      </c>
      <c r="CU41" s="971"/>
      <c r="CV41" s="971"/>
      <c r="CW41" s="971">
        <f t="shared" si="18"/>
        <v>64000</v>
      </c>
      <c r="CX41" s="972">
        <f t="shared" si="30"/>
        <v>0.05</v>
      </c>
      <c r="CY41" s="971">
        <f t="shared" si="19"/>
        <v>1600</v>
      </c>
      <c r="CZ41" s="972"/>
      <c r="DA41" s="972">
        <f t="shared" si="31"/>
        <v>0.03</v>
      </c>
      <c r="DB41" s="971">
        <f t="shared" si="20"/>
        <v>960</v>
      </c>
      <c r="DC41" s="972"/>
      <c r="DD41" s="972">
        <f t="shared" si="32"/>
        <v>0.18</v>
      </c>
      <c r="DE41" s="971">
        <f t="shared" si="21"/>
        <v>11980.8</v>
      </c>
      <c r="DF41" s="972"/>
      <c r="DG41" s="973">
        <f t="shared" si="33"/>
        <v>-0.06</v>
      </c>
      <c r="DH41" s="971">
        <f t="shared" si="22"/>
        <v>-3840</v>
      </c>
      <c r="DJ41" s="598">
        <f t="shared" si="23"/>
        <v>5229.0560000000005</v>
      </c>
      <c r="DL41" s="598">
        <f t="shared" si="24"/>
        <v>79929.856</v>
      </c>
      <c r="DM41" s="599">
        <f t="shared" si="25"/>
        <v>10700.8</v>
      </c>
      <c r="DN41" s="972">
        <f t="shared" si="26"/>
        <v>0.13387738369001939</v>
      </c>
    </row>
    <row r="42" spans="1:118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M42" s="632" t="s">
        <v>562</v>
      </c>
      <c r="N42" s="1012" t="s">
        <v>686</v>
      </c>
      <c r="O42" s="1013">
        <v>199.8</v>
      </c>
      <c r="P42" s="1014">
        <v>370</v>
      </c>
      <c r="Q42" s="1015">
        <f>O42/P42</f>
        <v>0.54</v>
      </c>
      <c r="R42" s="633" t="s">
        <v>671</v>
      </c>
      <c r="S42" s="852">
        <v>14.65</v>
      </c>
      <c r="T42" s="852"/>
      <c r="AX42" s="971">
        <v>33000</v>
      </c>
      <c r="AY42" s="971"/>
      <c r="AZ42" s="971"/>
      <c r="BA42" s="971">
        <f t="shared" si="5"/>
        <v>33000</v>
      </c>
      <c r="BB42" s="971"/>
      <c r="BC42" s="971"/>
      <c r="BD42" s="971">
        <f t="shared" si="34"/>
        <v>66000</v>
      </c>
      <c r="BE42" s="971"/>
      <c r="BF42" s="971"/>
      <c r="BG42" s="971">
        <f t="shared" si="35"/>
        <v>66000</v>
      </c>
      <c r="BH42" s="972" t="e">
        <f>IF(AX42&lt;=#REF!,#REF!,IF(AX42&lt;=#REF!,#REF!,IF(AX42&lt;=#REF!,#REF!,IF(AX42&lt;=#REF!,#REF!,IF(AX42&lt;=#REF!,#REF!,IF(AX42&lt;=#REF!,#REF!,IF(AX42&lt;=#REF!,#REF!,0.05)))))))</f>
        <v>#REF!</v>
      </c>
      <c r="BI42" s="971" t="e">
        <f t="shared" si="36"/>
        <v>#REF!</v>
      </c>
      <c r="BJ42" s="972"/>
      <c r="BK42" s="972" t="e">
        <f>IF(BA42&lt;=#REF!,#REF!,IF(BA42&lt;=#REF!,#REF!,IF(BA42&lt;=#REF!,#REF!,IF(BA42&lt;=#REF!,#REF!,IF(BA42&lt;=#REF!,#REF!,IF(BA42&lt;=#REF!,#REF!,IF(BA42&lt;=#REF!,#REF!,0.05)))))))</f>
        <v>#REF!</v>
      </c>
      <c r="BL42" s="971" t="e">
        <f t="shared" si="37"/>
        <v>#REF!</v>
      </c>
      <c r="BM42" s="972"/>
      <c r="BN42" s="972" t="e">
        <f>IF(BD42&lt;=#REF!,#REF!,IF(BD42&lt;=#REF!,#REF!,IF(BD42&lt;=#REF!,#REF!,IF(BD42&lt;=#REF!,#REF!,IF(BD42&lt;=#REF!,#REF!,IF(BD42&lt;=#REF!,#REF!,IF(BD42&lt;=#REF!,#REF!,0.05)))))))</f>
        <v>#REF!</v>
      </c>
      <c r="BO42" s="971" t="e">
        <f t="shared" si="38"/>
        <v>#REF!</v>
      </c>
      <c r="BP42" s="972"/>
      <c r="BQ42" s="973" t="e">
        <f>IF(BG42&lt;=#REF!,#REF!,IF(BG42&lt;=#REF!,#REF!,IF(BG42&lt;=#REF!,#REF!,IF(BG42&lt;=#REF!,#REF!,IF(BG42&lt;=#REF!,#REF!,IF(BG42&lt;=#REF!,#REF!,IF(BG42&lt;=#REF!,#REF!,0.05)))))))</f>
        <v>#REF!</v>
      </c>
      <c r="BR42" s="971" t="e">
        <f t="shared" si="39"/>
        <v>#REF!</v>
      </c>
      <c r="BT42" s="598" t="e">
        <f t="shared" si="40"/>
        <v>#REF!</v>
      </c>
      <c r="BV42" s="598" t="e">
        <f t="shared" si="41"/>
        <v>#REF!</v>
      </c>
      <c r="BW42" s="599" t="e">
        <f t="shared" si="42"/>
        <v>#REF!</v>
      </c>
      <c r="BX42" s="972" t="e">
        <f t="shared" si="43"/>
        <v>#REF!</v>
      </c>
      <c r="CN42" s="971">
        <v>33000</v>
      </c>
      <c r="CO42" s="971"/>
      <c r="CP42" s="971"/>
      <c r="CQ42" s="971">
        <f t="shared" si="16"/>
        <v>33000</v>
      </c>
      <c r="CR42" s="971"/>
      <c r="CS42" s="971"/>
      <c r="CT42" s="971">
        <f t="shared" si="17"/>
        <v>66000</v>
      </c>
      <c r="CU42" s="971"/>
      <c r="CV42" s="971"/>
      <c r="CW42" s="971">
        <f t="shared" si="18"/>
        <v>66000</v>
      </c>
      <c r="CX42" s="972">
        <f t="shared" si="30"/>
        <v>0.05</v>
      </c>
      <c r="CY42" s="971">
        <f t="shared" si="19"/>
        <v>1650</v>
      </c>
      <c r="CZ42" s="972"/>
      <c r="DA42" s="972">
        <f t="shared" si="31"/>
        <v>0.03</v>
      </c>
      <c r="DB42" s="971">
        <f t="shared" si="20"/>
        <v>990</v>
      </c>
      <c r="DC42" s="972"/>
      <c r="DD42" s="972">
        <f t="shared" si="32"/>
        <v>0.18</v>
      </c>
      <c r="DE42" s="971">
        <f t="shared" si="21"/>
        <v>12355.199999999999</v>
      </c>
      <c r="DF42" s="972"/>
      <c r="DG42" s="973">
        <f t="shared" si="33"/>
        <v>-0.06</v>
      </c>
      <c r="DH42" s="971">
        <f t="shared" si="22"/>
        <v>-3960</v>
      </c>
      <c r="DJ42" s="598">
        <f t="shared" si="23"/>
        <v>5392.4639999999999</v>
      </c>
      <c r="DL42" s="598">
        <f t="shared" si="24"/>
        <v>82427.66399999999</v>
      </c>
      <c r="DM42" s="599">
        <f t="shared" si="25"/>
        <v>11035.199999999999</v>
      </c>
      <c r="DN42" s="972">
        <f t="shared" si="26"/>
        <v>0.13387738369001942</v>
      </c>
    </row>
    <row r="43" spans="1:118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M43" s="632" t="s">
        <v>563</v>
      </c>
      <c r="N43" s="1016" t="s">
        <v>688</v>
      </c>
      <c r="O43" s="1017">
        <v>216</v>
      </c>
      <c r="P43" s="1018">
        <v>400</v>
      </c>
      <c r="Q43" s="1019">
        <f t="shared" ref="Q43:Q44" si="44">O43/P43</f>
        <v>0.54</v>
      </c>
      <c r="R43" s="633" t="s">
        <v>1066</v>
      </c>
      <c r="S43" s="852">
        <f>139.5/5</f>
        <v>27.9</v>
      </c>
      <c r="T43" s="1589" t="s">
        <v>1067</v>
      </c>
      <c r="AX43" s="971">
        <v>34000</v>
      </c>
      <c r="AY43" s="971"/>
      <c r="AZ43" s="971"/>
      <c r="BA43" s="971">
        <f t="shared" si="5"/>
        <v>34000</v>
      </c>
      <c r="BB43" s="971"/>
      <c r="BC43" s="971"/>
      <c r="BD43" s="971">
        <f t="shared" si="34"/>
        <v>68000</v>
      </c>
      <c r="BE43" s="971"/>
      <c r="BF43" s="971"/>
      <c r="BG43" s="971">
        <f t="shared" si="35"/>
        <v>68000</v>
      </c>
      <c r="BH43" s="972" t="e">
        <f>IF(AX43&lt;=#REF!,#REF!,IF(AX43&lt;=#REF!,#REF!,IF(AX43&lt;=#REF!,#REF!,IF(AX43&lt;=#REF!,#REF!,IF(AX43&lt;=#REF!,#REF!,IF(AX43&lt;=#REF!,#REF!,IF(AX43&lt;=#REF!,#REF!,0.05)))))))</f>
        <v>#REF!</v>
      </c>
      <c r="BI43" s="971" t="e">
        <f t="shared" si="36"/>
        <v>#REF!</v>
      </c>
      <c r="BJ43" s="972"/>
      <c r="BK43" s="972" t="e">
        <f>IF(BA43&lt;=#REF!,#REF!,IF(BA43&lt;=#REF!,#REF!,IF(BA43&lt;=#REF!,#REF!,IF(BA43&lt;=#REF!,#REF!,IF(BA43&lt;=#REF!,#REF!,IF(BA43&lt;=#REF!,#REF!,IF(BA43&lt;=#REF!,#REF!,0.05)))))))</f>
        <v>#REF!</v>
      </c>
      <c r="BL43" s="971" t="e">
        <f t="shared" si="37"/>
        <v>#REF!</v>
      </c>
      <c r="BM43" s="972"/>
      <c r="BN43" s="972" t="e">
        <f>IF(BD43&lt;=#REF!,#REF!,IF(BD43&lt;=#REF!,#REF!,IF(BD43&lt;=#REF!,#REF!,IF(BD43&lt;=#REF!,#REF!,IF(BD43&lt;=#REF!,#REF!,IF(BD43&lt;=#REF!,#REF!,IF(BD43&lt;=#REF!,#REF!,0.05)))))))</f>
        <v>#REF!</v>
      </c>
      <c r="BO43" s="971" t="e">
        <f t="shared" si="38"/>
        <v>#REF!</v>
      </c>
      <c r="BP43" s="972"/>
      <c r="BQ43" s="973" t="e">
        <f>IF(BG43&lt;=#REF!,#REF!,IF(BG43&lt;=#REF!,#REF!,IF(BG43&lt;=#REF!,#REF!,IF(BG43&lt;=#REF!,#REF!,IF(BG43&lt;=#REF!,#REF!,IF(BG43&lt;=#REF!,#REF!,IF(BG43&lt;=#REF!,#REF!,0.05)))))))</f>
        <v>#REF!</v>
      </c>
      <c r="BR43" s="971" t="e">
        <f t="shared" si="39"/>
        <v>#REF!</v>
      </c>
      <c r="BT43" s="598" t="e">
        <f t="shared" si="40"/>
        <v>#REF!</v>
      </c>
      <c r="BV43" s="598" t="e">
        <f t="shared" si="41"/>
        <v>#REF!</v>
      </c>
      <c r="BW43" s="599" t="e">
        <f t="shared" si="42"/>
        <v>#REF!</v>
      </c>
      <c r="BX43" s="972" t="e">
        <f t="shared" si="43"/>
        <v>#REF!</v>
      </c>
      <c r="CN43" s="971">
        <v>34000</v>
      </c>
      <c r="CO43" s="971"/>
      <c r="CP43" s="971"/>
      <c r="CQ43" s="971">
        <f t="shared" si="16"/>
        <v>34000</v>
      </c>
      <c r="CR43" s="971"/>
      <c r="CS43" s="971"/>
      <c r="CT43" s="971">
        <f t="shared" si="17"/>
        <v>68000</v>
      </c>
      <c r="CU43" s="971"/>
      <c r="CV43" s="971"/>
      <c r="CW43" s="971">
        <f t="shared" si="18"/>
        <v>68000</v>
      </c>
      <c r="CX43" s="972">
        <f t="shared" si="30"/>
        <v>0.05</v>
      </c>
      <c r="CY43" s="971">
        <f t="shared" si="19"/>
        <v>1700</v>
      </c>
      <c r="CZ43" s="972"/>
      <c r="DA43" s="972">
        <f t="shared" si="31"/>
        <v>0.03</v>
      </c>
      <c r="DB43" s="971">
        <f t="shared" si="20"/>
        <v>1020</v>
      </c>
      <c r="DC43" s="972"/>
      <c r="DD43" s="972">
        <f t="shared" si="32"/>
        <v>0.18</v>
      </c>
      <c r="DE43" s="971">
        <f t="shared" si="21"/>
        <v>12729.6</v>
      </c>
      <c r="DF43" s="972"/>
      <c r="DG43" s="973">
        <f t="shared" si="33"/>
        <v>-0.06</v>
      </c>
      <c r="DH43" s="971">
        <f t="shared" si="22"/>
        <v>-4080</v>
      </c>
      <c r="DJ43" s="598">
        <f t="shared" si="23"/>
        <v>5555.8720000000012</v>
      </c>
      <c r="DL43" s="598">
        <f t="shared" si="24"/>
        <v>84925.472000000009</v>
      </c>
      <c r="DM43" s="599">
        <f t="shared" si="25"/>
        <v>11369.6</v>
      </c>
      <c r="DN43" s="972">
        <f t="shared" si="26"/>
        <v>0.13387738369001939</v>
      </c>
    </row>
    <row r="44" spans="1:118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M44" s="632" t="s">
        <v>564</v>
      </c>
      <c r="N44" s="1020" t="s">
        <v>687</v>
      </c>
      <c r="O44" s="1108">
        <v>299.5</v>
      </c>
      <c r="P44" s="1021">
        <v>333</v>
      </c>
      <c r="Q44" s="1022">
        <f t="shared" si="44"/>
        <v>0.89939939939939939</v>
      </c>
      <c r="R44" s="633" t="s">
        <v>646</v>
      </c>
      <c r="S44" s="852">
        <v>27</v>
      </c>
      <c r="T44" s="852"/>
      <c r="AX44" s="971">
        <v>35000</v>
      </c>
      <c r="AY44" s="971"/>
      <c r="AZ44" s="971"/>
      <c r="BA44" s="971">
        <f t="shared" si="5"/>
        <v>35000</v>
      </c>
      <c r="BB44" s="971"/>
      <c r="BC44" s="971"/>
      <c r="BD44" s="971">
        <f t="shared" si="34"/>
        <v>70000</v>
      </c>
      <c r="BE44" s="971"/>
      <c r="BF44" s="971"/>
      <c r="BG44" s="971">
        <f t="shared" si="35"/>
        <v>70000</v>
      </c>
      <c r="BH44" s="972" t="e">
        <f>IF(AX44&lt;=#REF!,#REF!,IF(AX44&lt;=#REF!,#REF!,IF(AX44&lt;=#REF!,#REF!,IF(AX44&lt;=#REF!,#REF!,IF(AX44&lt;=#REF!,#REF!,IF(AX44&lt;=#REF!,#REF!,IF(AX44&lt;=#REF!,#REF!,0.05)))))))</f>
        <v>#REF!</v>
      </c>
      <c r="BI44" s="971" t="e">
        <f t="shared" si="36"/>
        <v>#REF!</v>
      </c>
      <c r="BJ44" s="972"/>
      <c r="BK44" s="972" t="e">
        <f>IF(BA44&lt;=#REF!,#REF!,IF(BA44&lt;=#REF!,#REF!,IF(BA44&lt;=#REF!,#REF!,IF(BA44&lt;=#REF!,#REF!,IF(BA44&lt;=#REF!,#REF!,IF(BA44&lt;=#REF!,#REF!,IF(BA44&lt;=#REF!,#REF!,0.05)))))))</f>
        <v>#REF!</v>
      </c>
      <c r="BL44" s="971" t="e">
        <f t="shared" si="37"/>
        <v>#REF!</v>
      </c>
      <c r="BM44" s="972"/>
      <c r="BN44" s="972" t="e">
        <f>IF(BD44&lt;=#REF!,#REF!,IF(BD44&lt;=#REF!,#REF!,IF(BD44&lt;=#REF!,#REF!,IF(BD44&lt;=#REF!,#REF!,IF(BD44&lt;=#REF!,#REF!,IF(BD44&lt;=#REF!,#REF!,IF(BD44&lt;=#REF!,#REF!,0.05)))))))</f>
        <v>#REF!</v>
      </c>
      <c r="BO44" s="971" t="e">
        <f t="shared" si="38"/>
        <v>#REF!</v>
      </c>
      <c r="BP44" s="972"/>
      <c r="BQ44" s="973" t="e">
        <f>IF(BG44&lt;=#REF!,#REF!,IF(BG44&lt;=#REF!,#REF!,IF(BG44&lt;=#REF!,#REF!,IF(BG44&lt;=#REF!,#REF!,IF(BG44&lt;=#REF!,#REF!,IF(BG44&lt;=#REF!,#REF!,IF(BG44&lt;=#REF!,#REF!,0.05)))))))</f>
        <v>#REF!</v>
      </c>
      <c r="BR44" s="971" t="e">
        <f t="shared" si="39"/>
        <v>#REF!</v>
      </c>
      <c r="BT44" s="598" t="e">
        <f t="shared" si="40"/>
        <v>#REF!</v>
      </c>
      <c r="BV44" s="598" t="e">
        <f t="shared" si="41"/>
        <v>#REF!</v>
      </c>
      <c r="BW44" s="599" t="e">
        <f t="shared" si="42"/>
        <v>#REF!</v>
      </c>
      <c r="BX44" s="972" t="e">
        <f t="shared" si="43"/>
        <v>#REF!</v>
      </c>
      <c r="CN44" s="971">
        <v>35000</v>
      </c>
      <c r="CO44" s="971"/>
      <c r="CP44" s="971"/>
      <c r="CQ44" s="971">
        <f t="shared" si="16"/>
        <v>35000</v>
      </c>
      <c r="CR44" s="971"/>
      <c r="CS44" s="971"/>
      <c r="CT44" s="971">
        <f t="shared" si="17"/>
        <v>70000</v>
      </c>
      <c r="CU44" s="971"/>
      <c r="CV44" s="971"/>
      <c r="CW44" s="971">
        <f t="shared" si="18"/>
        <v>70000</v>
      </c>
      <c r="CX44" s="972">
        <f t="shared" si="30"/>
        <v>0.05</v>
      </c>
      <c r="CY44" s="971">
        <f t="shared" si="19"/>
        <v>1750</v>
      </c>
      <c r="CZ44" s="972"/>
      <c r="DA44" s="972">
        <f t="shared" si="31"/>
        <v>0.03</v>
      </c>
      <c r="DB44" s="971">
        <f t="shared" si="20"/>
        <v>1050</v>
      </c>
      <c r="DC44" s="972"/>
      <c r="DD44" s="972">
        <f t="shared" si="32"/>
        <v>0.18</v>
      </c>
      <c r="DE44" s="971">
        <f t="shared" si="21"/>
        <v>13104</v>
      </c>
      <c r="DF44" s="972"/>
      <c r="DG44" s="973">
        <f t="shared" si="33"/>
        <v>-0.06</v>
      </c>
      <c r="DH44" s="971">
        <f t="shared" si="22"/>
        <v>-4200</v>
      </c>
      <c r="DJ44" s="598">
        <f t="shared" si="23"/>
        <v>5719.2800000000007</v>
      </c>
      <c r="DL44" s="598">
        <f t="shared" si="24"/>
        <v>87423.28</v>
      </c>
      <c r="DM44" s="599">
        <f t="shared" si="25"/>
        <v>11704</v>
      </c>
      <c r="DN44" s="972">
        <f t="shared" si="26"/>
        <v>0.13387738369001942</v>
      </c>
    </row>
    <row r="45" spans="1:118" s="585" customFormat="1">
      <c r="A45" s="1442">
        <v>8</v>
      </c>
      <c r="B45" s="1109"/>
      <c r="C45" s="740">
        <v>32.520000000000003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M45" s="632"/>
      <c r="N45" s="600"/>
      <c r="O45" s="600"/>
      <c r="AX45" s="971">
        <v>36000</v>
      </c>
      <c r="AY45" s="971"/>
      <c r="AZ45" s="971"/>
      <c r="BA45" s="971">
        <f t="shared" ref="BA45" si="45">AX45</f>
        <v>36000</v>
      </c>
      <c r="BB45" s="971"/>
      <c r="BC45" s="971"/>
      <c r="BD45" s="971">
        <f t="shared" ref="BD45" si="46">AX45+BA45</f>
        <v>72000</v>
      </c>
      <c r="BE45" s="971"/>
      <c r="BF45" s="971"/>
      <c r="BG45" s="971">
        <f t="shared" ref="BG45" si="47">BD45</f>
        <v>72000</v>
      </c>
      <c r="BH45" s="972" t="e">
        <f>IF(AX45&lt;=#REF!,#REF!,IF(AX45&lt;=#REF!,#REF!,IF(AX45&lt;=#REF!,#REF!,IF(AX45&lt;=#REF!,#REF!,IF(AX45&lt;=#REF!,#REF!,IF(AX45&lt;=#REF!,#REF!,IF(AX45&lt;=#REF!,#REF!,0.05)))))))</f>
        <v>#REF!</v>
      </c>
      <c r="BI45" s="971" t="e">
        <f t="shared" ref="BI45" si="48">BH45*AX45</f>
        <v>#REF!</v>
      </c>
      <c r="BJ45" s="972"/>
      <c r="BK45" s="972" t="e">
        <f>IF(BA45&lt;=#REF!,#REF!,IF(BA45&lt;=#REF!,#REF!,IF(BA45&lt;=#REF!,#REF!,IF(BA45&lt;=#REF!,#REF!,IF(BA45&lt;=#REF!,#REF!,IF(BA45&lt;=#REF!,#REF!,IF(BA45&lt;=#REF!,#REF!,0.05)))))))</f>
        <v>#REF!</v>
      </c>
      <c r="BL45" s="971" t="e">
        <f t="shared" ref="BL45" si="49">BK45*BA45</f>
        <v>#REF!</v>
      </c>
      <c r="BM45" s="972"/>
      <c r="BN45" s="972" t="e">
        <f>IF(BD45&lt;=#REF!,#REF!,IF(BD45&lt;=#REF!,#REF!,IF(BD45&lt;=#REF!,#REF!,IF(BD45&lt;=#REF!,#REF!,IF(BD45&lt;=#REF!,#REF!,IF(BD45&lt;=#REF!,#REF!,IF(BD45&lt;=#REF!,#REF!,0.05)))))))</f>
        <v>#REF!</v>
      </c>
      <c r="BO45" s="971" t="e">
        <f t="shared" ref="BO45" si="50">BN45*SUM(BL45,BI45,BD45)</f>
        <v>#REF!</v>
      </c>
      <c r="BP45" s="972"/>
      <c r="BQ45" s="973" t="e">
        <f>IF(BG45&lt;=#REF!,#REF!,IF(BG45&lt;=#REF!,#REF!,IF(BG45&lt;=#REF!,#REF!,IF(BG45&lt;=#REF!,#REF!,IF(BG45&lt;=#REF!,#REF!,IF(BG45&lt;=#REF!,#REF!,IF(BG45&lt;=#REF!,#REF!,0.05)))))))</f>
        <v>#REF!</v>
      </c>
      <c r="BR45" s="971" t="e">
        <f t="shared" ref="BR45" si="51">BQ45*BG45</f>
        <v>#REF!</v>
      </c>
      <c r="BT45" s="598" t="e">
        <f t="shared" ref="BT45" si="52">0.07*SUM(BD45,BI45,BL45,BO45,BR45)</f>
        <v>#REF!</v>
      </c>
      <c r="BV45" s="598" t="e">
        <f t="shared" ref="BV45" si="53">SUM(BT45,BR45,BO45,BL45,BI45,BD45)</f>
        <v>#REF!</v>
      </c>
      <c r="BW45" s="599" t="e">
        <f t="shared" ref="BW45" si="54">SUM(BR45,BO45,BL45,BI45)</f>
        <v>#REF!</v>
      </c>
      <c r="BX45" s="972" t="e">
        <f t="shared" ref="BX45" si="55">BW45/BV45</f>
        <v>#REF!</v>
      </c>
      <c r="CN45" s="971">
        <v>36000</v>
      </c>
      <c r="CO45" s="971"/>
      <c r="CP45" s="971"/>
      <c r="CQ45" s="971">
        <f t="shared" ref="CQ45" si="56">CN45</f>
        <v>36000</v>
      </c>
      <c r="CR45" s="971"/>
      <c r="CS45" s="971"/>
      <c r="CT45" s="971">
        <f t="shared" ref="CT45" si="57">CN45+CQ45</f>
        <v>72000</v>
      </c>
      <c r="CU45" s="971"/>
      <c r="CV45" s="971"/>
      <c r="CW45" s="971">
        <f t="shared" ref="CW45" si="58">CT45</f>
        <v>72000</v>
      </c>
      <c r="CX45" s="972">
        <f t="shared" ref="CX45" si="59">IF(CN45&lt;=BP$6,BO$6,IF(CN45&lt;=BP$7,BO$7,IF(CN45&lt;=BP$8,BO$8,IF(CN45&lt;=BP$9,BO$9,IF(CN45&lt;=BP$14,BO$14,IF(CN45&lt;=BP$15,BO$15,IF(CN45&lt;=BP$16,BO$16,0.05)))))))</f>
        <v>0.05</v>
      </c>
      <c r="CY45" s="971">
        <f t="shared" ref="CY45" si="60">CX45*CN45</f>
        <v>1800</v>
      </c>
      <c r="CZ45" s="972"/>
      <c r="DA45" s="972">
        <f t="shared" ref="DA45" si="61">IF(CQ45&lt;=BS$6,BR$6,IF(CQ45&lt;=BS$7,BR$7,IF(CQ45&lt;=BS$8,BR$8,IF(CQ45&lt;=BS$9,BR$9,IF(CQ45&lt;=BS$14,BR$14,IF(CQ45&lt;=BS$15,BR$15,IF(CQ45&lt;=BS$16,BR$16,0.05)))))))</f>
        <v>0.03</v>
      </c>
      <c r="DB45" s="971">
        <f t="shared" ref="DB45" si="62">DA45*CQ45</f>
        <v>1080</v>
      </c>
      <c r="DC45" s="972"/>
      <c r="DD45" s="972">
        <f t="shared" ref="DD45" si="63">IF(CT45&lt;=BV$6,BU$6,IF(CT45&lt;=BV$7,BU$7,IF(CT45&lt;=BV$8,BU$8,IF(CT45&lt;=BV$9,BU$9,IF(CT45&lt;=BV$14,BU$14,IF(CT45&lt;=BV$15,BU$15,IF(CT45&lt;=BV$16,BU$16,0.05)))))))</f>
        <v>0.18</v>
      </c>
      <c r="DE45" s="971">
        <f t="shared" ref="DE45" si="64">DD45*SUM(DB45,CY45,CT45)</f>
        <v>13478.4</v>
      </c>
      <c r="DF45" s="972"/>
      <c r="DG45" s="973">
        <f t="shared" ref="DG45" si="65">IF(CW45&lt;=BY$6,BX$6,IF(CW45&lt;=BY$7,BX$7,IF(CW45&lt;=BY$8,BX$8,IF(CW45&lt;=BY$9,BX$9,IF(CW45&lt;=BY$14,BX$14,IF(CW45&lt;=BY$15,BX$15,IF(CW45&lt;=BY$16,BX$16,0.05)))))))</f>
        <v>-0.06</v>
      </c>
      <c r="DH45" s="971">
        <f t="shared" ref="DH45" si="66">DG45*CW45</f>
        <v>-4320</v>
      </c>
      <c r="DJ45" s="598">
        <f t="shared" ref="DJ45" si="67">0.07*SUM(CT45,CY45,DB45,DE45,DH45)</f>
        <v>5882.6880000000001</v>
      </c>
      <c r="DL45" s="598">
        <f t="shared" ref="DL45" si="68">SUM(DJ45,DH45,DE45,DB45,CY45,CT45)</f>
        <v>89921.088000000003</v>
      </c>
      <c r="DM45" s="599">
        <f t="shared" ref="DM45" si="69">SUM(DH45,DE45,DB45,CY45)</f>
        <v>12038.4</v>
      </c>
      <c r="DN45" s="972">
        <f t="shared" ref="DN45" si="70">DM45/DL45</f>
        <v>0.13387738369001939</v>
      </c>
    </row>
    <row r="46" spans="1:118" s="585" customFormat="1">
      <c r="A46" s="1442">
        <v>8</v>
      </c>
      <c r="B46" s="1030">
        <f>S28*G46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O31</f>
        <v>#DIV/0!</v>
      </c>
      <c r="K46" s="1342" t="s">
        <v>891</v>
      </c>
      <c r="L46" s="1342"/>
      <c r="M46" s="600"/>
      <c r="N46" s="1140" t="s">
        <v>716</v>
      </c>
      <c r="O46" s="1139">
        <f>O37-O42</f>
        <v>-82.800000000000026</v>
      </c>
      <c r="Q46" s="1139">
        <f>Q37-Q42</f>
        <v>-0.15000000000000008</v>
      </c>
      <c r="AX46" s="971">
        <v>36000</v>
      </c>
      <c r="AY46" s="971"/>
      <c r="AZ46" s="971"/>
      <c r="BA46" s="971">
        <f t="shared" si="5"/>
        <v>36000</v>
      </c>
      <c r="BB46" s="971"/>
      <c r="BC46" s="971"/>
      <c r="BD46" s="971">
        <f t="shared" si="34"/>
        <v>72000</v>
      </c>
      <c r="BE46" s="971"/>
      <c r="BF46" s="971"/>
      <c r="BG46" s="971">
        <f t="shared" si="35"/>
        <v>72000</v>
      </c>
      <c r="BH46" s="972" t="e">
        <f>IF(AX46&lt;=#REF!,#REF!,IF(AX46&lt;=#REF!,#REF!,IF(AX46&lt;=#REF!,#REF!,IF(AX46&lt;=#REF!,#REF!,IF(AX46&lt;=#REF!,#REF!,IF(AX46&lt;=#REF!,#REF!,IF(AX46&lt;=#REF!,#REF!,0.05)))))))</f>
        <v>#REF!</v>
      </c>
      <c r="BI46" s="971" t="e">
        <f t="shared" si="36"/>
        <v>#REF!</v>
      </c>
      <c r="BJ46" s="972"/>
      <c r="BK46" s="972" t="e">
        <f>IF(BA46&lt;=#REF!,#REF!,IF(BA46&lt;=#REF!,#REF!,IF(BA46&lt;=#REF!,#REF!,IF(BA46&lt;=#REF!,#REF!,IF(BA46&lt;=#REF!,#REF!,IF(BA46&lt;=#REF!,#REF!,IF(BA46&lt;=#REF!,#REF!,0.05)))))))</f>
        <v>#REF!</v>
      </c>
      <c r="BL46" s="971" t="e">
        <f t="shared" si="37"/>
        <v>#REF!</v>
      </c>
      <c r="BM46" s="972"/>
      <c r="BN46" s="972" t="e">
        <f>IF(BD46&lt;=#REF!,#REF!,IF(BD46&lt;=#REF!,#REF!,IF(BD46&lt;=#REF!,#REF!,IF(BD46&lt;=#REF!,#REF!,IF(BD46&lt;=#REF!,#REF!,IF(BD46&lt;=#REF!,#REF!,IF(BD46&lt;=#REF!,#REF!,0.05)))))))</f>
        <v>#REF!</v>
      </c>
      <c r="BO46" s="971" t="e">
        <f t="shared" si="38"/>
        <v>#REF!</v>
      </c>
      <c r="BP46" s="972"/>
      <c r="BQ46" s="973" t="e">
        <f>IF(BG46&lt;=#REF!,#REF!,IF(BG46&lt;=#REF!,#REF!,IF(BG46&lt;=#REF!,#REF!,IF(BG46&lt;=#REF!,#REF!,IF(BG46&lt;=#REF!,#REF!,IF(BG46&lt;=#REF!,#REF!,IF(BG46&lt;=#REF!,#REF!,0.05)))))))</f>
        <v>#REF!</v>
      </c>
      <c r="BR46" s="971" t="e">
        <f t="shared" si="39"/>
        <v>#REF!</v>
      </c>
      <c r="BT46" s="598" t="e">
        <f t="shared" si="40"/>
        <v>#REF!</v>
      </c>
      <c r="BV46" s="598" t="e">
        <f t="shared" si="41"/>
        <v>#REF!</v>
      </c>
      <c r="BW46" s="599" t="e">
        <f t="shared" si="42"/>
        <v>#REF!</v>
      </c>
      <c r="BX46" s="972" t="e">
        <f t="shared" si="43"/>
        <v>#REF!</v>
      </c>
      <c r="CN46" s="971">
        <v>36000</v>
      </c>
      <c r="CO46" s="971"/>
      <c r="CP46" s="971"/>
      <c r="CQ46" s="971">
        <f t="shared" si="16"/>
        <v>36000</v>
      </c>
      <c r="CR46" s="971"/>
      <c r="CS46" s="971"/>
      <c r="CT46" s="971">
        <f t="shared" si="17"/>
        <v>72000</v>
      </c>
      <c r="CU46" s="971"/>
      <c r="CV46" s="971"/>
      <c r="CW46" s="971">
        <f t="shared" si="18"/>
        <v>72000</v>
      </c>
      <c r="CX46" s="972">
        <f t="shared" si="30"/>
        <v>0.05</v>
      </c>
      <c r="CY46" s="971">
        <f t="shared" si="19"/>
        <v>1800</v>
      </c>
      <c r="CZ46" s="972"/>
      <c r="DA46" s="972">
        <f t="shared" si="31"/>
        <v>0.03</v>
      </c>
      <c r="DB46" s="971">
        <f t="shared" si="20"/>
        <v>1080</v>
      </c>
      <c r="DC46" s="972"/>
      <c r="DD46" s="972">
        <f t="shared" si="32"/>
        <v>0.18</v>
      </c>
      <c r="DE46" s="971">
        <f t="shared" si="21"/>
        <v>13478.4</v>
      </c>
      <c r="DF46" s="972"/>
      <c r="DG46" s="973">
        <f t="shared" si="33"/>
        <v>-0.06</v>
      </c>
      <c r="DH46" s="971">
        <f t="shared" si="22"/>
        <v>-4320</v>
      </c>
      <c r="DJ46" s="598">
        <f t="shared" si="23"/>
        <v>5882.6880000000001</v>
      </c>
      <c r="DL46" s="598">
        <f t="shared" si="24"/>
        <v>89921.088000000003</v>
      </c>
      <c r="DM46" s="599">
        <f t="shared" si="25"/>
        <v>12038.4</v>
      </c>
      <c r="DN46" s="972">
        <f t="shared" si="26"/>
        <v>0.13387738369001939</v>
      </c>
    </row>
    <row r="47" spans="1:118" s="585" customFormat="1">
      <c r="A47" s="1603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P31</f>
        <v>#DIV/0!</v>
      </c>
      <c r="K47" s="1341" t="s">
        <v>889</v>
      </c>
      <c r="L47" s="1341"/>
      <c r="M47" s="600"/>
      <c r="N47" s="763"/>
      <c r="O47" s="1139">
        <f t="shared" ref="O47:Q48" si="71">O38-O43</f>
        <v>-111</v>
      </c>
      <c r="Q47" s="1139">
        <f t="shared" si="71"/>
        <v>-0.12000000000000005</v>
      </c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2"/>
      <c r="BI47" s="971"/>
      <c r="BJ47" s="972"/>
      <c r="BK47" s="972"/>
      <c r="BL47" s="971"/>
      <c r="BM47" s="972"/>
      <c r="BN47" s="972"/>
      <c r="BO47" s="971"/>
      <c r="BP47" s="972"/>
      <c r="BQ47" s="973"/>
      <c r="BR47" s="971"/>
      <c r="BT47" s="598"/>
      <c r="BV47" s="598"/>
      <c r="BW47" s="599"/>
      <c r="BX47" s="972"/>
      <c r="CN47" s="971"/>
      <c r="CO47" s="971"/>
      <c r="CP47" s="971"/>
      <c r="CQ47" s="971"/>
      <c r="CR47" s="971"/>
      <c r="CS47" s="971"/>
      <c r="CT47" s="971"/>
      <c r="CU47" s="971"/>
      <c r="CV47" s="971"/>
      <c r="CW47" s="971"/>
      <c r="CX47" s="972"/>
      <c r="CY47" s="971"/>
      <c r="CZ47" s="972"/>
      <c r="DA47" s="972"/>
      <c r="DB47" s="971"/>
      <c r="DC47" s="972"/>
      <c r="DD47" s="972"/>
      <c r="DE47" s="971"/>
      <c r="DF47" s="972"/>
      <c r="DG47" s="973"/>
      <c r="DH47" s="971"/>
      <c r="DJ47" s="598"/>
      <c r="DL47" s="598"/>
      <c r="DM47" s="599"/>
      <c r="DN47" s="972"/>
    </row>
    <row r="48" spans="1:118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Q31</f>
        <v>#DIV/0!</v>
      </c>
      <c r="K48" s="1343" t="s">
        <v>892</v>
      </c>
      <c r="L48" s="1343"/>
      <c r="N48" s="763"/>
      <c r="O48" s="1139">
        <f t="shared" si="71"/>
        <v>-226.29999999999998</v>
      </c>
      <c r="Q48" s="1139">
        <f t="shared" si="71"/>
        <v>-0.28939939939939929</v>
      </c>
      <c r="AX48" s="971">
        <v>37000</v>
      </c>
      <c r="AY48" s="971"/>
      <c r="AZ48" s="971"/>
      <c r="BA48" s="971">
        <f t="shared" si="5"/>
        <v>37000</v>
      </c>
      <c r="BB48" s="971"/>
      <c r="BC48" s="971"/>
      <c r="BD48" s="971">
        <f t="shared" si="34"/>
        <v>74000</v>
      </c>
      <c r="BE48" s="971"/>
      <c r="BF48" s="971"/>
      <c r="BG48" s="971">
        <f t="shared" si="35"/>
        <v>74000</v>
      </c>
      <c r="BH48" s="972" t="e">
        <f>IF(AX48&lt;=#REF!,#REF!,IF(AX48&lt;=#REF!,#REF!,IF(AX48&lt;=#REF!,#REF!,IF(AX48&lt;=#REF!,#REF!,IF(AX48&lt;=#REF!,#REF!,IF(AX48&lt;=#REF!,#REF!,IF(AX48&lt;=#REF!,#REF!,0.05)))))))</f>
        <v>#REF!</v>
      </c>
      <c r="BI48" s="971" t="e">
        <f t="shared" si="36"/>
        <v>#REF!</v>
      </c>
      <c r="BJ48" s="972"/>
      <c r="BK48" s="972" t="e">
        <f>IF(BA48&lt;=#REF!,#REF!,IF(BA48&lt;=#REF!,#REF!,IF(BA48&lt;=#REF!,#REF!,IF(BA48&lt;=#REF!,#REF!,IF(BA48&lt;=#REF!,#REF!,IF(BA48&lt;=#REF!,#REF!,IF(BA48&lt;=#REF!,#REF!,0.05)))))))</f>
        <v>#REF!</v>
      </c>
      <c r="BL48" s="971" t="e">
        <f t="shared" si="37"/>
        <v>#REF!</v>
      </c>
      <c r="BM48" s="972"/>
      <c r="BN48" s="972" t="e">
        <f>IF(BD48&lt;=#REF!,#REF!,IF(BD48&lt;=#REF!,#REF!,IF(BD48&lt;=#REF!,#REF!,IF(BD48&lt;=#REF!,#REF!,IF(BD48&lt;=#REF!,#REF!,IF(BD48&lt;=#REF!,#REF!,IF(BD48&lt;=#REF!,#REF!,0.05)))))))</f>
        <v>#REF!</v>
      </c>
      <c r="BO48" s="971" t="e">
        <f t="shared" si="38"/>
        <v>#REF!</v>
      </c>
      <c r="BP48" s="972"/>
      <c r="BQ48" s="973" t="e">
        <f>IF(BG48&lt;=#REF!,#REF!,IF(BG48&lt;=#REF!,#REF!,IF(BG48&lt;=#REF!,#REF!,IF(BG48&lt;=#REF!,#REF!,IF(BG48&lt;=#REF!,#REF!,IF(BG48&lt;=#REF!,#REF!,IF(BG48&lt;=#REF!,#REF!,0.05)))))))</f>
        <v>#REF!</v>
      </c>
      <c r="BR48" s="971" t="e">
        <f t="shared" si="39"/>
        <v>#REF!</v>
      </c>
      <c r="BT48" s="598" t="e">
        <f t="shared" si="40"/>
        <v>#REF!</v>
      </c>
      <c r="BV48" s="598" t="e">
        <f t="shared" si="41"/>
        <v>#REF!</v>
      </c>
      <c r="BW48" s="599" t="e">
        <f t="shared" si="42"/>
        <v>#REF!</v>
      </c>
      <c r="BX48" s="972" t="e">
        <f t="shared" si="43"/>
        <v>#REF!</v>
      </c>
      <c r="CN48" s="971">
        <v>37000</v>
      </c>
      <c r="CO48" s="971"/>
      <c r="CP48" s="971"/>
      <c r="CQ48" s="971">
        <f t="shared" si="16"/>
        <v>37000</v>
      </c>
      <c r="CR48" s="971"/>
      <c r="CS48" s="971"/>
      <c r="CT48" s="971">
        <f t="shared" si="17"/>
        <v>74000</v>
      </c>
      <c r="CU48" s="971"/>
      <c r="CV48" s="971"/>
      <c r="CW48" s="971">
        <f t="shared" si="18"/>
        <v>74000</v>
      </c>
      <c r="CX48" s="972">
        <f t="shared" si="30"/>
        <v>0.05</v>
      </c>
      <c r="CY48" s="971">
        <f t="shared" si="19"/>
        <v>1850</v>
      </c>
      <c r="CZ48" s="972"/>
      <c r="DA48" s="972">
        <f t="shared" si="31"/>
        <v>0.03</v>
      </c>
      <c r="DB48" s="971">
        <f t="shared" si="20"/>
        <v>1110</v>
      </c>
      <c r="DC48" s="972"/>
      <c r="DD48" s="972">
        <f t="shared" si="32"/>
        <v>0.18</v>
      </c>
      <c r="DE48" s="971">
        <f t="shared" si="21"/>
        <v>13852.8</v>
      </c>
      <c r="DF48" s="972"/>
      <c r="DG48" s="973">
        <f t="shared" si="33"/>
        <v>-0.06</v>
      </c>
      <c r="DH48" s="971">
        <f t="shared" si="22"/>
        <v>-4440</v>
      </c>
      <c r="DJ48" s="598">
        <f t="shared" si="23"/>
        <v>6046.0960000000005</v>
      </c>
      <c r="DL48" s="598">
        <f t="shared" si="24"/>
        <v>92418.896000000008</v>
      </c>
      <c r="DM48" s="599">
        <f t="shared" si="25"/>
        <v>12372.8</v>
      </c>
      <c r="DN48" s="972">
        <f t="shared" si="26"/>
        <v>0.13387738369001939</v>
      </c>
    </row>
    <row r="49" spans="1:118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N49" s="763"/>
      <c r="AX49" s="971">
        <v>37000</v>
      </c>
      <c r="AY49" s="971"/>
      <c r="AZ49" s="971"/>
      <c r="BA49" s="971">
        <f t="shared" si="5"/>
        <v>37000</v>
      </c>
      <c r="BB49" s="971"/>
      <c r="BC49" s="971"/>
      <c r="BD49" s="971">
        <f t="shared" si="34"/>
        <v>74000</v>
      </c>
      <c r="BE49" s="971"/>
      <c r="BF49" s="971"/>
      <c r="BG49" s="971">
        <f t="shared" si="35"/>
        <v>74000</v>
      </c>
      <c r="BH49" s="972" t="e">
        <f>IF(AX49&lt;=#REF!,#REF!,IF(AX49&lt;=#REF!,#REF!,IF(AX49&lt;=#REF!,#REF!,IF(AX49&lt;=#REF!,#REF!,IF(AX49&lt;=#REF!,#REF!,IF(AX49&lt;=#REF!,#REF!,IF(AX49&lt;=#REF!,#REF!,0.05)))))))</f>
        <v>#REF!</v>
      </c>
      <c r="BI49" s="971" t="e">
        <f t="shared" si="36"/>
        <v>#REF!</v>
      </c>
      <c r="BJ49" s="972"/>
      <c r="BK49" s="972" t="e">
        <f>IF(BA49&lt;=#REF!,#REF!,IF(BA49&lt;=#REF!,#REF!,IF(BA49&lt;=#REF!,#REF!,IF(BA49&lt;=#REF!,#REF!,IF(BA49&lt;=#REF!,#REF!,IF(BA49&lt;=#REF!,#REF!,IF(BA49&lt;=#REF!,#REF!,0.05)))))))</f>
        <v>#REF!</v>
      </c>
      <c r="BL49" s="971" t="e">
        <f t="shared" si="37"/>
        <v>#REF!</v>
      </c>
      <c r="BM49" s="972"/>
      <c r="BN49" s="972" t="e">
        <f>IF(BD49&lt;=#REF!,#REF!,IF(BD49&lt;=#REF!,#REF!,IF(BD49&lt;=#REF!,#REF!,IF(BD49&lt;=#REF!,#REF!,IF(BD49&lt;=#REF!,#REF!,IF(BD49&lt;=#REF!,#REF!,IF(BD49&lt;=#REF!,#REF!,0.05)))))))</f>
        <v>#REF!</v>
      </c>
      <c r="BO49" s="971" t="e">
        <f t="shared" si="38"/>
        <v>#REF!</v>
      </c>
      <c r="BP49" s="972"/>
      <c r="BQ49" s="973" t="e">
        <f>IF(BG49&lt;=#REF!,#REF!,IF(BG49&lt;=#REF!,#REF!,IF(BG49&lt;=#REF!,#REF!,IF(BG49&lt;=#REF!,#REF!,IF(BG49&lt;=#REF!,#REF!,IF(BG49&lt;=#REF!,#REF!,IF(BG49&lt;=#REF!,#REF!,0.05)))))))</f>
        <v>#REF!</v>
      </c>
      <c r="BR49" s="971" t="e">
        <f t="shared" si="39"/>
        <v>#REF!</v>
      </c>
      <c r="BT49" s="598" t="e">
        <f t="shared" si="40"/>
        <v>#REF!</v>
      </c>
      <c r="BV49" s="598" t="e">
        <f t="shared" si="41"/>
        <v>#REF!</v>
      </c>
      <c r="BW49" s="599" t="e">
        <f t="shared" si="42"/>
        <v>#REF!</v>
      </c>
      <c r="BX49" s="972" t="e">
        <f t="shared" si="43"/>
        <v>#REF!</v>
      </c>
      <c r="CN49" s="971">
        <v>37000</v>
      </c>
      <c r="CO49" s="971"/>
      <c r="CP49" s="971"/>
      <c r="CQ49" s="971">
        <f t="shared" si="16"/>
        <v>37000</v>
      </c>
      <c r="CR49" s="971"/>
      <c r="CS49" s="971"/>
      <c r="CT49" s="971">
        <f t="shared" si="17"/>
        <v>74000</v>
      </c>
      <c r="CU49" s="971"/>
      <c r="CV49" s="971"/>
      <c r="CW49" s="971">
        <f t="shared" si="18"/>
        <v>74000</v>
      </c>
      <c r="CX49" s="972">
        <f t="shared" si="30"/>
        <v>0.05</v>
      </c>
      <c r="CY49" s="971">
        <f t="shared" si="19"/>
        <v>1850</v>
      </c>
      <c r="CZ49" s="972"/>
      <c r="DA49" s="972">
        <f t="shared" si="31"/>
        <v>0.03</v>
      </c>
      <c r="DB49" s="971">
        <f t="shared" si="20"/>
        <v>1110</v>
      </c>
      <c r="DC49" s="972"/>
      <c r="DD49" s="972">
        <f t="shared" si="32"/>
        <v>0.18</v>
      </c>
      <c r="DE49" s="971">
        <f t="shared" si="21"/>
        <v>13852.8</v>
      </c>
      <c r="DF49" s="972"/>
      <c r="DG49" s="973">
        <f t="shared" si="33"/>
        <v>-0.06</v>
      </c>
      <c r="DH49" s="971">
        <f t="shared" si="22"/>
        <v>-4440</v>
      </c>
      <c r="DJ49" s="598">
        <f t="shared" si="23"/>
        <v>6046.0960000000005</v>
      </c>
      <c r="DL49" s="598">
        <f t="shared" si="24"/>
        <v>92418.896000000008</v>
      </c>
      <c r="DM49" s="599">
        <f t="shared" si="25"/>
        <v>12372.8</v>
      </c>
      <c r="DN49" s="972">
        <f t="shared" si="26"/>
        <v>0.13387738369001939</v>
      </c>
    </row>
    <row r="50" spans="1:118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U50" s="1172" t="s">
        <v>562</v>
      </c>
      <c r="V50" s="1167">
        <v>8</v>
      </c>
      <c r="W50" s="1167" t="s">
        <v>727</v>
      </c>
      <c r="AX50" s="971">
        <v>38000</v>
      </c>
      <c r="AY50" s="971"/>
      <c r="AZ50" s="971"/>
      <c r="BA50" s="971">
        <f t="shared" si="5"/>
        <v>38000</v>
      </c>
      <c r="BB50" s="971"/>
      <c r="BC50" s="971"/>
      <c r="BD50" s="971">
        <f t="shared" si="34"/>
        <v>76000</v>
      </c>
      <c r="BE50" s="971"/>
      <c r="BF50" s="971"/>
      <c r="BG50" s="971">
        <f t="shared" si="35"/>
        <v>76000</v>
      </c>
      <c r="BH50" s="972" t="e">
        <f>IF(AX50&lt;=#REF!,#REF!,IF(AX50&lt;=#REF!,#REF!,IF(AX50&lt;=#REF!,#REF!,IF(AX50&lt;=#REF!,#REF!,IF(AX50&lt;=#REF!,#REF!,IF(AX50&lt;=#REF!,#REF!,IF(AX50&lt;=#REF!,#REF!,0.05)))))))</f>
        <v>#REF!</v>
      </c>
      <c r="BI50" s="971" t="e">
        <f t="shared" si="36"/>
        <v>#REF!</v>
      </c>
      <c r="BJ50" s="972"/>
      <c r="BK50" s="972" t="e">
        <f>IF(BA50&lt;=#REF!,#REF!,IF(BA50&lt;=#REF!,#REF!,IF(BA50&lt;=#REF!,#REF!,IF(BA50&lt;=#REF!,#REF!,IF(BA50&lt;=#REF!,#REF!,IF(BA50&lt;=#REF!,#REF!,IF(BA50&lt;=#REF!,#REF!,0.05)))))))</f>
        <v>#REF!</v>
      </c>
      <c r="BL50" s="971" t="e">
        <f t="shared" si="37"/>
        <v>#REF!</v>
      </c>
      <c r="BM50" s="972"/>
      <c r="BN50" s="972" t="e">
        <f>IF(BD50&lt;=#REF!,#REF!,IF(BD50&lt;=#REF!,#REF!,IF(BD50&lt;=#REF!,#REF!,IF(BD50&lt;=#REF!,#REF!,IF(BD50&lt;=#REF!,#REF!,IF(BD50&lt;=#REF!,#REF!,IF(BD50&lt;=#REF!,#REF!,0.05)))))))</f>
        <v>#REF!</v>
      </c>
      <c r="BO50" s="971" t="e">
        <f t="shared" si="38"/>
        <v>#REF!</v>
      </c>
      <c r="BP50" s="972"/>
      <c r="BQ50" s="973" t="e">
        <f>IF(BG50&lt;=#REF!,#REF!,IF(BG50&lt;=#REF!,#REF!,IF(BG50&lt;=#REF!,#REF!,IF(BG50&lt;=#REF!,#REF!,IF(BG50&lt;=#REF!,#REF!,IF(BG50&lt;=#REF!,#REF!,IF(BG50&lt;=#REF!,#REF!,0.05)))))))</f>
        <v>#REF!</v>
      </c>
      <c r="BR50" s="971" t="e">
        <f t="shared" si="39"/>
        <v>#REF!</v>
      </c>
      <c r="BT50" s="598" t="e">
        <f t="shared" si="40"/>
        <v>#REF!</v>
      </c>
      <c r="BV50" s="598" t="e">
        <f t="shared" si="41"/>
        <v>#REF!</v>
      </c>
      <c r="BW50" s="599" t="e">
        <f t="shared" si="42"/>
        <v>#REF!</v>
      </c>
      <c r="BX50" s="972" t="e">
        <f t="shared" si="43"/>
        <v>#REF!</v>
      </c>
      <c r="CN50" s="971">
        <v>38000</v>
      </c>
      <c r="CO50" s="971"/>
      <c r="CP50" s="971"/>
      <c r="CQ50" s="971">
        <f t="shared" si="16"/>
        <v>38000</v>
      </c>
      <c r="CR50" s="971"/>
      <c r="CS50" s="971"/>
      <c r="CT50" s="971">
        <f t="shared" si="17"/>
        <v>76000</v>
      </c>
      <c r="CU50" s="971"/>
      <c r="CV50" s="971"/>
      <c r="CW50" s="971">
        <f t="shared" si="18"/>
        <v>76000</v>
      </c>
      <c r="CX50" s="972">
        <f t="shared" si="30"/>
        <v>0.05</v>
      </c>
      <c r="CY50" s="971">
        <f t="shared" si="19"/>
        <v>1900</v>
      </c>
      <c r="CZ50" s="972"/>
      <c r="DA50" s="972">
        <f t="shared" si="31"/>
        <v>0.03</v>
      </c>
      <c r="DB50" s="971">
        <f t="shared" si="20"/>
        <v>1140</v>
      </c>
      <c r="DC50" s="972"/>
      <c r="DD50" s="972">
        <f t="shared" si="32"/>
        <v>0.18</v>
      </c>
      <c r="DE50" s="971">
        <f t="shared" si="21"/>
        <v>14227.199999999999</v>
      </c>
      <c r="DF50" s="972"/>
      <c r="DG50" s="973">
        <f t="shared" si="33"/>
        <v>-0.06</v>
      </c>
      <c r="DH50" s="971">
        <f t="shared" si="22"/>
        <v>-4560</v>
      </c>
      <c r="DJ50" s="598">
        <f t="shared" si="23"/>
        <v>6209.5040000000008</v>
      </c>
      <c r="DL50" s="598">
        <f t="shared" si="24"/>
        <v>94916.703999999998</v>
      </c>
      <c r="DM50" s="599">
        <f t="shared" si="25"/>
        <v>12707.199999999999</v>
      </c>
      <c r="DN50" s="972">
        <f t="shared" si="26"/>
        <v>0.13387738369001939</v>
      </c>
    </row>
    <row r="51" spans="1:118" s="585" customFormat="1">
      <c r="A51" s="755">
        <f>A46</f>
        <v>8</v>
      </c>
      <c r="B51" s="1038">
        <f>((B6*2)/60)*S28</f>
        <v>0</v>
      </c>
      <c r="C51" s="1039">
        <v>32.520000000000003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N51" s="851" t="s">
        <v>680</v>
      </c>
      <c r="P51" s="1046" t="s">
        <v>694</v>
      </c>
      <c r="Q51" s="776" t="s">
        <v>725</v>
      </c>
      <c r="R51" s="1150" t="s">
        <v>692</v>
      </c>
      <c r="S51" s="1151" t="s">
        <v>726</v>
      </c>
      <c r="V51" s="1034">
        <f t="shared" ref="V51:V52" si="72">W51/$V$50</f>
        <v>0.75</v>
      </c>
      <c r="W51" s="594">
        <v>6</v>
      </c>
      <c r="AX51" s="971">
        <v>39000</v>
      </c>
      <c r="AY51" s="971"/>
      <c r="AZ51" s="971"/>
      <c r="BA51" s="971">
        <f t="shared" si="5"/>
        <v>39000</v>
      </c>
      <c r="BB51" s="971"/>
      <c r="BC51" s="971"/>
      <c r="BD51" s="971">
        <f t="shared" si="34"/>
        <v>78000</v>
      </c>
      <c r="BE51" s="971"/>
      <c r="BF51" s="971"/>
      <c r="BG51" s="971">
        <f t="shared" si="35"/>
        <v>78000</v>
      </c>
      <c r="BH51" s="972" t="e">
        <f>IF(AX51&lt;=#REF!,#REF!,IF(AX51&lt;=#REF!,#REF!,IF(AX51&lt;=#REF!,#REF!,IF(AX51&lt;=#REF!,#REF!,IF(AX51&lt;=#REF!,#REF!,IF(AX51&lt;=#REF!,#REF!,IF(AX51&lt;=#REF!,#REF!,0.05)))))))</f>
        <v>#REF!</v>
      </c>
      <c r="BI51" s="971" t="e">
        <f t="shared" si="36"/>
        <v>#REF!</v>
      </c>
      <c r="BJ51" s="972"/>
      <c r="BK51" s="972" t="e">
        <f>IF(BA51&lt;=#REF!,#REF!,IF(BA51&lt;=#REF!,#REF!,IF(BA51&lt;=#REF!,#REF!,IF(BA51&lt;=#REF!,#REF!,IF(BA51&lt;=#REF!,#REF!,IF(BA51&lt;=#REF!,#REF!,IF(BA51&lt;=#REF!,#REF!,0.05)))))))</f>
        <v>#REF!</v>
      </c>
      <c r="BL51" s="971" t="e">
        <f t="shared" si="37"/>
        <v>#REF!</v>
      </c>
      <c r="BM51" s="972"/>
      <c r="BN51" s="972" t="e">
        <f>IF(BD51&lt;=#REF!,#REF!,IF(BD51&lt;=#REF!,#REF!,IF(BD51&lt;=#REF!,#REF!,IF(BD51&lt;=#REF!,#REF!,IF(BD51&lt;=#REF!,#REF!,IF(BD51&lt;=#REF!,#REF!,IF(BD51&lt;=#REF!,#REF!,0.05)))))))</f>
        <v>#REF!</v>
      </c>
      <c r="BO51" s="971" t="e">
        <f t="shared" si="38"/>
        <v>#REF!</v>
      </c>
      <c r="BP51" s="972"/>
      <c r="BQ51" s="973" t="e">
        <f>IF(BG51&lt;=#REF!,#REF!,IF(BG51&lt;=#REF!,#REF!,IF(BG51&lt;=#REF!,#REF!,IF(BG51&lt;=#REF!,#REF!,IF(BG51&lt;=#REF!,#REF!,IF(BG51&lt;=#REF!,#REF!,IF(BG51&lt;=#REF!,#REF!,0.05)))))))</f>
        <v>#REF!</v>
      </c>
      <c r="BR51" s="971" t="e">
        <f t="shared" si="39"/>
        <v>#REF!</v>
      </c>
      <c r="BT51" s="598" t="e">
        <f t="shared" si="40"/>
        <v>#REF!</v>
      </c>
      <c r="BV51" s="598" t="e">
        <f t="shared" si="41"/>
        <v>#REF!</v>
      </c>
      <c r="BW51" s="599" t="e">
        <f t="shared" si="42"/>
        <v>#REF!</v>
      </c>
      <c r="BX51" s="972" t="e">
        <f t="shared" si="43"/>
        <v>#REF!</v>
      </c>
      <c r="CN51" s="971">
        <v>39000</v>
      </c>
      <c r="CO51" s="971"/>
      <c r="CP51" s="971"/>
      <c r="CQ51" s="971">
        <f t="shared" si="16"/>
        <v>39000</v>
      </c>
      <c r="CR51" s="971"/>
      <c r="CS51" s="971"/>
      <c r="CT51" s="971">
        <f t="shared" si="17"/>
        <v>78000</v>
      </c>
      <c r="CU51" s="971"/>
      <c r="CV51" s="971"/>
      <c r="CW51" s="971">
        <f t="shared" si="18"/>
        <v>78000</v>
      </c>
      <c r="CX51" s="972">
        <f t="shared" si="30"/>
        <v>0.05</v>
      </c>
      <c r="CY51" s="971">
        <f t="shared" si="19"/>
        <v>1950</v>
      </c>
      <c r="CZ51" s="972"/>
      <c r="DA51" s="972">
        <f t="shared" si="31"/>
        <v>0.03</v>
      </c>
      <c r="DB51" s="971">
        <f t="shared" si="20"/>
        <v>1170</v>
      </c>
      <c r="DC51" s="972"/>
      <c r="DD51" s="972">
        <f t="shared" si="32"/>
        <v>0.18</v>
      </c>
      <c r="DE51" s="971">
        <f t="shared" si="21"/>
        <v>14601.6</v>
      </c>
      <c r="DF51" s="972"/>
      <c r="DG51" s="973">
        <f t="shared" si="33"/>
        <v>-0.06</v>
      </c>
      <c r="DH51" s="971">
        <f t="shared" si="22"/>
        <v>-4680</v>
      </c>
      <c r="DJ51" s="598">
        <f t="shared" si="23"/>
        <v>6372.9120000000012</v>
      </c>
      <c r="DL51" s="598">
        <f t="shared" si="24"/>
        <v>97414.512000000002</v>
      </c>
      <c r="DM51" s="599">
        <f t="shared" si="25"/>
        <v>13041.6</v>
      </c>
      <c r="DN51" s="972">
        <f t="shared" si="26"/>
        <v>0.13387738369001942</v>
      </c>
    </row>
    <row r="52" spans="1:118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N52" s="585" t="s">
        <v>681</v>
      </c>
      <c r="O52" s="585">
        <v>1.8</v>
      </c>
      <c r="P52" s="585">
        <v>180</v>
      </c>
      <c r="Q52" s="1034">
        <f>G15/I23</f>
        <v>40</v>
      </c>
      <c r="R52" s="1034">
        <f>(G15+12)/I24</f>
        <v>42</v>
      </c>
      <c r="S52" s="1034">
        <f>G15/I25</f>
        <v>40</v>
      </c>
      <c r="V52" s="1034">
        <f t="shared" si="72"/>
        <v>1</v>
      </c>
      <c r="W52" s="594">
        <v>8</v>
      </c>
    </row>
    <row r="53" spans="1:118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Q53" s="1034"/>
      <c r="R53" s="1034"/>
      <c r="S53" s="1034"/>
      <c r="V53" s="1034">
        <f>W53/$V$50</f>
        <v>1.25</v>
      </c>
      <c r="W53" s="594">
        <v>10</v>
      </c>
    </row>
    <row r="54" spans="1:118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585" t="s">
        <v>682</v>
      </c>
      <c r="O54" s="585">
        <v>1.4</v>
      </c>
      <c r="P54" s="585">
        <v>140</v>
      </c>
      <c r="Q54" s="1121">
        <f>ROUND(G15/(I23*1.1764705915999),0)</f>
        <v>34</v>
      </c>
      <c r="R54" s="1122">
        <f>ROUND((G15+12)/(I24*1.1764705915999),0)</f>
        <v>36</v>
      </c>
      <c r="S54" s="1121">
        <f>ROUND(G15/(I25*1.1764705915999),0)</f>
        <v>34</v>
      </c>
      <c r="V54" s="1034">
        <f>W54/$V$50</f>
        <v>1.5</v>
      </c>
      <c r="W54" s="594">
        <v>12</v>
      </c>
    </row>
    <row r="55" spans="1:118" s="585" customFormat="1" ht="16.2" thickBot="1">
      <c r="A55" s="600"/>
      <c r="B55" s="775"/>
      <c r="C55" s="629"/>
      <c r="D55" s="629"/>
      <c r="E55" s="629"/>
      <c r="F55" s="629"/>
      <c r="G55" s="1610">
        <f>S28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V55" s="1034">
        <f>W55/$V$50</f>
        <v>1.75</v>
      </c>
      <c r="W55" s="594">
        <v>14</v>
      </c>
    </row>
    <row r="56" spans="1:118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 s="1113" t="s">
        <v>693</v>
      </c>
      <c r="O56" s="1120" t="s">
        <v>697</v>
      </c>
      <c r="V56" s="1034">
        <f>W56/$V$50</f>
        <v>2</v>
      </c>
      <c r="W56" s="594">
        <v>16</v>
      </c>
    </row>
    <row r="57" spans="1:118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73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 s="585">
        <v>1.4</v>
      </c>
      <c r="O57" s="585">
        <f>160+280</f>
        <v>440</v>
      </c>
      <c r="P57" s="1121">
        <v>33.75</v>
      </c>
      <c r="Q57" s="1114">
        <f>O57/P57</f>
        <v>13.037037037037036</v>
      </c>
      <c r="R57" s="594">
        <v>1.4</v>
      </c>
      <c r="S57" s="1122">
        <v>35.5</v>
      </c>
      <c r="T57" s="1114">
        <f>O57/S57</f>
        <v>12.394366197183098</v>
      </c>
      <c r="U57" s="594">
        <v>1.4</v>
      </c>
      <c r="V57" s="1034">
        <f t="shared" ref="V57:V62" si="74">W57/$V$50</f>
        <v>2.25</v>
      </c>
      <c r="W57" s="594">
        <v>18</v>
      </c>
    </row>
    <row r="58" spans="1:118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73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N58" s="585">
        <v>1.8</v>
      </c>
      <c r="O58" s="585">
        <f>160+360</f>
        <v>520</v>
      </c>
      <c r="P58" s="1118">
        <v>40</v>
      </c>
      <c r="Q58" s="1117">
        <f>O58/P58</f>
        <v>13</v>
      </c>
      <c r="R58" s="594">
        <v>1.8</v>
      </c>
      <c r="S58" s="1034">
        <v>42</v>
      </c>
      <c r="T58" s="1116">
        <f>O58/S58</f>
        <v>12.380952380952381</v>
      </c>
      <c r="U58" s="594">
        <v>1.8</v>
      </c>
      <c r="V58" s="1034">
        <f t="shared" si="74"/>
        <v>2.5</v>
      </c>
      <c r="W58" s="594">
        <v>20</v>
      </c>
    </row>
    <row r="59" spans="1:118" s="585" customFormat="1" ht="16.2" thickBot="1">
      <c r="A59" s="628"/>
      <c r="B59" s="774"/>
      <c r="C59" s="629"/>
      <c r="D59" s="679"/>
      <c r="E59" s="648">
        <f t="shared" si="73"/>
        <v>0</v>
      </c>
      <c r="F59" s="787"/>
      <c r="G59" s="1405"/>
      <c r="H59" s="1406"/>
      <c r="I59" s="1407"/>
      <c r="J59" s="1408"/>
      <c r="K59" s="1583" t="s">
        <v>1085</v>
      </c>
      <c r="L59" s="1584"/>
      <c r="P59" s="1119" t="s">
        <v>696</v>
      </c>
      <c r="Q59" s="1115">
        <f>Q58-Q57</f>
        <v>-3.7037037037036313E-2</v>
      </c>
      <c r="R59" s="590" t="s">
        <v>695</v>
      </c>
      <c r="T59" s="1115">
        <f>T58-T57</f>
        <v>-1.3413816230716691E-2</v>
      </c>
      <c r="U59" s="590" t="s">
        <v>695</v>
      </c>
      <c r="V59" s="1034">
        <f t="shared" si="74"/>
        <v>2.75</v>
      </c>
      <c r="W59" s="594">
        <v>22</v>
      </c>
    </row>
    <row r="60" spans="1:118" s="585" customFormat="1" ht="16.2" thickBot="1">
      <c r="A60" s="628" t="s">
        <v>28</v>
      </c>
      <c r="B60" s="774"/>
      <c r="C60" s="629"/>
      <c r="D60" s="679"/>
      <c r="E60" s="648">
        <f t="shared" si="73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926</v>
      </c>
      <c r="K60" s="1587" t="s">
        <v>1065</v>
      </c>
      <c r="L60" s="1588"/>
      <c r="V60" s="1034">
        <f t="shared" si="74"/>
        <v>3</v>
      </c>
      <c r="W60" s="594">
        <v>24</v>
      </c>
    </row>
    <row r="61" spans="1:118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448" t="s">
        <v>917</v>
      </c>
      <c r="H61" s="1440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V61" s="1034">
        <f t="shared" si="74"/>
        <v>3.25</v>
      </c>
      <c r="W61" s="594">
        <v>26</v>
      </c>
    </row>
    <row r="62" spans="1:118" s="585" customFormat="1">
      <c r="A62" s="600"/>
      <c r="B62" s="775"/>
      <c r="C62" s="629"/>
      <c r="D62" s="629"/>
      <c r="E62" s="629"/>
      <c r="F62" s="600"/>
      <c r="G62" s="600"/>
      <c r="H62" s="600"/>
      <c r="J62" s="600"/>
      <c r="K62" s="1578" t="s">
        <v>1050</v>
      </c>
      <c r="L62" s="1579">
        <v>0</v>
      </c>
      <c r="M62" s="1596" t="s">
        <v>1077</v>
      </c>
      <c r="V62" s="1034">
        <f t="shared" si="74"/>
        <v>3.5</v>
      </c>
      <c r="W62" s="594">
        <v>28</v>
      </c>
    </row>
    <row r="63" spans="1:118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I63" s="593"/>
      <c r="J63" s="714"/>
      <c r="K63" s="1580" t="s">
        <v>1051</v>
      </c>
      <c r="L63" s="1581">
        <v>0</v>
      </c>
      <c r="M63" s="1597" t="s">
        <v>1078</v>
      </c>
      <c r="N63" s="1113" t="s">
        <v>718</v>
      </c>
      <c r="P63" s="1046" t="s">
        <v>694</v>
      </c>
      <c r="Q63" s="1046" t="s">
        <v>691</v>
      </c>
      <c r="R63" s="1046" t="s">
        <v>692</v>
      </c>
    </row>
    <row r="64" spans="1:118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75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N64" s="585" t="s">
        <v>717</v>
      </c>
      <c r="O64" s="585">
        <v>2.1</v>
      </c>
      <c r="P64" s="585">
        <v>210</v>
      </c>
    </row>
    <row r="65" spans="1:13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75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</row>
    <row r="66" spans="1:13" s="585" customFormat="1" ht="16.2" thickBot="1">
      <c r="A66" s="628"/>
      <c r="B66" s="774"/>
      <c r="C66" s="629"/>
      <c r="D66" s="679"/>
      <c r="E66" s="648">
        <f t="shared" si="75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</row>
    <row r="67" spans="1:13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  <c r="M67" s="600"/>
    </row>
    <row r="68" spans="1:13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  <c r="M68" s="600"/>
    </row>
    <row r="69" spans="1:13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  <c r="M69" s="600"/>
    </row>
    <row r="70" spans="1:13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</row>
    <row r="71" spans="1:13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3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ROUNDUP(SUM(E69,E79,E82)/(1-B72),0)-ROUNDUP(SUM(E69,E79,E82,),0)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1562"/>
    </row>
    <row r="73" spans="1:13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1561"/>
    </row>
    <row r="74" spans="1:13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1561"/>
    </row>
    <row r="75" spans="1:13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1561"/>
    </row>
    <row r="76" spans="1:13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</row>
    <row r="77" spans="1:13" s="585" customFormat="1">
      <c r="A77" s="600"/>
      <c r="B77" s="775"/>
      <c r="C77" s="629"/>
      <c r="D77" s="629"/>
      <c r="E77" s="629"/>
      <c r="F77" s="600"/>
    </row>
    <row r="78" spans="1:13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G78" s="1646">
        <f>(G81-G79-G80)</f>
        <v>0</v>
      </c>
      <c r="H78" s="590"/>
    </row>
    <row r="79" spans="1:13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G79" s="1646"/>
      <c r="H79" s="585" t="s">
        <v>1118</v>
      </c>
    </row>
    <row r="80" spans="1:13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G80" s="1647"/>
      <c r="H80" s="784" t="s">
        <v>1119</v>
      </c>
    </row>
    <row r="81" spans="1:15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G81" s="1646">
        <f>E87</f>
        <v>0</v>
      </c>
      <c r="H81" s="590" t="s">
        <v>1117</v>
      </c>
    </row>
    <row r="82" spans="1:15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  <c r="G82" s="600"/>
      <c r="H82" s="600"/>
    </row>
    <row r="83" spans="1:15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1090</v>
      </c>
    </row>
    <row r="84" spans="1:15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5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5" s="585" customFormat="1" ht="16.2" thickBot="1">
      <c r="A86" s="600"/>
      <c r="B86" s="825" t="s">
        <v>45</v>
      </c>
      <c r="C86" s="1050">
        <f>B43</f>
        <v>0</v>
      </c>
      <c r="D86" s="1050"/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</row>
    <row r="87" spans="1:15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5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5" s="585" customFormat="1">
      <c r="A89" s="834"/>
      <c r="B89" s="1052"/>
      <c r="C89" s="1053"/>
      <c r="D89" s="1053"/>
      <c r="E89" s="1053"/>
      <c r="F89" s="753"/>
      <c r="H89" s="1391" t="s">
        <v>1102</v>
      </c>
      <c r="I89" s="1391"/>
      <c r="O89" s="600"/>
    </row>
    <row r="90" spans="1:15" s="585" customFormat="1">
      <c r="A90" s="834"/>
      <c r="B90" s="1052"/>
      <c r="C90" s="1053"/>
      <c r="D90" s="1053"/>
      <c r="E90" s="1053"/>
      <c r="F90" s="753"/>
      <c r="H90" s="1629" t="s">
        <v>1103</v>
      </c>
      <c r="I90" s="1629"/>
      <c r="O90" s="600"/>
    </row>
    <row r="91" spans="1:15" s="585" customFormat="1">
      <c r="A91" s="633"/>
      <c r="B91" s="1054"/>
      <c r="C91" s="1055"/>
      <c r="D91" s="1055"/>
      <c r="E91" s="1055"/>
      <c r="F91" s="775"/>
    </row>
    <row r="92" spans="1:15" s="585" customFormat="1">
      <c r="A92" s="633"/>
      <c r="B92" s="1054"/>
      <c r="C92" s="1055"/>
      <c r="D92" s="1055"/>
      <c r="E92" s="1055"/>
      <c r="F92" s="775"/>
    </row>
    <row r="93" spans="1:15" s="585" customFormat="1">
      <c r="A93" s="633"/>
      <c r="B93" s="1054"/>
      <c r="C93" s="1055"/>
      <c r="D93" s="1055"/>
      <c r="E93" s="1055"/>
      <c r="F93" s="775"/>
    </row>
    <row r="94" spans="1:15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5" s="585" customFormat="1"/>
    <row r="96" spans="1:15" s="585" customFormat="1"/>
    <row r="97" spans="1:15" s="585" customFormat="1"/>
    <row r="98" spans="1:15" s="585" customFormat="1"/>
    <row r="99" spans="1:15" s="585" customFormat="1">
      <c r="E99" s="590"/>
    </row>
    <row r="100" spans="1:15" s="585" customFormat="1"/>
    <row r="101" spans="1:15" s="585" customFormat="1"/>
    <row r="102" spans="1:15" s="585" customFormat="1"/>
    <row r="103" spans="1:15" s="585" customFormat="1">
      <c r="J103" s="1056"/>
    </row>
    <row r="104" spans="1:15" s="585" customFormat="1"/>
    <row r="105" spans="1:15" s="585" customFormat="1">
      <c r="A105" s="839"/>
    </row>
    <row r="106" spans="1:15" s="585" customFormat="1">
      <c r="A106" s="840"/>
      <c r="H106" s="1057"/>
    </row>
    <row r="107" spans="1:15" s="585" customFormat="1">
      <c r="A107" s="842"/>
      <c r="H107" s="843"/>
    </row>
    <row r="108" spans="1:15" s="585" customFormat="1">
      <c r="A108" s="844"/>
      <c r="H108" s="1057"/>
    </row>
    <row r="109" spans="1:15" s="585" customFormat="1">
      <c r="A109" s="845"/>
    </row>
    <row r="110" spans="1:15" s="585" customFormat="1">
      <c r="A110" s="846"/>
    </row>
    <row r="111" spans="1:15" s="585" customFormat="1">
      <c r="A111" s="847"/>
      <c r="J111" s="1056"/>
      <c r="N111" s="848"/>
      <c r="O111" s="827"/>
    </row>
    <row r="112" spans="1:15" s="585" customFormat="1">
      <c r="A112" s="849"/>
      <c r="J112" s="1056"/>
      <c r="N112" s="848"/>
      <c r="O112" s="827"/>
    </row>
    <row r="113" spans="10:15">
      <c r="J113" s="537"/>
      <c r="N113" s="247"/>
      <c r="O113" s="28"/>
    </row>
    <row r="114" spans="10:15">
      <c r="J114" s="537"/>
      <c r="N114" s="247"/>
      <c r="O114" s="28"/>
    </row>
    <row r="115" spans="10:15" ht="16.05" customHeight="1">
      <c r="J115" s="537"/>
      <c r="N115" s="247"/>
      <c r="O115" s="28"/>
    </row>
    <row r="116" spans="10:15">
      <c r="J116" s="537"/>
      <c r="N116" s="247"/>
      <c r="O116" s="28"/>
    </row>
    <row r="117" spans="10:15">
      <c r="J117" s="537"/>
      <c r="N117" s="247"/>
      <c r="O117" s="28"/>
    </row>
    <row r="118" spans="10:15">
      <c r="J118" s="537"/>
      <c r="N118" s="247"/>
      <c r="O118" s="28"/>
    </row>
    <row r="119" spans="10:15">
      <c r="J119" s="537"/>
      <c r="N119" s="247"/>
      <c r="O119" s="28"/>
    </row>
    <row r="120" spans="10:15">
      <c r="J120" s="537"/>
      <c r="N120" s="247"/>
      <c r="O120" s="28"/>
    </row>
    <row r="121" spans="10:15">
      <c r="J121" s="537"/>
      <c r="N121" s="247"/>
      <c r="O121" s="28"/>
    </row>
    <row r="122" spans="10:15">
      <c r="J122" s="537"/>
      <c r="N122" s="247"/>
      <c r="O122" s="28"/>
    </row>
    <row r="123" spans="10:15">
      <c r="J123" s="537"/>
      <c r="N123" s="247"/>
      <c r="O123" s="28"/>
    </row>
    <row r="124" spans="10:15">
      <c r="J124" s="537"/>
      <c r="N124" s="247"/>
      <c r="O124" s="28"/>
    </row>
    <row r="125" spans="10:15">
      <c r="J125" s="537"/>
      <c r="N125" s="247"/>
      <c r="O125" s="28"/>
    </row>
    <row r="126" spans="10:15">
      <c r="J126" s="537"/>
      <c r="N126" s="247"/>
      <c r="O126" s="28"/>
    </row>
    <row r="127" spans="10:15">
      <c r="J127" s="537"/>
      <c r="N127" s="247"/>
      <c r="O127" s="28"/>
    </row>
    <row r="128" spans="10:15">
      <c r="J128" s="537"/>
      <c r="N128" s="247"/>
      <c r="O128" s="28"/>
    </row>
    <row r="129" spans="1:15">
      <c r="J129" s="537"/>
      <c r="N129" s="247"/>
      <c r="O129" s="28"/>
    </row>
    <row r="130" spans="1:15">
      <c r="J130" s="537"/>
      <c r="N130" s="247"/>
      <c r="O130" s="28"/>
    </row>
    <row r="131" spans="1:15">
      <c r="A131" s="7"/>
      <c r="B131" s="7"/>
      <c r="J131" s="537"/>
      <c r="N131" s="247"/>
      <c r="O131" s="28"/>
    </row>
    <row r="132" spans="1:15">
      <c r="A132" s="7"/>
      <c r="B132" s="7"/>
      <c r="J132" s="537"/>
      <c r="N132" s="247"/>
      <c r="O132" s="28"/>
    </row>
    <row r="133" spans="1:15">
      <c r="A133" s="7"/>
      <c r="B133" s="7"/>
      <c r="J133" s="537"/>
      <c r="N133" s="247"/>
      <c r="O133" s="28"/>
    </row>
    <row r="134" spans="1:15">
      <c r="A134" s="21"/>
      <c r="B134" s="21"/>
      <c r="J134" s="537"/>
      <c r="N134" s="247"/>
      <c r="O134" s="28"/>
    </row>
    <row r="135" spans="1:15">
      <c r="J135" s="537"/>
      <c r="N135" s="247"/>
      <c r="O135" s="28"/>
    </row>
    <row r="136" spans="1:15">
      <c r="A136" s="79"/>
      <c r="B136" s="79"/>
      <c r="J136" s="537"/>
      <c r="N136" s="247"/>
      <c r="O136" s="28"/>
    </row>
    <row r="137" spans="1:15">
      <c r="A137" s="7"/>
      <c r="B137" s="7"/>
      <c r="J137" s="537"/>
      <c r="N137" s="247"/>
      <c r="O137" s="28"/>
    </row>
    <row r="138" spans="1:15">
      <c r="A138" s="7"/>
      <c r="B138" s="7"/>
      <c r="J138" s="537"/>
      <c r="N138" s="247"/>
      <c r="O138" s="28"/>
    </row>
    <row r="139" spans="1:15">
      <c r="A139" s="7"/>
      <c r="B139" s="7"/>
      <c r="J139" s="537"/>
      <c r="N139" s="247"/>
      <c r="O139" s="28"/>
    </row>
    <row r="140" spans="1:15">
      <c r="A140" s="21"/>
      <c r="B140" s="21"/>
    </row>
    <row r="148" spans="1:6">
      <c r="A148" s="98"/>
    </row>
    <row r="160" spans="1:6">
      <c r="F160" s="1"/>
    </row>
    <row r="161" spans="1:22">
      <c r="F161" s="1"/>
    </row>
    <row r="162" spans="1:22">
      <c r="F162" s="1"/>
    </row>
    <row r="163" spans="1:22">
      <c r="F163" s="32"/>
    </row>
    <row r="164" spans="1:22">
      <c r="F164" s="1"/>
    </row>
    <row r="165" spans="1:22">
      <c r="F165" s="1"/>
    </row>
    <row r="166" spans="1:22">
      <c r="A166" s="1"/>
      <c r="B166" s="1"/>
      <c r="C166" s="538"/>
      <c r="D166" s="538"/>
      <c r="E166" s="7"/>
      <c r="P166" s="32"/>
    </row>
    <row r="167" spans="1:22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53"/>
      <c r="O167" s="53"/>
      <c r="P167" s="53"/>
      <c r="Q167" s="53"/>
      <c r="R167" s="53"/>
    </row>
    <row r="168" spans="1:22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53"/>
      <c r="O168" s="53"/>
      <c r="P168" s="53"/>
      <c r="Q168" s="53"/>
      <c r="R168" s="79"/>
    </row>
    <row r="169" spans="1:22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53"/>
      <c r="O169" s="53"/>
      <c r="P169" s="79"/>
      <c r="Q169" s="79"/>
      <c r="R169" s="79"/>
    </row>
    <row r="170" spans="1:22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53"/>
      <c r="O170" s="53"/>
      <c r="P170" s="79"/>
      <c r="Q170" s="539"/>
      <c r="R170" s="79"/>
    </row>
    <row r="171" spans="1:22" s="64" customFormat="1">
      <c r="A171" s="53"/>
      <c r="B171" s="53"/>
      <c r="C171" s="79"/>
      <c r="D171" s="79"/>
      <c r="E171" s="79"/>
      <c r="F171" s="53"/>
      <c r="G171" s="53"/>
      <c r="N171" s="53"/>
      <c r="O171" s="53"/>
      <c r="P171" s="79"/>
      <c r="Q171" s="539"/>
      <c r="R171" s="79"/>
      <c r="S171"/>
      <c r="T171"/>
      <c r="U171"/>
      <c r="V171"/>
    </row>
    <row r="172" spans="1:22" s="64" customFormat="1">
      <c r="A172" s="53"/>
      <c r="B172" s="53"/>
      <c r="C172" s="79"/>
      <c r="D172" s="79"/>
      <c r="E172" s="79"/>
      <c r="F172" s="53"/>
      <c r="G172" s="53"/>
      <c r="N172" s="53"/>
      <c r="O172" s="79"/>
      <c r="P172" s="66"/>
      <c r="Q172" s="53"/>
      <c r="R172" s="53"/>
      <c r="S172" s="53"/>
      <c r="T172" s="53"/>
      <c r="U172" s="53"/>
    </row>
    <row r="173" spans="1:22" s="64" customFormat="1">
      <c r="A173" s="53"/>
      <c r="B173" s="53"/>
      <c r="C173" s="79"/>
      <c r="D173" s="79"/>
      <c r="E173" s="79"/>
      <c r="F173" s="53"/>
      <c r="G173" s="53"/>
      <c r="N173" s="53"/>
      <c r="O173" s="53"/>
      <c r="P173" s="66"/>
      <c r="Q173" s="53"/>
      <c r="R173" s="53"/>
      <c r="S173" s="79"/>
      <c r="T173" s="79"/>
      <c r="U173" s="53"/>
    </row>
    <row r="174" spans="1:22" s="64" customFormat="1">
      <c r="A174" s="53"/>
      <c r="B174" s="53"/>
      <c r="C174" s="79"/>
      <c r="D174" s="79"/>
      <c r="E174" s="79"/>
      <c r="F174" s="53"/>
      <c r="G174" s="53"/>
      <c r="N174" s="53"/>
      <c r="O174" s="53"/>
      <c r="P174" s="66"/>
      <c r="Q174" s="53"/>
      <c r="R174" s="53"/>
      <c r="S174" s="79"/>
      <c r="T174" s="79"/>
      <c r="U174" s="53"/>
    </row>
    <row r="175" spans="1:22" s="64" customFormat="1">
      <c r="A175" s="53"/>
      <c r="B175" s="53"/>
      <c r="C175" s="79"/>
      <c r="D175" s="79"/>
      <c r="E175" s="79"/>
      <c r="F175" s="53"/>
      <c r="G175" s="53"/>
      <c r="N175" s="53"/>
      <c r="O175" s="53"/>
      <c r="P175" s="66"/>
      <c r="Q175" s="53"/>
      <c r="R175" s="53"/>
      <c r="S175" s="79"/>
      <c r="T175" s="79"/>
      <c r="U175" s="53"/>
    </row>
    <row r="176" spans="1:22" s="64" customFormat="1">
      <c r="A176" s="53"/>
      <c r="B176" s="53"/>
      <c r="C176" s="79"/>
      <c r="D176" s="79"/>
      <c r="E176" s="79"/>
      <c r="F176" s="53"/>
      <c r="G176" s="53"/>
      <c r="N176" s="53"/>
      <c r="O176" s="53"/>
      <c r="P176" s="66"/>
      <c r="Q176" s="53"/>
      <c r="R176" s="53"/>
      <c r="S176" s="79"/>
      <c r="T176" s="79"/>
      <c r="U176" s="53"/>
    </row>
    <row r="177" spans="1:21" s="64" customFormat="1">
      <c r="A177" s="53"/>
      <c r="B177" s="53"/>
      <c r="C177" s="79"/>
      <c r="D177" s="79"/>
      <c r="E177" s="79"/>
      <c r="F177" s="53"/>
      <c r="G177" s="53"/>
      <c r="N177" s="53"/>
      <c r="O177" s="53"/>
      <c r="P177" s="66"/>
      <c r="Q177" s="53"/>
      <c r="R177" s="53"/>
      <c r="S177" s="53"/>
      <c r="T177" s="53"/>
      <c r="U177" s="53"/>
    </row>
    <row r="178" spans="1:21" s="64" customFormat="1">
      <c r="A178" s="53"/>
      <c r="B178" s="53"/>
      <c r="C178" s="79"/>
      <c r="D178" s="79"/>
      <c r="E178" s="79"/>
      <c r="F178" s="53"/>
      <c r="G178" s="53"/>
      <c r="N178" s="53"/>
      <c r="O178" s="53"/>
      <c r="P178" s="66"/>
      <c r="Q178" s="53"/>
      <c r="R178" s="53"/>
      <c r="S178" s="53"/>
      <c r="T178" s="53"/>
      <c r="U178" s="53"/>
    </row>
    <row r="179" spans="1:21" s="64" customFormat="1">
      <c r="A179" s="53"/>
      <c r="B179" s="53"/>
      <c r="C179" s="79"/>
      <c r="D179" s="79"/>
      <c r="E179" s="79"/>
      <c r="F179" s="53"/>
      <c r="G179" s="53"/>
      <c r="S179" s="53"/>
      <c r="T179" s="53"/>
      <c r="U179" s="53"/>
    </row>
    <row r="180" spans="1:21" s="64" customFormat="1">
      <c r="A180" s="53"/>
      <c r="B180" s="53"/>
      <c r="C180" s="79"/>
      <c r="D180" s="79"/>
      <c r="E180" s="79"/>
      <c r="F180" s="53"/>
      <c r="G180" s="53"/>
      <c r="S180" s="53"/>
      <c r="T180" s="53"/>
      <c r="U180" s="53"/>
    </row>
    <row r="181" spans="1:21" s="64" customFormat="1">
      <c r="A181" s="53"/>
      <c r="B181" s="53"/>
      <c r="C181" s="79"/>
      <c r="D181" s="79"/>
      <c r="E181" s="79"/>
      <c r="F181" s="539"/>
      <c r="G181" s="53"/>
      <c r="S181" s="53"/>
      <c r="T181" s="53"/>
      <c r="U181" s="53"/>
    </row>
    <row r="182" spans="1:21" s="64" customFormat="1">
      <c r="A182" s="53"/>
      <c r="B182" s="53"/>
      <c r="C182" s="79"/>
      <c r="D182" s="79"/>
      <c r="E182" s="79"/>
      <c r="F182" s="53"/>
      <c r="G182" s="53"/>
      <c r="S182" s="53"/>
      <c r="T182" s="53"/>
      <c r="U182" s="53"/>
    </row>
    <row r="183" spans="1:21" s="64" customFormat="1">
      <c r="A183" s="53"/>
      <c r="B183" s="53"/>
      <c r="C183" s="79"/>
      <c r="D183" s="79"/>
      <c r="E183" s="79"/>
      <c r="F183" s="53"/>
      <c r="G183" s="53"/>
      <c r="S183" s="53"/>
      <c r="T183" s="53"/>
      <c r="U183" s="53"/>
    </row>
    <row r="184" spans="1:21" s="64" customFormat="1">
      <c r="A184" s="53"/>
      <c r="B184" s="53"/>
      <c r="C184" s="79"/>
      <c r="D184" s="79"/>
      <c r="E184" s="79"/>
      <c r="F184" s="53"/>
      <c r="G184" s="53"/>
    </row>
    <row r="185" spans="1:21" s="64" customFormat="1">
      <c r="A185" s="53"/>
      <c r="B185" s="53"/>
      <c r="C185" s="79"/>
      <c r="D185" s="79"/>
      <c r="E185" s="79"/>
      <c r="F185" s="53"/>
      <c r="G185" s="53"/>
    </row>
    <row r="186" spans="1:21" s="64" customFormat="1">
      <c r="A186" s="103"/>
      <c r="B186" s="103"/>
      <c r="C186" s="104"/>
      <c r="D186" s="104"/>
      <c r="E186" s="104"/>
      <c r="F186" s="53"/>
      <c r="G186" s="53"/>
    </row>
    <row r="187" spans="1:21" s="64" customFormat="1">
      <c r="A187" s="103"/>
      <c r="B187" s="105"/>
      <c r="C187" s="104"/>
      <c r="D187" s="104"/>
      <c r="E187" s="104"/>
      <c r="F187" s="53"/>
      <c r="G187" s="53"/>
    </row>
    <row r="188" spans="1:21" s="64" customFormat="1">
      <c r="A188" s="103"/>
      <c r="B188" s="103"/>
      <c r="C188" s="104"/>
      <c r="D188" s="104"/>
      <c r="E188" s="104"/>
      <c r="F188" s="53"/>
      <c r="G188" s="53"/>
    </row>
    <row r="189" spans="1:21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</row>
    <row r="190" spans="1:21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</row>
    <row r="191" spans="1:21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</row>
    <row r="192" spans="1:21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53"/>
    </row>
    <row r="193" spans="1:14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106"/>
    </row>
    <row r="194" spans="1:14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53"/>
    </row>
    <row r="195" spans="1:14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106"/>
    </row>
    <row r="196" spans="1:14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106"/>
    </row>
    <row r="197" spans="1:14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4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</row>
    <row r="199" spans="1:14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</row>
    <row r="200" spans="1:14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</row>
    <row r="201" spans="1:14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</row>
    <row r="202" spans="1:14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</row>
    <row r="203" spans="1:14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</row>
    <row r="204" spans="1:14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</row>
    <row r="205" spans="1:14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</row>
    <row r="206" spans="1:14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</row>
    <row r="207" spans="1:14" s="64" customFormat="1">
      <c r="A207" s="53"/>
      <c r="B207" s="53"/>
      <c r="C207" s="79"/>
      <c r="D207" s="79"/>
      <c r="E207" s="79"/>
      <c r="F207" s="53"/>
      <c r="G207" s="53"/>
    </row>
    <row r="208" spans="1:14" s="64" customFormat="1">
      <c r="A208" s="53"/>
      <c r="B208" s="53"/>
      <c r="C208" s="79"/>
      <c r="D208" s="79"/>
      <c r="E208" s="104"/>
      <c r="F208" s="53"/>
      <c r="G208" s="53"/>
    </row>
    <row r="209" spans="1:18" s="64" customFormat="1">
      <c r="A209" s="53"/>
      <c r="B209" s="53"/>
      <c r="C209" s="79"/>
      <c r="D209" s="79"/>
      <c r="E209" s="79"/>
      <c r="F209" s="53"/>
      <c r="G209" s="53"/>
    </row>
    <row r="210" spans="1:18" s="64" customFormat="1">
      <c r="A210" s="53"/>
      <c r="B210" s="53"/>
      <c r="C210" s="79"/>
      <c r="D210" s="79"/>
      <c r="E210" s="79"/>
      <c r="F210" s="53"/>
      <c r="G210" s="53"/>
    </row>
    <row r="211" spans="1:18" s="64" customFormat="1">
      <c r="A211" s="53"/>
      <c r="B211" s="112"/>
      <c r="C211" s="79"/>
      <c r="D211" s="79"/>
      <c r="E211" s="79"/>
      <c r="F211" s="53"/>
      <c r="G211" s="53"/>
    </row>
    <row r="212" spans="1:18" s="64" customFormat="1">
      <c r="A212" s="53"/>
      <c r="B212" s="112"/>
      <c r="C212" s="79"/>
      <c r="D212" s="79"/>
      <c r="E212" s="79"/>
      <c r="F212" s="53"/>
      <c r="G212" s="53"/>
    </row>
    <row r="213" spans="1:18" s="64" customFormat="1">
      <c r="A213" s="53"/>
      <c r="B213" s="113"/>
      <c r="C213" s="79"/>
      <c r="D213" s="79"/>
      <c r="E213" s="79"/>
      <c r="F213" s="53"/>
      <c r="G213" s="53"/>
    </row>
    <row r="214" spans="1:18" s="64" customFormat="1">
      <c r="A214" s="53"/>
      <c r="B214" s="113"/>
      <c r="C214" s="79"/>
      <c r="D214" s="79"/>
      <c r="E214" s="79"/>
      <c r="F214" s="53"/>
      <c r="G214" s="53"/>
    </row>
    <row r="215" spans="1:18" s="64" customFormat="1">
      <c r="A215" s="53"/>
      <c r="B215" s="113"/>
      <c r="C215" s="79"/>
      <c r="D215" s="79"/>
      <c r="E215" s="79"/>
      <c r="F215" s="53"/>
      <c r="G215" s="53"/>
    </row>
    <row r="216" spans="1:18" s="64" customFormat="1">
      <c r="A216" s="53"/>
      <c r="B216" s="113"/>
      <c r="C216" s="79"/>
      <c r="D216" s="79"/>
      <c r="E216" s="79"/>
      <c r="F216" s="53"/>
      <c r="G216" s="53"/>
    </row>
    <row r="217" spans="1:18" s="64" customFormat="1">
      <c r="A217" s="53"/>
      <c r="B217" s="112"/>
      <c r="C217" s="79"/>
      <c r="D217" s="79"/>
      <c r="E217" s="79"/>
      <c r="F217" s="53"/>
      <c r="G217" s="53"/>
    </row>
    <row r="218" spans="1:18" s="64" customFormat="1">
      <c r="A218" s="53"/>
      <c r="B218" s="113"/>
      <c r="C218" s="79"/>
      <c r="D218" s="79"/>
      <c r="E218" s="66"/>
      <c r="F218" s="53"/>
      <c r="G218" s="53"/>
      <c r="P218" s="53"/>
    </row>
    <row r="219" spans="1:18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P219" s="53"/>
    </row>
    <row r="220" spans="1:18" s="64" customFormat="1">
      <c r="A220" s="53"/>
      <c r="B220" s="53"/>
      <c r="C220" s="79"/>
      <c r="D220" s="79"/>
      <c r="E220" s="79"/>
      <c r="F220" s="79"/>
      <c r="G220" s="79"/>
      <c r="P220" s="53"/>
    </row>
    <row r="221" spans="1:18" s="64" customFormat="1">
      <c r="A221" s="53"/>
      <c r="B221" s="53"/>
      <c r="C221" s="79"/>
      <c r="D221" s="79"/>
      <c r="E221" s="79"/>
      <c r="G221" s="540"/>
      <c r="P221" s="53"/>
    </row>
    <row r="222" spans="1:18" s="64" customFormat="1">
      <c r="E222" s="79"/>
      <c r="N222" s="53"/>
      <c r="O222" s="53"/>
      <c r="P222" s="53"/>
      <c r="Q222" s="53"/>
      <c r="R222" s="53"/>
    </row>
    <row r="223" spans="1:18" s="64" customFormat="1">
      <c r="N223" s="53"/>
      <c r="O223" s="53"/>
      <c r="P223" s="53"/>
      <c r="Q223" s="53"/>
      <c r="R223" s="53"/>
    </row>
    <row r="224" spans="1:18" s="64" customFormat="1">
      <c r="N224" s="53"/>
      <c r="O224" s="53"/>
      <c r="P224" s="53"/>
      <c r="Q224" s="53"/>
      <c r="R224" s="53"/>
    </row>
    <row r="225" spans="1:21" s="64" customFormat="1">
      <c r="A225" s="53"/>
      <c r="B225" s="53"/>
      <c r="C225" s="53"/>
      <c r="D225" s="53"/>
      <c r="E225" s="53"/>
      <c r="N225" s="53"/>
      <c r="O225" s="53"/>
      <c r="P225" s="53"/>
      <c r="Q225" s="53"/>
      <c r="R225" s="53"/>
    </row>
    <row r="226" spans="1:21" s="64" customFormat="1">
      <c r="A226" s="53"/>
      <c r="B226" s="53"/>
      <c r="C226" s="53"/>
      <c r="D226" s="53"/>
      <c r="E226" s="53"/>
      <c r="F226" s="53"/>
      <c r="G226" s="53"/>
      <c r="N226" s="53"/>
      <c r="O226" s="53"/>
      <c r="P226" s="53"/>
      <c r="Q226" s="53"/>
      <c r="R226" s="79"/>
    </row>
    <row r="227" spans="1:21" s="64" customFormat="1">
      <c r="A227" s="53"/>
      <c r="B227" s="101"/>
      <c r="C227" s="79"/>
      <c r="D227" s="79"/>
      <c r="E227" s="79"/>
      <c r="F227" s="539"/>
      <c r="G227" s="53"/>
      <c r="N227" s="53"/>
      <c r="O227" s="53"/>
      <c r="P227" s="79"/>
      <c r="Q227" s="79"/>
      <c r="R227" s="79"/>
      <c r="S227" s="53"/>
      <c r="T227" s="53"/>
    </row>
    <row r="228" spans="1:21" s="64" customFormat="1">
      <c r="A228" s="53"/>
      <c r="B228" s="53"/>
      <c r="C228" s="79"/>
      <c r="D228" s="79"/>
      <c r="E228" s="79"/>
      <c r="F228" s="53"/>
      <c r="G228" s="53"/>
      <c r="N228" s="53"/>
      <c r="O228" s="53"/>
      <c r="P228" s="79"/>
      <c r="Q228" s="539"/>
      <c r="R228" s="79"/>
      <c r="S228" s="53"/>
      <c r="T228" s="53"/>
    </row>
    <row r="229" spans="1:21" s="64" customFormat="1">
      <c r="A229" s="53"/>
      <c r="B229" s="53"/>
      <c r="C229" s="79"/>
      <c r="D229" s="79"/>
      <c r="E229" s="79"/>
      <c r="F229" s="53"/>
      <c r="G229" s="53"/>
      <c r="N229" s="53"/>
      <c r="O229" s="53"/>
      <c r="P229" s="79"/>
      <c r="Q229" s="539"/>
      <c r="R229" s="79"/>
      <c r="S229" s="53"/>
      <c r="T229" s="53"/>
    </row>
    <row r="230" spans="1:21" s="64" customFormat="1">
      <c r="A230" s="53"/>
      <c r="B230" s="53"/>
      <c r="C230" s="79"/>
      <c r="D230" s="79"/>
      <c r="E230" s="79"/>
      <c r="F230" s="53"/>
      <c r="G230" s="53"/>
      <c r="N230" s="53"/>
      <c r="O230" s="79"/>
      <c r="P230" s="66"/>
      <c r="Q230" s="53"/>
      <c r="R230" s="53"/>
      <c r="S230" s="53"/>
      <c r="T230" s="53"/>
      <c r="U230" s="53"/>
    </row>
    <row r="231" spans="1:21" s="64" customFormat="1">
      <c r="A231" s="53"/>
      <c r="B231" s="53"/>
      <c r="C231" s="79"/>
      <c r="D231" s="79"/>
      <c r="E231" s="79"/>
      <c r="F231" s="53"/>
      <c r="G231" s="53"/>
      <c r="N231" s="53"/>
      <c r="O231" s="53"/>
      <c r="P231" s="66"/>
      <c r="Q231" s="53"/>
      <c r="R231" s="53"/>
      <c r="S231" s="79"/>
      <c r="T231" s="79"/>
      <c r="U231" s="53"/>
    </row>
    <row r="232" spans="1:21" s="64" customFormat="1">
      <c r="A232" s="53"/>
      <c r="B232" s="53"/>
      <c r="C232" s="79"/>
      <c r="D232" s="79"/>
      <c r="E232" s="79"/>
      <c r="F232" s="53"/>
      <c r="G232" s="53"/>
      <c r="N232" s="53"/>
      <c r="O232" s="53"/>
      <c r="P232" s="66"/>
      <c r="Q232" s="53"/>
      <c r="R232" s="53"/>
      <c r="S232" s="79"/>
      <c r="T232" s="79"/>
      <c r="U232" s="53"/>
    </row>
    <row r="233" spans="1:21" s="64" customFormat="1">
      <c r="A233" s="53"/>
      <c r="B233" s="53"/>
      <c r="C233" s="79"/>
      <c r="D233" s="79"/>
      <c r="E233" s="79"/>
      <c r="F233" s="53"/>
      <c r="G233" s="53"/>
      <c r="N233" s="53"/>
      <c r="O233" s="53"/>
      <c r="P233" s="66"/>
      <c r="Q233" s="53"/>
      <c r="R233" s="53"/>
      <c r="S233" s="79"/>
      <c r="T233" s="79"/>
      <c r="U233" s="53"/>
    </row>
    <row r="234" spans="1:21" s="64" customFormat="1">
      <c r="A234" s="53"/>
      <c r="B234" s="53"/>
      <c r="C234" s="79"/>
      <c r="D234" s="79"/>
      <c r="E234" s="79"/>
      <c r="F234" s="53"/>
      <c r="G234" s="53"/>
      <c r="N234" s="53"/>
      <c r="O234" s="53"/>
      <c r="P234" s="66"/>
      <c r="Q234" s="53"/>
      <c r="R234" s="53"/>
      <c r="S234" s="79"/>
      <c r="T234" s="79"/>
      <c r="U234" s="53"/>
    </row>
    <row r="235" spans="1:21" s="64" customFormat="1">
      <c r="A235" s="53"/>
      <c r="B235" s="53"/>
      <c r="C235" s="79"/>
      <c r="D235" s="79"/>
      <c r="E235" s="79"/>
      <c r="F235" s="53"/>
      <c r="G235" s="53"/>
      <c r="N235" s="53"/>
      <c r="O235" s="53"/>
      <c r="P235" s="66"/>
      <c r="Q235" s="53"/>
      <c r="R235" s="53"/>
      <c r="S235" s="53"/>
      <c r="T235" s="53"/>
      <c r="U235" s="53"/>
    </row>
    <row r="236" spans="1:21" s="64" customFormat="1">
      <c r="A236" s="53"/>
      <c r="B236" s="53"/>
      <c r="C236" s="79"/>
      <c r="D236" s="79"/>
      <c r="E236" s="79"/>
      <c r="F236" s="53"/>
      <c r="G236" s="53"/>
      <c r="N236" s="53"/>
      <c r="O236" s="53"/>
      <c r="P236" s="66"/>
      <c r="Q236" s="53"/>
      <c r="R236" s="53"/>
      <c r="S236" s="53"/>
      <c r="T236" s="53"/>
      <c r="U236" s="53"/>
    </row>
    <row r="237" spans="1:21" s="64" customFormat="1">
      <c r="A237" s="53"/>
      <c r="B237" s="53"/>
      <c r="C237" s="79"/>
      <c r="D237" s="79"/>
      <c r="E237" s="79"/>
      <c r="F237" s="53"/>
      <c r="G237" s="53"/>
      <c r="S237" s="53"/>
      <c r="T237" s="53"/>
      <c r="U237" s="53"/>
    </row>
    <row r="238" spans="1:21" s="64" customFormat="1">
      <c r="A238" s="53"/>
      <c r="B238" s="53"/>
      <c r="C238" s="79"/>
      <c r="D238" s="79"/>
      <c r="E238" s="79"/>
      <c r="F238" s="53"/>
      <c r="G238" s="53"/>
      <c r="S238" s="53"/>
      <c r="T238" s="53"/>
      <c r="U238" s="53"/>
    </row>
    <row r="239" spans="1:21" s="64" customFormat="1">
      <c r="A239" s="53"/>
      <c r="B239" s="53"/>
      <c r="C239" s="79"/>
      <c r="D239" s="79"/>
      <c r="E239" s="79"/>
      <c r="F239" s="539"/>
      <c r="G239" s="53"/>
      <c r="S239" s="53"/>
      <c r="T239" s="53"/>
      <c r="U239" s="53"/>
    </row>
    <row r="240" spans="1:21" s="64" customFormat="1">
      <c r="A240" s="53"/>
      <c r="B240" s="53"/>
      <c r="C240" s="79"/>
      <c r="D240" s="79"/>
      <c r="E240" s="79"/>
      <c r="F240" s="53"/>
      <c r="G240" s="53"/>
      <c r="S240" s="53"/>
      <c r="T240" s="53"/>
      <c r="U240" s="53"/>
    </row>
    <row r="241" spans="1:21" s="64" customFormat="1">
      <c r="A241" s="53"/>
      <c r="B241" s="53"/>
      <c r="C241" s="79"/>
      <c r="D241" s="79"/>
      <c r="E241" s="79"/>
      <c r="F241" s="53"/>
      <c r="G241" s="53"/>
      <c r="S241" s="53"/>
      <c r="T241" s="53"/>
      <c r="U241" s="53"/>
    </row>
    <row r="242" spans="1:21" s="64" customFormat="1">
      <c r="A242" s="53"/>
      <c r="B242" s="53"/>
      <c r="C242" s="79"/>
      <c r="D242" s="79"/>
      <c r="E242" s="79"/>
      <c r="F242" s="53"/>
      <c r="G242" s="53"/>
    </row>
    <row r="243" spans="1:21" s="64" customFormat="1">
      <c r="A243" s="53"/>
      <c r="B243" s="53"/>
      <c r="C243" s="79"/>
      <c r="D243" s="79"/>
      <c r="E243" s="79"/>
      <c r="F243" s="53"/>
      <c r="G243" s="53"/>
    </row>
    <row r="244" spans="1:21" s="64" customFormat="1">
      <c r="A244" s="103"/>
      <c r="B244" s="103"/>
      <c r="C244" s="104"/>
      <c r="D244" s="104"/>
      <c r="E244" s="104"/>
      <c r="F244" s="53"/>
      <c r="G244" s="53"/>
    </row>
    <row r="245" spans="1:21" s="64" customFormat="1">
      <c r="A245" s="103"/>
      <c r="B245" s="105"/>
      <c r="C245" s="104"/>
      <c r="D245" s="104"/>
      <c r="E245" s="104"/>
      <c r="F245" s="53"/>
      <c r="G245" s="53"/>
    </row>
    <row r="246" spans="1:21" s="64" customFormat="1">
      <c r="A246" s="103"/>
      <c r="B246" s="103"/>
      <c r="C246" s="104"/>
      <c r="D246" s="104"/>
      <c r="E246" s="104"/>
      <c r="F246" s="53"/>
      <c r="G246" s="53"/>
    </row>
    <row r="247" spans="1:21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</row>
    <row r="248" spans="1:21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</row>
    <row r="249" spans="1:21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</row>
    <row r="250" spans="1:21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53"/>
    </row>
    <row r="251" spans="1:21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106"/>
    </row>
    <row r="252" spans="1:21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53"/>
    </row>
    <row r="253" spans="1:21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106"/>
    </row>
    <row r="254" spans="1:21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106"/>
    </row>
    <row r="255" spans="1:21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1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</row>
    <row r="257" spans="1:13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</row>
    <row r="258" spans="1:13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</row>
    <row r="259" spans="1:13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</row>
    <row r="260" spans="1:13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</row>
    <row r="261" spans="1:13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</row>
    <row r="262" spans="1:13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</row>
    <row r="263" spans="1:13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</row>
    <row r="264" spans="1:13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</row>
    <row r="265" spans="1:13" s="64" customFormat="1">
      <c r="A265" s="53"/>
      <c r="B265" s="53"/>
      <c r="C265" s="79"/>
      <c r="D265" s="79"/>
      <c r="E265" s="79"/>
      <c r="F265" s="53"/>
      <c r="G265" s="53"/>
    </row>
    <row r="266" spans="1:13" s="64" customFormat="1">
      <c r="A266" s="53"/>
      <c r="B266" s="53"/>
      <c r="C266" s="79"/>
      <c r="D266" s="79"/>
      <c r="E266" s="104"/>
      <c r="F266" s="53"/>
      <c r="G266" s="53"/>
    </row>
    <row r="267" spans="1:13" s="64" customFormat="1">
      <c r="A267" s="53"/>
      <c r="B267" s="53"/>
      <c r="C267" s="79"/>
      <c r="D267" s="79"/>
      <c r="E267" s="79"/>
      <c r="F267" s="53"/>
      <c r="G267" s="53"/>
    </row>
    <row r="268" spans="1:13" s="64" customFormat="1">
      <c r="A268" s="53"/>
      <c r="B268" s="53"/>
      <c r="C268" s="79"/>
      <c r="D268" s="79"/>
      <c r="E268" s="79"/>
      <c r="F268" s="53"/>
      <c r="G268" s="53"/>
    </row>
    <row r="269" spans="1:13" s="64" customFormat="1">
      <c r="A269" s="53"/>
      <c r="B269" s="112"/>
      <c r="C269" s="79"/>
      <c r="D269" s="79"/>
      <c r="E269" s="79"/>
      <c r="F269" s="53"/>
      <c r="G269" s="53"/>
    </row>
    <row r="270" spans="1:13" s="64" customFormat="1">
      <c r="A270" s="53"/>
      <c r="B270" s="112"/>
      <c r="C270" s="79"/>
      <c r="D270" s="79"/>
      <c r="E270" s="79"/>
      <c r="F270" s="53"/>
      <c r="G270" s="53"/>
    </row>
    <row r="271" spans="1:13" s="64" customFormat="1">
      <c r="A271" s="53"/>
      <c r="B271" s="113"/>
      <c r="C271" s="79"/>
      <c r="D271" s="79"/>
      <c r="E271" s="79"/>
      <c r="F271" s="53"/>
      <c r="G271" s="53"/>
    </row>
    <row r="272" spans="1:13" s="64" customFormat="1">
      <c r="A272" s="53"/>
      <c r="B272" s="113"/>
      <c r="C272" s="79"/>
      <c r="D272" s="79"/>
      <c r="E272" s="79"/>
      <c r="F272" s="53"/>
      <c r="G272" s="53"/>
    </row>
    <row r="273" spans="1:18" s="64" customFormat="1">
      <c r="A273" s="53"/>
      <c r="B273" s="113"/>
      <c r="C273" s="79"/>
      <c r="D273" s="79"/>
      <c r="E273" s="79"/>
      <c r="F273" s="53"/>
      <c r="G273" s="53"/>
    </row>
    <row r="274" spans="1:18" s="64" customFormat="1">
      <c r="A274" s="53"/>
      <c r="B274" s="113"/>
      <c r="C274" s="79"/>
      <c r="D274" s="79"/>
      <c r="E274" s="79"/>
      <c r="F274" s="53"/>
      <c r="G274" s="53"/>
    </row>
    <row r="275" spans="1:18" s="64" customFormat="1">
      <c r="A275" s="53"/>
      <c r="B275" s="112"/>
      <c r="C275" s="79"/>
      <c r="D275" s="79"/>
      <c r="E275" s="79"/>
      <c r="F275" s="53"/>
      <c r="G275" s="53"/>
    </row>
    <row r="276" spans="1:18" s="64" customFormat="1">
      <c r="A276" s="53"/>
      <c r="B276" s="112"/>
      <c r="C276" s="79"/>
      <c r="D276" s="79"/>
      <c r="E276" s="79"/>
      <c r="F276" s="53"/>
      <c r="G276" s="53"/>
    </row>
    <row r="277" spans="1:18" s="64" customFormat="1">
      <c r="A277" s="53"/>
      <c r="B277" s="112"/>
      <c r="C277" s="79"/>
      <c r="D277" s="79"/>
      <c r="E277" s="66"/>
      <c r="F277" s="53"/>
      <c r="G277" s="53"/>
      <c r="P277" s="53"/>
    </row>
    <row r="278" spans="1:18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P278" s="53"/>
    </row>
    <row r="279" spans="1:18" s="64" customFormat="1">
      <c r="A279" s="53"/>
      <c r="B279" s="53"/>
      <c r="C279" s="79"/>
      <c r="D279" s="79"/>
      <c r="E279" s="79"/>
      <c r="F279" s="79"/>
      <c r="G279" s="79"/>
      <c r="P279" s="53"/>
    </row>
    <row r="280" spans="1:18" s="64" customFormat="1">
      <c r="A280" s="53"/>
      <c r="B280" s="53"/>
      <c r="C280" s="79"/>
      <c r="D280" s="79"/>
      <c r="E280" s="79"/>
      <c r="G280" s="540"/>
      <c r="P280" s="53"/>
    </row>
    <row r="281" spans="1:18" s="64" customFormat="1">
      <c r="E281" s="79"/>
    </row>
    <row r="282" spans="1:18" s="64" customFormat="1">
      <c r="A282" s="115"/>
    </row>
    <row r="283" spans="1:18" s="64" customFormat="1"/>
    <row r="284" spans="1:18" s="64" customFormat="1">
      <c r="A284" s="53"/>
      <c r="B284" s="53"/>
      <c r="C284" s="53"/>
      <c r="D284" s="53"/>
      <c r="E284" s="53"/>
      <c r="N284" s="53"/>
      <c r="O284" s="53"/>
      <c r="P284" s="53"/>
      <c r="Q284" s="53"/>
      <c r="R284" s="53"/>
    </row>
    <row r="285" spans="1:18" s="64" customFormat="1">
      <c r="A285" s="53"/>
      <c r="B285" s="53"/>
      <c r="C285" s="53"/>
      <c r="D285" s="53"/>
      <c r="E285" s="53"/>
      <c r="F285" s="53"/>
      <c r="G285" s="53"/>
      <c r="N285" s="53"/>
      <c r="O285" s="53"/>
      <c r="P285" s="53"/>
      <c r="Q285" s="53"/>
      <c r="R285" s="79"/>
    </row>
    <row r="286" spans="1:18" s="64" customFormat="1">
      <c r="A286" s="53"/>
      <c r="B286" s="101"/>
      <c r="C286" s="79"/>
      <c r="D286" s="79"/>
      <c r="E286" s="79"/>
      <c r="F286" s="539"/>
      <c r="G286" s="53"/>
      <c r="N286" s="53"/>
      <c r="O286" s="53"/>
      <c r="P286" s="79"/>
      <c r="Q286" s="79"/>
      <c r="R286" s="79"/>
    </row>
    <row r="287" spans="1:18" s="64" customFormat="1">
      <c r="A287" s="53"/>
      <c r="B287" s="53"/>
      <c r="C287" s="79"/>
      <c r="D287" s="79"/>
      <c r="E287" s="79"/>
      <c r="F287" s="53"/>
      <c r="G287" s="53"/>
      <c r="N287" s="53"/>
      <c r="O287" s="53"/>
      <c r="P287" s="79"/>
      <c r="Q287" s="539"/>
      <c r="R287" s="79"/>
    </row>
    <row r="288" spans="1:18" s="64" customFormat="1">
      <c r="A288" s="53"/>
      <c r="B288" s="53"/>
      <c r="C288" s="79"/>
      <c r="D288" s="79"/>
      <c r="E288" s="79"/>
      <c r="F288" s="53"/>
      <c r="G288" s="53"/>
      <c r="N288" s="53"/>
      <c r="O288" s="53"/>
      <c r="P288" s="79"/>
      <c r="Q288" s="539"/>
      <c r="R288" s="79"/>
    </row>
    <row r="289" spans="1:21" s="64" customFormat="1">
      <c r="A289" s="53"/>
      <c r="B289" s="53"/>
      <c r="C289" s="79"/>
      <c r="D289" s="79"/>
      <c r="E289" s="79"/>
      <c r="F289" s="53"/>
      <c r="G289" s="53"/>
      <c r="N289" s="53"/>
      <c r="O289" s="79"/>
      <c r="P289" s="66"/>
      <c r="Q289" s="53"/>
      <c r="R289" s="53"/>
      <c r="S289" s="53"/>
      <c r="T289" s="53"/>
      <c r="U289" s="53"/>
    </row>
    <row r="290" spans="1:21" s="64" customFormat="1">
      <c r="A290" s="53"/>
      <c r="B290" s="53"/>
      <c r="C290" s="79"/>
      <c r="D290" s="79"/>
      <c r="E290" s="79"/>
      <c r="F290" s="53"/>
      <c r="G290" s="53"/>
      <c r="N290" s="53"/>
      <c r="O290" s="53"/>
      <c r="P290" s="66"/>
      <c r="Q290" s="53"/>
      <c r="R290" s="53"/>
      <c r="S290" s="79"/>
      <c r="T290" s="79"/>
      <c r="U290" s="53"/>
    </row>
    <row r="291" spans="1:21" s="64" customFormat="1">
      <c r="A291" s="53"/>
      <c r="B291" s="53"/>
      <c r="C291" s="79"/>
      <c r="D291" s="79"/>
      <c r="E291" s="79"/>
      <c r="F291" s="53"/>
      <c r="G291" s="53"/>
      <c r="N291" s="53"/>
      <c r="O291" s="53"/>
      <c r="P291" s="66"/>
      <c r="Q291" s="53"/>
      <c r="R291" s="53"/>
      <c r="S291" s="79"/>
      <c r="T291" s="79"/>
      <c r="U291" s="53"/>
    </row>
    <row r="292" spans="1:21" s="64" customFormat="1">
      <c r="A292" s="53"/>
      <c r="B292" s="53"/>
      <c r="C292" s="79"/>
      <c r="D292" s="79"/>
      <c r="E292" s="79"/>
      <c r="F292" s="53"/>
      <c r="G292" s="53"/>
      <c r="N292" s="53"/>
      <c r="O292" s="53"/>
      <c r="P292" s="66"/>
      <c r="Q292" s="53"/>
      <c r="R292" s="53"/>
      <c r="S292" s="79"/>
      <c r="T292" s="79"/>
      <c r="U292" s="53"/>
    </row>
    <row r="293" spans="1:21" s="64" customFormat="1">
      <c r="A293" s="53"/>
      <c r="B293" s="53"/>
      <c r="C293" s="79"/>
      <c r="D293" s="79"/>
      <c r="E293" s="79"/>
      <c r="F293" s="53"/>
      <c r="G293" s="53"/>
      <c r="N293" s="53"/>
      <c r="O293" s="53"/>
      <c r="P293" s="66"/>
      <c r="Q293" s="53"/>
      <c r="R293" s="53"/>
      <c r="S293" s="79"/>
      <c r="T293" s="79"/>
      <c r="U293" s="53"/>
    </row>
    <row r="294" spans="1:21" s="64" customFormat="1">
      <c r="A294" s="53"/>
      <c r="B294" s="53"/>
      <c r="C294" s="79"/>
      <c r="D294" s="79"/>
      <c r="E294" s="79"/>
      <c r="F294" s="53"/>
      <c r="G294" s="53"/>
      <c r="N294" s="53"/>
      <c r="O294" s="53"/>
      <c r="P294" s="66"/>
      <c r="Q294" s="53"/>
      <c r="R294" s="53"/>
      <c r="S294" s="53"/>
      <c r="T294" s="53"/>
      <c r="U294" s="53"/>
    </row>
    <row r="295" spans="1:21" s="64" customFormat="1">
      <c r="A295" s="53"/>
      <c r="B295" s="53"/>
      <c r="C295" s="79"/>
      <c r="D295" s="79"/>
      <c r="E295" s="79"/>
      <c r="F295" s="53"/>
      <c r="G295" s="53"/>
      <c r="N295" s="53"/>
      <c r="O295" s="53"/>
      <c r="P295" s="66"/>
      <c r="Q295" s="53"/>
      <c r="R295" s="53"/>
      <c r="S295" s="53"/>
      <c r="T295" s="53"/>
      <c r="U295" s="53"/>
    </row>
    <row r="296" spans="1:21" s="64" customFormat="1">
      <c r="A296" s="53"/>
      <c r="B296" s="53"/>
      <c r="C296" s="79"/>
      <c r="D296" s="79"/>
      <c r="E296" s="79"/>
      <c r="F296" s="53"/>
      <c r="G296" s="53"/>
      <c r="S296" s="53"/>
      <c r="T296" s="53"/>
      <c r="U296" s="53"/>
    </row>
    <row r="297" spans="1:21" s="64" customFormat="1">
      <c r="A297" s="53"/>
      <c r="B297" s="53"/>
      <c r="C297" s="79"/>
      <c r="D297" s="79"/>
      <c r="E297" s="79"/>
      <c r="F297" s="53"/>
      <c r="G297" s="53"/>
      <c r="S297" s="53"/>
      <c r="T297" s="53"/>
      <c r="U297" s="53"/>
    </row>
    <row r="298" spans="1:21" s="64" customFormat="1">
      <c r="A298" s="53"/>
      <c r="B298" s="53"/>
      <c r="C298" s="79"/>
      <c r="D298" s="79"/>
      <c r="E298" s="79"/>
      <c r="F298" s="539"/>
      <c r="G298" s="53"/>
      <c r="S298" s="53"/>
      <c r="T298" s="53"/>
      <c r="U298" s="53"/>
    </row>
    <row r="299" spans="1:21" s="64" customFormat="1">
      <c r="A299" s="53"/>
      <c r="B299" s="53"/>
      <c r="C299" s="79"/>
      <c r="D299" s="79"/>
      <c r="E299" s="79"/>
      <c r="F299" s="53"/>
      <c r="G299" s="53"/>
      <c r="S299" s="53"/>
      <c r="T299" s="53"/>
      <c r="U299" s="53"/>
    </row>
    <row r="300" spans="1:21" s="64" customFormat="1">
      <c r="A300" s="53"/>
      <c r="B300" s="53"/>
      <c r="C300" s="79"/>
      <c r="D300" s="79"/>
      <c r="E300" s="79"/>
      <c r="F300" s="53"/>
      <c r="G300" s="53"/>
      <c r="S300" s="53"/>
      <c r="T300" s="53"/>
      <c r="U300" s="53"/>
    </row>
    <row r="301" spans="1:21" s="64" customFormat="1">
      <c r="A301" s="53"/>
      <c r="B301" s="53"/>
      <c r="C301" s="79"/>
      <c r="D301" s="79"/>
      <c r="E301" s="79"/>
      <c r="F301" s="53"/>
      <c r="G301" s="53"/>
    </row>
    <row r="302" spans="1:21" s="64" customFormat="1">
      <c r="A302" s="53"/>
      <c r="B302" s="53"/>
      <c r="C302" s="79"/>
      <c r="D302" s="79"/>
      <c r="E302" s="79"/>
      <c r="F302" s="53"/>
      <c r="G302" s="53"/>
    </row>
    <row r="303" spans="1:21" s="64" customFormat="1">
      <c r="A303" s="103"/>
      <c r="B303" s="103"/>
      <c r="C303" s="104"/>
      <c r="D303" s="104"/>
      <c r="E303" s="104"/>
      <c r="F303" s="53"/>
      <c r="G303" s="53"/>
    </row>
    <row r="304" spans="1:21" s="64" customFormat="1">
      <c r="A304" s="103"/>
      <c r="B304" s="105"/>
      <c r="C304" s="104"/>
      <c r="D304" s="104"/>
      <c r="E304" s="104"/>
      <c r="F304" s="53"/>
      <c r="G304" s="53"/>
    </row>
    <row r="305" spans="1:14" s="64" customFormat="1">
      <c r="A305" s="103"/>
      <c r="B305" s="103"/>
      <c r="C305" s="104"/>
      <c r="D305" s="104"/>
      <c r="E305" s="104"/>
      <c r="F305" s="53"/>
      <c r="G305" s="53"/>
    </row>
    <row r="306" spans="1:14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</row>
    <row r="307" spans="1:14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</row>
    <row r="308" spans="1:14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</row>
    <row r="309" spans="1:14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53"/>
    </row>
    <row r="310" spans="1:14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106"/>
    </row>
    <row r="311" spans="1:14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53"/>
    </row>
    <row r="312" spans="1:14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106"/>
    </row>
    <row r="313" spans="1:14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106"/>
    </row>
    <row r="314" spans="1:14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4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</row>
    <row r="316" spans="1:14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</row>
    <row r="317" spans="1:14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</row>
    <row r="318" spans="1:14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</row>
    <row r="319" spans="1:14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</row>
    <row r="320" spans="1:14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</row>
    <row r="321" spans="1:16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</row>
    <row r="322" spans="1:16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</row>
    <row r="323" spans="1:16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</row>
    <row r="324" spans="1:16" s="64" customFormat="1">
      <c r="A324" s="53"/>
      <c r="B324" s="53"/>
      <c r="C324" s="79"/>
      <c r="D324" s="79"/>
      <c r="E324" s="79"/>
      <c r="F324" s="53"/>
      <c r="G324" s="53"/>
    </row>
    <row r="325" spans="1:16" s="64" customFormat="1">
      <c r="A325" s="53"/>
      <c r="B325" s="53"/>
      <c r="C325" s="79"/>
      <c r="D325" s="79"/>
      <c r="E325" s="104"/>
      <c r="F325" s="53"/>
      <c r="G325" s="53"/>
    </row>
    <row r="326" spans="1:16" s="64" customFormat="1">
      <c r="A326" s="53"/>
      <c r="B326" s="53"/>
      <c r="C326" s="79"/>
      <c r="D326" s="79"/>
      <c r="E326" s="79"/>
      <c r="F326" s="53"/>
      <c r="G326" s="53"/>
    </row>
    <row r="327" spans="1:16" s="64" customFormat="1">
      <c r="A327" s="53"/>
      <c r="B327" s="53"/>
      <c r="C327" s="79"/>
      <c r="D327" s="79"/>
      <c r="E327" s="79"/>
      <c r="F327" s="53"/>
      <c r="G327" s="53"/>
    </row>
    <row r="328" spans="1:16" s="64" customFormat="1">
      <c r="A328" s="53"/>
      <c r="B328" s="112"/>
      <c r="C328" s="79"/>
      <c r="D328" s="79"/>
      <c r="E328" s="79"/>
      <c r="F328" s="53"/>
      <c r="G328" s="53"/>
    </row>
    <row r="329" spans="1:16" s="64" customFormat="1">
      <c r="A329" s="53"/>
      <c r="B329" s="112"/>
      <c r="C329" s="79"/>
      <c r="D329" s="79"/>
      <c r="E329" s="79"/>
      <c r="F329" s="53"/>
      <c r="G329" s="53"/>
    </row>
    <row r="330" spans="1:16" s="64" customFormat="1">
      <c r="A330" s="53"/>
      <c r="B330" s="113"/>
      <c r="C330" s="79"/>
      <c r="D330" s="79"/>
      <c r="E330" s="79"/>
      <c r="F330" s="53"/>
      <c r="G330" s="53"/>
    </row>
    <row r="331" spans="1:16" s="64" customFormat="1">
      <c r="A331" s="53"/>
      <c r="B331" s="113"/>
      <c r="C331" s="79"/>
      <c r="D331" s="79"/>
      <c r="E331" s="79"/>
      <c r="F331" s="53"/>
      <c r="G331" s="53"/>
    </row>
    <row r="332" spans="1:16" s="64" customFormat="1">
      <c r="A332" s="53"/>
      <c r="B332" s="113"/>
      <c r="C332" s="79"/>
      <c r="D332" s="79"/>
      <c r="E332" s="79"/>
      <c r="F332" s="53"/>
      <c r="G332" s="53"/>
    </row>
    <row r="333" spans="1:16" s="64" customFormat="1">
      <c r="A333" s="53"/>
      <c r="B333" s="113"/>
      <c r="C333" s="79"/>
      <c r="D333" s="79"/>
      <c r="E333" s="79"/>
      <c r="F333" s="53"/>
      <c r="G333" s="53"/>
    </row>
    <row r="334" spans="1:16" s="64" customFormat="1">
      <c r="A334" s="53"/>
      <c r="B334" s="112"/>
      <c r="C334" s="79"/>
      <c r="D334" s="79"/>
      <c r="E334" s="79"/>
      <c r="F334" s="53"/>
      <c r="G334" s="53"/>
    </row>
    <row r="335" spans="1:16" s="64" customFormat="1">
      <c r="A335" s="53"/>
      <c r="B335" s="112"/>
      <c r="C335" s="79"/>
      <c r="D335" s="79"/>
      <c r="E335" s="79"/>
      <c r="F335" s="53"/>
      <c r="G335" s="53"/>
    </row>
    <row r="336" spans="1:16" s="64" customFormat="1">
      <c r="A336" s="53"/>
      <c r="B336" s="112"/>
      <c r="C336" s="79"/>
      <c r="D336" s="79"/>
      <c r="E336" s="66"/>
      <c r="F336" s="53"/>
      <c r="G336" s="53"/>
      <c r="P336" s="53"/>
    </row>
    <row r="337" spans="1:21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P337" s="53"/>
    </row>
    <row r="338" spans="1:21" s="64" customFormat="1">
      <c r="A338" s="53"/>
      <c r="B338" s="53"/>
      <c r="C338" s="79"/>
      <c r="D338" s="79"/>
      <c r="E338" s="79"/>
      <c r="F338" s="79"/>
      <c r="G338" s="79"/>
      <c r="P338" s="53"/>
    </row>
    <row r="339" spans="1:21" s="64" customFormat="1">
      <c r="A339" s="53"/>
      <c r="B339" s="53"/>
      <c r="C339" s="79"/>
      <c r="D339" s="79"/>
      <c r="E339" s="79"/>
      <c r="G339" s="540"/>
      <c r="P339" s="53"/>
    </row>
    <row r="340" spans="1:21" s="64" customFormat="1">
      <c r="A340" s="115"/>
      <c r="E340" s="79"/>
    </row>
    <row r="341" spans="1:21" s="64" customFormat="1"/>
    <row r="342" spans="1:21" s="64" customFormat="1">
      <c r="A342" s="116"/>
    </row>
    <row r="343" spans="1:21" s="64" customFormat="1">
      <c r="A343" s="53"/>
      <c r="B343" s="53"/>
      <c r="C343" s="53"/>
      <c r="D343" s="53"/>
      <c r="E343" s="53"/>
      <c r="N343" s="53"/>
      <c r="O343" s="53"/>
      <c r="P343" s="53"/>
      <c r="Q343" s="53"/>
      <c r="R343" s="53"/>
    </row>
    <row r="344" spans="1:21" s="64" customFormat="1">
      <c r="A344" s="53"/>
      <c r="B344" s="53"/>
      <c r="C344" s="53"/>
      <c r="D344" s="53"/>
      <c r="E344" s="53"/>
      <c r="F344" s="53"/>
      <c r="G344" s="53"/>
      <c r="N344" s="53"/>
      <c r="O344" s="53"/>
      <c r="P344" s="53"/>
      <c r="Q344" s="53"/>
      <c r="R344" s="79"/>
    </row>
    <row r="345" spans="1:21" s="64" customFormat="1">
      <c r="A345" s="53"/>
      <c r="B345" s="101"/>
      <c r="C345" s="79"/>
      <c r="D345" s="79"/>
      <c r="E345" s="79"/>
      <c r="F345" s="539"/>
      <c r="G345" s="53"/>
      <c r="N345" s="53"/>
      <c r="O345" s="53"/>
      <c r="P345" s="79"/>
      <c r="Q345" s="79"/>
      <c r="R345" s="79"/>
    </row>
    <row r="346" spans="1:21" s="64" customFormat="1">
      <c r="A346" s="53"/>
      <c r="B346" s="53"/>
      <c r="C346" s="79"/>
      <c r="D346" s="79"/>
      <c r="E346" s="79"/>
      <c r="F346" s="53"/>
      <c r="G346" s="53"/>
      <c r="N346" s="53"/>
      <c r="O346" s="53"/>
      <c r="P346" s="79"/>
      <c r="Q346" s="539"/>
      <c r="R346" s="79"/>
    </row>
    <row r="347" spans="1:21" s="64" customFormat="1">
      <c r="A347" s="53"/>
      <c r="B347" s="53"/>
      <c r="C347" s="79"/>
      <c r="D347" s="79"/>
      <c r="E347" s="79"/>
      <c r="F347" s="53"/>
      <c r="G347" s="53"/>
      <c r="N347" s="53"/>
      <c r="O347" s="53"/>
      <c r="P347" s="79"/>
      <c r="Q347" s="539"/>
      <c r="R347" s="79"/>
    </row>
    <row r="348" spans="1:21" s="64" customFormat="1">
      <c r="A348" s="53"/>
      <c r="B348" s="53"/>
      <c r="C348" s="79"/>
      <c r="D348" s="79"/>
      <c r="E348" s="79"/>
      <c r="F348" s="53"/>
      <c r="G348" s="53"/>
      <c r="N348" s="53"/>
      <c r="O348" s="79"/>
      <c r="P348" s="66"/>
      <c r="Q348" s="53"/>
      <c r="R348" s="53"/>
      <c r="S348" s="53"/>
      <c r="T348" s="53"/>
      <c r="U348" s="53"/>
    </row>
    <row r="349" spans="1:21" s="64" customFormat="1">
      <c r="A349" s="53"/>
      <c r="B349" s="53"/>
      <c r="C349" s="79"/>
      <c r="D349" s="79"/>
      <c r="E349" s="79"/>
      <c r="F349" s="53"/>
      <c r="G349" s="53"/>
      <c r="N349" s="53"/>
      <c r="O349" s="53"/>
      <c r="P349" s="66"/>
      <c r="Q349" s="53"/>
      <c r="R349" s="53"/>
      <c r="S349" s="79"/>
      <c r="T349" s="79"/>
      <c r="U349" s="53"/>
    </row>
    <row r="350" spans="1:21" s="64" customFormat="1">
      <c r="A350" s="53"/>
      <c r="B350" s="53"/>
      <c r="C350" s="79"/>
      <c r="D350" s="79"/>
      <c r="E350" s="79"/>
      <c r="F350" s="53"/>
      <c r="G350" s="53"/>
      <c r="N350" s="53"/>
      <c r="O350" s="53"/>
      <c r="P350" s="66"/>
      <c r="Q350" s="53"/>
      <c r="R350" s="53"/>
      <c r="S350" s="79"/>
      <c r="T350" s="79"/>
      <c r="U350" s="53"/>
    </row>
    <row r="351" spans="1:21" s="64" customFormat="1">
      <c r="A351" s="53"/>
      <c r="B351" s="53"/>
      <c r="C351" s="79"/>
      <c r="D351" s="79"/>
      <c r="E351" s="79"/>
      <c r="F351" s="53"/>
      <c r="G351" s="53"/>
      <c r="N351" s="53"/>
      <c r="O351" s="53"/>
      <c r="P351" s="66"/>
      <c r="Q351" s="53"/>
      <c r="R351" s="53"/>
      <c r="S351" s="79"/>
      <c r="T351" s="79"/>
      <c r="U351" s="53"/>
    </row>
    <row r="352" spans="1:21" s="64" customFormat="1">
      <c r="A352" s="53"/>
      <c r="B352" s="53"/>
      <c r="C352" s="79"/>
      <c r="D352" s="79"/>
      <c r="E352" s="79"/>
      <c r="F352" s="53"/>
      <c r="G352" s="53"/>
      <c r="N352" s="53"/>
      <c r="O352" s="53"/>
      <c r="P352" s="66"/>
      <c r="Q352" s="53"/>
      <c r="R352" s="53"/>
      <c r="S352" s="79"/>
      <c r="T352" s="79"/>
      <c r="U352" s="53"/>
    </row>
    <row r="353" spans="1:21" s="64" customFormat="1">
      <c r="A353" s="53"/>
      <c r="B353" s="53"/>
      <c r="C353" s="79"/>
      <c r="D353" s="79"/>
      <c r="E353" s="79"/>
      <c r="F353" s="53"/>
      <c r="G353" s="53"/>
      <c r="N353" s="53"/>
      <c r="O353" s="53"/>
      <c r="P353" s="66"/>
      <c r="Q353" s="53"/>
      <c r="R353" s="53"/>
      <c r="S353" s="53"/>
      <c r="T353" s="53"/>
      <c r="U353" s="53"/>
    </row>
    <row r="354" spans="1:21" s="64" customFormat="1">
      <c r="A354" s="53"/>
      <c r="B354" s="53"/>
      <c r="C354" s="79"/>
      <c r="D354" s="79"/>
      <c r="E354" s="79"/>
      <c r="F354" s="53"/>
      <c r="G354" s="53"/>
      <c r="N354" s="53"/>
      <c r="O354" s="53"/>
      <c r="P354" s="66"/>
      <c r="Q354" s="53"/>
      <c r="R354" s="53"/>
      <c r="S354" s="53"/>
      <c r="T354" s="53"/>
      <c r="U354" s="53"/>
    </row>
    <row r="355" spans="1:21" s="64" customFormat="1">
      <c r="A355" s="53"/>
      <c r="B355" s="53"/>
      <c r="C355" s="79"/>
      <c r="D355" s="79"/>
      <c r="E355" s="79"/>
      <c r="F355" s="53"/>
      <c r="G355" s="53"/>
      <c r="S355" s="53"/>
      <c r="T355" s="53"/>
      <c r="U355" s="53"/>
    </row>
    <row r="356" spans="1:21" s="64" customFormat="1">
      <c r="A356" s="53"/>
      <c r="B356" s="53"/>
      <c r="C356" s="79"/>
      <c r="D356" s="79"/>
      <c r="E356" s="79"/>
      <c r="F356" s="53"/>
      <c r="G356" s="53"/>
      <c r="S356" s="53"/>
      <c r="T356" s="53"/>
      <c r="U356" s="53"/>
    </row>
    <row r="357" spans="1:21" s="64" customFormat="1">
      <c r="A357" s="53"/>
      <c r="B357" s="53"/>
      <c r="C357" s="79"/>
      <c r="D357" s="79"/>
      <c r="E357" s="79"/>
      <c r="F357" s="539"/>
      <c r="G357" s="53"/>
      <c r="S357" s="53"/>
      <c r="T357" s="53"/>
      <c r="U357" s="53"/>
    </row>
    <row r="358" spans="1:21" s="64" customFormat="1">
      <c r="A358" s="53"/>
      <c r="B358" s="53"/>
      <c r="C358" s="79"/>
      <c r="D358" s="79"/>
      <c r="E358" s="79"/>
      <c r="F358" s="53"/>
      <c r="G358" s="53"/>
      <c r="S358" s="53"/>
      <c r="T358" s="53"/>
      <c r="U358" s="53"/>
    </row>
    <row r="359" spans="1:21" s="64" customFormat="1">
      <c r="A359" s="53"/>
      <c r="B359" s="53"/>
      <c r="C359" s="79"/>
      <c r="D359" s="79"/>
      <c r="E359" s="79"/>
      <c r="F359" s="53"/>
      <c r="G359" s="53"/>
      <c r="S359" s="53"/>
      <c r="T359" s="53"/>
      <c r="U359" s="53"/>
    </row>
    <row r="360" spans="1:21" s="64" customFormat="1">
      <c r="A360" s="53"/>
      <c r="B360" s="53"/>
      <c r="C360" s="79"/>
      <c r="D360" s="79"/>
      <c r="E360" s="79"/>
      <c r="F360" s="53"/>
      <c r="G360" s="53"/>
    </row>
    <row r="361" spans="1:21" s="64" customFormat="1">
      <c r="A361" s="53"/>
      <c r="B361" s="53"/>
      <c r="C361" s="79"/>
      <c r="D361" s="79"/>
      <c r="E361" s="79"/>
      <c r="F361" s="53"/>
      <c r="G361" s="53"/>
    </row>
    <row r="362" spans="1:21" s="64" customFormat="1">
      <c r="A362" s="103"/>
      <c r="B362" s="103"/>
      <c r="C362" s="104"/>
      <c r="D362" s="104"/>
      <c r="E362" s="104"/>
      <c r="F362" s="53"/>
      <c r="G362" s="53"/>
    </row>
    <row r="363" spans="1:21" s="64" customFormat="1">
      <c r="A363" s="103"/>
      <c r="B363" s="105"/>
      <c r="C363" s="104"/>
      <c r="D363" s="104"/>
      <c r="E363" s="104"/>
      <c r="F363" s="53"/>
      <c r="G363" s="53"/>
    </row>
    <row r="364" spans="1:21" s="64" customFormat="1">
      <c r="A364" s="103"/>
      <c r="B364" s="103"/>
      <c r="C364" s="104"/>
      <c r="D364" s="104"/>
      <c r="E364" s="104"/>
      <c r="F364" s="53"/>
      <c r="G364" s="53"/>
    </row>
    <row r="365" spans="1:21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</row>
    <row r="366" spans="1:21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</row>
    <row r="367" spans="1:21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</row>
    <row r="368" spans="1:21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53"/>
    </row>
    <row r="369" spans="1:14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106"/>
    </row>
    <row r="370" spans="1:14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53"/>
    </row>
    <row r="371" spans="1:14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106"/>
    </row>
    <row r="372" spans="1:14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106"/>
    </row>
    <row r="373" spans="1:14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4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</row>
    <row r="375" spans="1:14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</row>
    <row r="376" spans="1:14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</row>
    <row r="377" spans="1:14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</row>
    <row r="378" spans="1:14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</row>
    <row r="379" spans="1:14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</row>
    <row r="380" spans="1:14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</row>
    <row r="381" spans="1:14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</row>
    <row r="382" spans="1:14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</row>
    <row r="383" spans="1:14" s="64" customFormat="1">
      <c r="A383" s="53"/>
      <c r="B383" s="53"/>
      <c r="C383" s="79"/>
      <c r="D383" s="79"/>
      <c r="E383" s="79"/>
      <c r="F383" s="53"/>
      <c r="G383" s="53"/>
    </row>
    <row r="384" spans="1:14" s="64" customFormat="1">
      <c r="A384" s="53"/>
      <c r="B384" s="53"/>
      <c r="C384" s="79"/>
      <c r="D384" s="79"/>
      <c r="E384" s="104"/>
      <c r="F384" s="53"/>
      <c r="G384" s="53"/>
    </row>
    <row r="385" spans="1:16" s="64" customFormat="1">
      <c r="A385" s="53"/>
      <c r="B385" s="53"/>
      <c r="C385" s="79"/>
      <c r="D385" s="79"/>
      <c r="E385" s="79"/>
      <c r="F385" s="53"/>
      <c r="G385" s="53"/>
    </row>
    <row r="386" spans="1:16" s="64" customFormat="1">
      <c r="A386" s="53"/>
      <c r="B386" s="53"/>
      <c r="C386" s="79"/>
      <c r="D386" s="79"/>
      <c r="E386" s="79"/>
      <c r="F386" s="53"/>
      <c r="G386" s="53"/>
    </row>
    <row r="387" spans="1:16" s="64" customFormat="1">
      <c r="A387" s="53"/>
      <c r="B387" s="112"/>
      <c r="C387" s="79"/>
      <c r="D387" s="79"/>
      <c r="E387" s="79"/>
      <c r="F387" s="53"/>
      <c r="G387" s="53"/>
    </row>
    <row r="388" spans="1:16" s="64" customFormat="1">
      <c r="A388" s="53"/>
      <c r="B388" s="112"/>
      <c r="C388" s="79"/>
      <c r="D388" s="79"/>
      <c r="E388" s="79"/>
      <c r="F388" s="53"/>
      <c r="G388" s="53"/>
    </row>
    <row r="389" spans="1:16" s="64" customFormat="1">
      <c r="A389" s="53"/>
      <c r="B389" s="113"/>
      <c r="C389" s="79"/>
      <c r="D389" s="79"/>
      <c r="E389" s="79"/>
      <c r="F389" s="53"/>
      <c r="G389" s="53"/>
    </row>
    <row r="390" spans="1:16" s="64" customFormat="1">
      <c r="A390" s="53"/>
      <c r="B390" s="113"/>
      <c r="C390" s="79"/>
      <c r="D390" s="79"/>
      <c r="E390" s="79"/>
      <c r="F390" s="53"/>
      <c r="G390" s="53"/>
    </row>
    <row r="391" spans="1:16" s="64" customFormat="1">
      <c r="A391" s="53"/>
      <c r="B391" s="113"/>
      <c r="C391" s="79"/>
      <c r="D391" s="79"/>
      <c r="E391" s="79"/>
      <c r="F391" s="53"/>
      <c r="G391" s="53"/>
    </row>
    <row r="392" spans="1:16" s="64" customFormat="1">
      <c r="A392" s="53"/>
      <c r="B392" s="113"/>
      <c r="C392" s="79"/>
      <c r="D392" s="79"/>
      <c r="E392" s="79"/>
      <c r="F392" s="53"/>
      <c r="G392" s="53"/>
    </row>
    <row r="393" spans="1:16" s="64" customFormat="1">
      <c r="A393" s="53"/>
      <c r="B393" s="112"/>
      <c r="C393" s="79"/>
      <c r="D393" s="79"/>
      <c r="E393" s="79"/>
      <c r="F393" s="53"/>
      <c r="G393" s="53"/>
    </row>
    <row r="394" spans="1:16" s="64" customFormat="1">
      <c r="A394" s="53"/>
      <c r="B394" s="112"/>
      <c r="C394" s="79"/>
      <c r="D394" s="79"/>
      <c r="E394" s="79"/>
      <c r="F394" s="53"/>
      <c r="G394" s="53"/>
    </row>
    <row r="395" spans="1:16" s="64" customFormat="1">
      <c r="A395" s="53"/>
      <c r="B395" s="112"/>
      <c r="C395" s="79"/>
      <c r="D395" s="79"/>
      <c r="E395" s="66"/>
      <c r="F395" s="53"/>
      <c r="G395" s="53"/>
      <c r="P395" s="53"/>
    </row>
    <row r="396" spans="1:16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P396" s="53"/>
    </row>
    <row r="397" spans="1:16" s="64" customFormat="1">
      <c r="A397" s="53"/>
      <c r="B397" s="53"/>
      <c r="C397" s="79"/>
      <c r="D397" s="79"/>
      <c r="E397" s="79"/>
      <c r="F397" s="79"/>
      <c r="G397" s="79"/>
      <c r="P397" s="53"/>
    </row>
    <row r="398" spans="1:16" s="64" customFormat="1">
      <c r="A398" s="53"/>
      <c r="B398" s="53"/>
      <c r="C398" s="79"/>
      <c r="D398" s="79"/>
      <c r="E398" s="79"/>
      <c r="G398" s="540"/>
      <c r="P398" s="53"/>
    </row>
    <row r="399" spans="1:16" s="64" customFormat="1">
      <c r="E399" s="79"/>
    </row>
    <row r="400" spans="1:16" s="64" customFormat="1">
      <c r="A400" s="115"/>
    </row>
    <row r="401" spans="1:21" s="64" customFormat="1"/>
    <row r="402" spans="1:21" s="64" customFormat="1">
      <c r="A402" s="53"/>
      <c r="B402" s="53"/>
      <c r="C402" s="53"/>
      <c r="D402" s="53"/>
      <c r="E402" s="53"/>
      <c r="N402" s="53"/>
      <c r="O402" s="53"/>
      <c r="P402" s="53"/>
      <c r="Q402" s="53"/>
      <c r="R402" s="53"/>
    </row>
    <row r="403" spans="1:21" s="64" customFormat="1">
      <c r="A403" s="53"/>
      <c r="B403" s="53"/>
      <c r="C403" s="53"/>
      <c r="D403" s="53"/>
      <c r="E403" s="53"/>
      <c r="F403" s="53"/>
      <c r="G403" s="53"/>
      <c r="N403" s="53"/>
      <c r="O403" s="53"/>
      <c r="P403" s="53"/>
      <c r="Q403" s="53"/>
      <c r="R403" s="79"/>
    </row>
    <row r="404" spans="1:21" s="64" customFormat="1">
      <c r="A404" s="53"/>
      <c r="B404" s="101"/>
      <c r="C404" s="79"/>
      <c r="D404" s="79"/>
      <c r="E404" s="79"/>
      <c r="F404" s="539"/>
      <c r="G404" s="53"/>
      <c r="N404" s="53"/>
      <c r="O404" s="53"/>
      <c r="P404" s="79"/>
      <c r="Q404" s="79"/>
      <c r="R404" s="79"/>
    </row>
    <row r="405" spans="1:21" s="64" customFormat="1">
      <c r="A405" s="53"/>
      <c r="B405" s="53"/>
      <c r="C405" s="79"/>
      <c r="D405" s="79"/>
      <c r="E405" s="79"/>
      <c r="F405" s="53"/>
      <c r="G405" s="53"/>
      <c r="N405" s="53"/>
      <c r="O405" s="53"/>
      <c r="P405" s="79"/>
      <c r="Q405" s="539"/>
      <c r="R405" s="79"/>
    </row>
    <row r="406" spans="1:21" s="64" customFormat="1">
      <c r="A406" s="53"/>
      <c r="B406" s="53"/>
      <c r="C406" s="79"/>
      <c r="D406" s="79"/>
      <c r="E406" s="79"/>
      <c r="F406" s="53"/>
      <c r="G406" s="53"/>
      <c r="N406" s="53"/>
      <c r="O406" s="53"/>
      <c r="P406" s="79"/>
      <c r="Q406" s="539"/>
      <c r="R406" s="79"/>
    </row>
    <row r="407" spans="1:21" s="64" customFormat="1">
      <c r="A407" s="53"/>
      <c r="B407" s="53"/>
      <c r="C407" s="79"/>
      <c r="D407" s="79"/>
      <c r="E407" s="79"/>
      <c r="F407" s="53"/>
      <c r="G407" s="53"/>
      <c r="N407" s="53"/>
      <c r="O407" s="79"/>
      <c r="P407" s="66"/>
      <c r="Q407" s="53"/>
      <c r="R407" s="53"/>
      <c r="S407" s="53"/>
      <c r="T407" s="53"/>
      <c r="U407" s="53"/>
    </row>
    <row r="408" spans="1:21" s="64" customFormat="1">
      <c r="A408" s="53"/>
      <c r="B408" s="53"/>
      <c r="C408" s="79"/>
      <c r="D408" s="79"/>
      <c r="E408" s="79"/>
      <c r="F408" s="53"/>
      <c r="G408" s="53"/>
      <c r="N408" s="53"/>
      <c r="O408" s="53"/>
      <c r="P408" s="66"/>
      <c r="Q408" s="53"/>
      <c r="R408" s="53"/>
      <c r="S408" s="79"/>
      <c r="T408" s="79"/>
      <c r="U408" s="53"/>
    </row>
    <row r="409" spans="1:21" s="64" customFormat="1">
      <c r="A409" s="53"/>
      <c r="B409" s="53"/>
      <c r="C409" s="79"/>
      <c r="D409" s="79"/>
      <c r="E409" s="79"/>
      <c r="F409" s="53"/>
      <c r="G409" s="53"/>
      <c r="N409" s="53"/>
      <c r="O409" s="53"/>
      <c r="P409" s="66"/>
      <c r="Q409" s="53"/>
      <c r="R409" s="53"/>
      <c r="S409" s="79"/>
      <c r="T409" s="79"/>
      <c r="U409" s="53"/>
    </row>
    <row r="410" spans="1:21" s="64" customFormat="1">
      <c r="A410" s="53"/>
      <c r="B410" s="53"/>
      <c r="C410" s="79"/>
      <c r="D410" s="79"/>
      <c r="E410" s="79"/>
      <c r="F410" s="53"/>
      <c r="G410" s="53"/>
      <c r="N410" s="53"/>
      <c r="O410" s="53"/>
      <c r="P410" s="66"/>
      <c r="Q410" s="53"/>
      <c r="R410" s="53"/>
      <c r="S410" s="79"/>
      <c r="T410" s="79"/>
      <c r="U410" s="53"/>
    </row>
    <row r="411" spans="1:21" s="64" customFormat="1">
      <c r="A411" s="53"/>
      <c r="B411" s="53"/>
      <c r="C411" s="79"/>
      <c r="D411" s="79"/>
      <c r="E411" s="79"/>
      <c r="F411" s="53"/>
      <c r="G411" s="53"/>
      <c r="N411" s="53"/>
      <c r="O411" s="53"/>
      <c r="P411" s="66"/>
      <c r="Q411" s="53"/>
      <c r="R411" s="53"/>
      <c r="S411" s="79"/>
      <c r="T411" s="79"/>
      <c r="U411" s="53"/>
    </row>
    <row r="412" spans="1:21" s="64" customFormat="1">
      <c r="A412" s="53"/>
      <c r="B412" s="53"/>
      <c r="C412" s="79"/>
      <c r="D412" s="79"/>
      <c r="E412" s="79"/>
      <c r="F412" s="53"/>
      <c r="G412" s="53"/>
      <c r="N412" s="53"/>
      <c r="O412" s="53"/>
      <c r="P412" s="66"/>
      <c r="Q412" s="53"/>
      <c r="R412" s="53"/>
      <c r="S412" s="53"/>
      <c r="T412" s="53"/>
      <c r="U412" s="53"/>
    </row>
    <row r="413" spans="1:21" s="64" customFormat="1">
      <c r="A413" s="53"/>
      <c r="B413" s="53"/>
      <c r="C413" s="79"/>
      <c r="D413" s="79"/>
      <c r="E413" s="79"/>
      <c r="F413" s="53"/>
      <c r="G413" s="53"/>
      <c r="N413" s="53"/>
      <c r="O413" s="53"/>
      <c r="P413" s="66"/>
      <c r="Q413" s="53"/>
      <c r="R413" s="53"/>
      <c r="S413" s="53"/>
      <c r="T413" s="53"/>
      <c r="U413" s="53"/>
    </row>
    <row r="414" spans="1:21" s="64" customFormat="1">
      <c r="A414" s="53"/>
      <c r="B414" s="53"/>
      <c r="C414" s="79"/>
      <c r="D414" s="79"/>
      <c r="E414" s="79"/>
      <c r="F414" s="53"/>
      <c r="G414" s="53"/>
      <c r="S414" s="53"/>
      <c r="T414" s="53"/>
      <c r="U414" s="53"/>
    </row>
    <row r="415" spans="1:21" s="64" customFormat="1">
      <c r="A415" s="53"/>
      <c r="B415" s="53"/>
      <c r="C415" s="79"/>
      <c r="D415" s="79"/>
      <c r="E415" s="79"/>
      <c r="F415" s="53"/>
      <c r="G415" s="53"/>
      <c r="S415" s="53"/>
      <c r="T415" s="53"/>
      <c r="U415" s="53"/>
    </row>
    <row r="416" spans="1:21" s="64" customFormat="1">
      <c r="A416" s="53"/>
      <c r="B416" s="53"/>
      <c r="C416" s="79"/>
      <c r="D416" s="79"/>
      <c r="E416" s="79"/>
      <c r="F416" s="539"/>
      <c r="G416" s="53"/>
      <c r="S416" s="53"/>
      <c r="T416" s="53"/>
      <c r="U416" s="53"/>
    </row>
    <row r="417" spans="1:21" s="64" customFormat="1">
      <c r="A417" s="53"/>
      <c r="B417" s="53"/>
      <c r="C417" s="79"/>
      <c r="D417" s="79"/>
      <c r="E417" s="79"/>
      <c r="F417" s="53"/>
      <c r="G417" s="53"/>
      <c r="S417" s="53"/>
      <c r="T417" s="53"/>
      <c r="U417" s="53"/>
    </row>
    <row r="418" spans="1:21" s="64" customFormat="1">
      <c r="A418" s="53"/>
      <c r="B418" s="53"/>
      <c r="C418" s="79"/>
      <c r="D418" s="79"/>
      <c r="E418" s="79"/>
      <c r="F418" s="53"/>
      <c r="G418" s="53"/>
      <c r="S418" s="53"/>
      <c r="T418" s="53"/>
      <c r="U418" s="53"/>
    </row>
    <row r="419" spans="1:21" s="64" customFormat="1">
      <c r="A419" s="53"/>
      <c r="B419" s="53"/>
      <c r="C419" s="79"/>
      <c r="D419" s="79"/>
      <c r="E419" s="79"/>
      <c r="F419" s="53"/>
      <c r="G419" s="53"/>
    </row>
    <row r="420" spans="1:21" s="64" customFormat="1">
      <c r="A420" s="53"/>
      <c r="B420" s="53"/>
      <c r="C420" s="79"/>
      <c r="D420" s="79"/>
      <c r="E420" s="79"/>
      <c r="F420" s="53"/>
      <c r="G420" s="53"/>
    </row>
    <row r="421" spans="1:21" s="64" customFormat="1">
      <c r="A421" s="103"/>
      <c r="B421" s="103"/>
      <c r="C421" s="104"/>
      <c r="D421" s="104"/>
      <c r="E421" s="104"/>
      <c r="F421" s="53"/>
      <c r="G421" s="53"/>
    </row>
    <row r="422" spans="1:21" s="64" customFormat="1">
      <c r="A422" s="103"/>
      <c r="B422" s="105"/>
      <c r="C422" s="104"/>
      <c r="D422" s="104"/>
      <c r="E422" s="104"/>
      <c r="F422" s="53"/>
      <c r="G422" s="53"/>
    </row>
    <row r="423" spans="1:21" s="64" customFormat="1">
      <c r="A423" s="103"/>
      <c r="B423" s="103"/>
      <c r="C423" s="104"/>
      <c r="D423" s="104"/>
      <c r="E423" s="104"/>
      <c r="F423" s="53"/>
      <c r="G423" s="53"/>
    </row>
    <row r="424" spans="1:21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</row>
    <row r="425" spans="1:21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</row>
    <row r="426" spans="1:21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</row>
    <row r="427" spans="1:21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53"/>
    </row>
    <row r="428" spans="1:21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106"/>
    </row>
    <row r="429" spans="1:21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53"/>
    </row>
    <row r="430" spans="1:21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106"/>
    </row>
    <row r="431" spans="1:21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106"/>
    </row>
    <row r="432" spans="1:21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3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</row>
    <row r="434" spans="1:13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</row>
    <row r="435" spans="1:13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</row>
    <row r="436" spans="1:13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</row>
    <row r="437" spans="1:13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</row>
    <row r="438" spans="1:13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</row>
    <row r="439" spans="1:13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</row>
    <row r="440" spans="1:13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</row>
    <row r="441" spans="1:13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</row>
    <row r="442" spans="1:13" s="64" customFormat="1">
      <c r="A442" s="53"/>
      <c r="B442" s="53"/>
      <c r="C442" s="79"/>
      <c r="D442" s="79"/>
      <c r="E442" s="79"/>
      <c r="F442" s="53"/>
      <c r="G442" s="53"/>
    </row>
    <row r="443" spans="1:13" s="64" customFormat="1">
      <c r="A443" s="53"/>
      <c r="B443" s="53"/>
      <c r="C443" s="79"/>
      <c r="D443" s="79"/>
      <c r="E443" s="104"/>
      <c r="F443" s="53"/>
      <c r="G443" s="53"/>
    </row>
    <row r="444" spans="1:13" s="64" customFormat="1">
      <c r="A444" s="53"/>
      <c r="B444" s="53"/>
      <c r="C444" s="79"/>
      <c r="D444" s="79"/>
      <c r="E444" s="79"/>
      <c r="F444" s="53"/>
      <c r="G444" s="53"/>
    </row>
    <row r="445" spans="1:13" s="64" customFormat="1">
      <c r="A445" s="53"/>
      <c r="B445" s="53"/>
      <c r="C445" s="79"/>
      <c r="D445" s="79"/>
      <c r="E445" s="79"/>
      <c r="F445" s="53"/>
      <c r="G445" s="53"/>
    </row>
    <row r="446" spans="1:13" s="64" customFormat="1">
      <c r="A446" s="53"/>
      <c r="B446" s="112"/>
      <c r="C446" s="79"/>
      <c r="D446" s="79"/>
      <c r="E446" s="79"/>
      <c r="F446" s="53"/>
      <c r="G446" s="53"/>
    </row>
    <row r="447" spans="1:13" s="64" customFormat="1">
      <c r="A447" s="53"/>
      <c r="B447" s="112"/>
      <c r="C447" s="79"/>
      <c r="D447" s="79"/>
      <c r="E447" s="79"/>
      <c r="F447" s="53"/>
      <c r="G447" s="53"/>
    </row>
    <row r="448" spans="1:13" s="64" customFormat="1">
      <c r="A448" s="53"/>
      <c r="B448" s="113"/>
      <c r="C448" s="79"/>
      <c r="D448" s="79"/>
      <c r="E448" s="79"/>
      <c r="F448" s="53"/>
      <c r="G448" s="53"/>
    </row>
    <row r="449" spans="1:18" s="64" customFormat="1">
      <c r="A449" s="53"/>
      <c r="B449" s="113"/>
      <c r="C449" s="79"/>
      <c r="D449" s="79"/>
      <c r="E449" s="79"/>
      <c r="F449" s="53"/>
      <c r="G449" s="53"/>
    </row>
    <row r="450" spans="1:18" s="64" customFormat="1">
      <c r="A450" s="53"/>
      <c r="B450" s="113"/>
      <c r="C450" s="79"/>
      <c r="D450" s="79"/>
      <c r="E450" s="79"/>
      <c r="F450" s="53"/>
      <c r="G450" s="53"/>
    </row>
    <row r="451" spans="1:18" s="64" customFormat="1">
      <c r="A451" s="53"/>
      <c r="B451" s="113"/>
      <c r="C451" s="79"/>
      <c r="D451" s="79"/>
      <c r="E451" s="79"/>
      <c r="F451" s="53"/>
      <c r="G451" s="53"/>
    </row>
    <row r="452" spans="1:18" s="64" customFormat="1">
      <c r="A452" s="53"/>
      <c r="B452" s="112"/>
      <c r="C452" s="79"/>
      <c r="D452" s="79"/>
      <c r="E452" s="79"/>
      <c r="F452" s="53"/>
      <c r="G452" s="53"/>
    </row>
    <row r="453" spans="1:18" s="64" customFormat="1">
      <c r="A453" s="53"/>
      <c r="B453" s="112"/>
      <c r="C453" s="79"/>
      <c r="D453" s="79"/>
      <c r="E453" s="79"/>
      <c r="F453" s="53"/>
      <c r="G453" s="53"/>
    </row>
    <row r="454" spans="1:18" s="64" customFormat="1">
      <c r="A454" s="53"/>
      <c r="B454" s="112"/>
      <c r="C454" s="79"/>
      <c r="D454" s="79"/>
      <c r="E454" s="66"/>
      <c r="F454" s="53"/>
      <c r="G454" s="53"/>
      <c r="P454" s="53"/>
    </row>
    <row r="455" spans="1:18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P455" s="53"/>
    </row>
    <row r="456" spans="1:18" s="64" customFormat="1">
      <c r="A456" s="53"/>
      <c r="B456" s="53"/>
      <c r="C456" s="79"/>
      <c r="D456" s="79"/>
      <c r="E456" s="79"/>
      <c r="F456" s="79"/>
      <c r="G456" s="79"/>
      <c r="P456" s="53"/>
    </row>
    <row r="457" spans="1:18" s="64" customFormat="1">
      <c r="A457" s="53"/>
      <c r="B457" s="53"/>
      <c r="C457" s="79"/>
      <c r="D457" s="79"/>
      <c r="E457" s="79"/>
      <c r="G457" s="540"/>
      <c r="P457" s="53"/>
    </row>
    <row r="458" spans="1:18" s="64" customFormat="1">
      <c r="E458" s="79"/>
    </row>
    <row r="459" spans="1:18" s="64" customFormat="1"/>
    <row r="460" spans="1:18" s="64" customFormat="1"/>
    <row r="461" spans="1:18" s="64" customFormat="1">
      <c r="A461" s="53"/>
      <c r="B461" s="53"/>
      <c r="C461" s="53"/>
      <c r="D461" s="53"/>
      <c r="E461" s="53"/>
      <c r="N461" s="53"/>
      <c r="O461" s="53"/>
      <c r="P461" s="53"/>
      <c r="Q461" s="53"/>
      <c r="R461" s="53"/>
    </row>
    <row r="462" spans="1:18" s="64" customFormat="1">
      <c r="A462" s="53"/>
      <c r="B462" s="53"/>
      <c r="C462" s="53"/>
      <c r="D462" s="53"/>
      <c r="E462" s="53"/>
      <c r="F462" s="53"/>
      <c r="G462" s="53"/>
      <c r="N462" s="53"/>
      <c r="O462" s="53"/>
      <c r="P462" s="53"/>
      <c r="Q462" s="53"/>
      <c r="R462" s="79"/>
    </row>
    <row r="463" spans="1:18" s="64" customFormat="1">
      <c r="A463" s="53"/>
      <c r="B463" s="101"/>
      <c r="C463" s="79"/>
      <c r="D463" s="79"/>
      <c r="E463" s="79"/>
      <c r="F463" s="539"/>
      <c r="G463" s="53"/>
      <c r="N463" s="53"/>
      <c r="O463" s="53"/>
      <c r="P463" s="79"/>
      <c r="Q463" s="79"/>
      <c r="R463" s="79"/>
    </row>
    <row r="464" spans="1:18" s="64" customFormat="1">
      <c r="A464" s="53"/>
      <c r="B464" s="53"/>
      <c r="C464" s="79"/>
      <c r="D464" s="79"/>
      <c r="E464" s="79"/>
      <c r="F464" s="53"/>
      <c r="G464" s="53"/>
      <c r="N464" s="53"/>
      <c r="O464" s="53"/>
      <c r="P464" s="79"/>
      <c r="Q464" s="539"/>
      <c r="R464" s="79"/>
    </row>
    <row r="465" spans="1:21" s="64" customFormat="1">
      <c r="A465" s="53"/>
      <c r="B465" s="53"/>
      <c r="C465" s="79"/>
      <c r="D465" s="79"/>
      <c r="E465" s="79"/>
      <c r="F465" s="53"/>
      <c r="G465" s="53"/>
      <c r="N465" s="53"/>
      <c r="O465" s="53"/>
      <c r="P465" s="79"/>
      <c r="Q465" s="539"/>
      <c r="R465" s="79"/>
    </row>
    <row r="466" spans="1:21" s="64" customFormat="1">
      <c r="A466" s="53"/>
      <c r="B466" s="53"/>
      <c r="C466" s="79"/>
      <c r="D466" s="79"/>
      <c r="E466" s="79"/>
      <c r="F466" s="53"/>
      <c r="G466" s="53"/>
      <c r="N466" s="53"/>
      <c r="O466" s="79"/>
      <c r="P466" s="66"/>
      <c r="Q466" s="53"/>
      <c r="R466" s="53"/>
      <c r="S466" s="53"/>
      <c r="T466" s="53"/>
      <c r="U466" s="53"/>
    </row>
    <row r="467" spans="1:21" s="64" customFormat="1">
      <c r="A467" s="53"/>
      <c r="B467" s="53"/>
      <c r="C467" s="79"/>
      <c r="D467" s="79"/>
      <c r="E467" s="79"/>
      <c r="F467" s="53"/>
      <c r="G467" s="53"/>
      <c r="N467" s="53"/>
      <c r="O467" s="53"/>
      <c r="P467" s="66"/>
      <c r="Q467" s="53"/>
      <c r="R467" s="53"/>
      <c r="S467" s="79"/>
      <c r="T467" s="79"/>
      <c r="U467" s="53"/>
    </row>
    <row r="468" spans="1:21" s="64" customFormat="1">
      <c r="A468" s="53"/>
      <c r="B468" s="53"/>
      <c r="C468" s="79"/>
      <c r="D468" s="79"/>
      <c r="E468" s="79"/>
      <c r="F468" s="53"/>
      <c r="G468" s="53"/>
      <c r="N468" s="53"/>
      <c r="O468" s="53"/>
      <c r="P468" s="66"/>
      <c r="Q468" s="53"/>
      <c r="R468" s="53"/>
      <c r="S468" s="79"/>
      <c r="T468" s="79"/>
      <c r="U468" s="53"/>
    </row>
    <row r="469" spans="1:21" s="64" customFormat="1">
      <c r="A469" s="53"/>
      <c r="B469" s="53"/>
      <c r="C469" s="79"/>
      <c r="D469" s="79"/>
      <c r="E469" s="79"/>
      <c r="F469" s="53"/>
      <c r="G469" s="53"/>
      <c r="N469" s="53"/>
      <c r="O469" s="53"/>
      <c r="P469" s="66"/>
      <c r="Q469" s="53"/>
      <c r="R469" s="53"/>
      <c r="S469" s="79"/>
      <c r="T469" s="79"/>
      <c r="U469" s="53"/>
    </row>
    <row r="470" spans="1:21" s="64" customFormat="1">
      <c r="A470" s="53"/>
      <c r="B470" s="53"/>
      <c r="C470" s="79"/>
      <c r="D470" s="79"/>
      <c r="E470" s="79"/>
      <c r="F470" s="53"/>
      <c r="G470" s="53"/>
      <c r="N470" s="53"/>
      <c r="O470" s="53"/>
      <c r="P470" s="66"/>
      <c r="Q470" s="53"/>
      <c r="R470" s="53"/>
      <c r="S470" s="79"/>
      <c r="T470" s="79"/>
      <c r="U470" s="53"/>
    </row>
    <row r="471" spans="1:21" s="64" customFormat="1">
      <c r="A471" s="53"/>
      <c r="B471" s="53"/>
      <c r="C471" s="79"/>
      <c r="D471" s="79"/>
      <c r="E471" s="79"/>
      <c r="F471" s="53"/>
      <c r="G471" s="53"/>
      <c r="N471" s="53"/>
      <c r="O471" s="53"/>
      <c r="P471" s="66"/>
      <c r="Q471" s="53"/>
      <c r="R471" s="53"/>
      <c r="S471" s="53"/>
      <c r="T471" s="53"/>
      <c r="U471" s="53"/>
    </row>
    <row r="472" spans="1:21" s="64" customFormat="1">
      <c r="A472" s="53"/>
      <c r="B472" s="53"/>
      <c r="C472" s="79"/>
      <c r="D472" s="79"/>
      <c r="E472" s="79"/>
      <c r="F472" s="53"/>
      <c r="G472" s="53"/>
      <c r="N472" s="53"/>
      <c r="O472" s="53"/>
      <c r="P472" s="66"/>
      <c r="Q472" s="53"/>
      <c r="R472" s="53"/>
      <c r="S472" s="53"/>
      <c r="T472" s="53"/>
      <c r="U472" s="53"/>
    </row>
    <row r="473" spans="1:21" s="64" customFormat="1">
      <c r="A473" s="53"/>
      <c r="B473" s="53"/>
      <c r="C473" s="79"/>
      <c r="D473" s="79"/>
      <c r="E473" s="79"/>
      <c r="F473" s="53"/>
      <c r="G473" s="53"/>
      <c r="S473" s="53"/>
      <c r="T473" s="53"/>
      <c r="U473" s="53"/>
    </row>
    <row r="474" spans="1:21" s="64" customFormat="1">
      <c r="A474" s="53"/>
      <c r="B474" s="53"/>
      <c r="C474" s="79"/>
      <c r="D474" s="79"/>
      <c r="E474" s="79"/>
      <c r="F474" s="53"/>
      <c r="G474" s="53"/>
      <c r="S474" s="53"/>
      <c r="T474" s="53"/>
      <c r="U474" s="53"/>
    </row>
    <row r="475" spans="1:21" s="64" customFormat="1">
      <c r="A475" s="53"/>
      <c r="B475" s="53"/>
      <c r="C475" s="79"/>
      <c r="D475" s="79"/>
      <c r="E475" s="79"/>
      <c r="F475" s="539"/>
      <c r="G475" s="53"/>
      <c r="S475" s="53"/>
      <c r="T475" s="53"/>
      <c r="U475" s="53"/>
    </row>
    <row r="476" spans="1:21" s="64" customFormat="1">
      <c r="A476" s="53"/>
      <c r="B476" s="53"/>
      <c r="C476" s="79"/>
      <c r="D476" s="79"/>
      <c r="E476" s="79"/>
      <c r="F476" s="53"/>
      <c r="G476" s="53"/>
      <c r="S476" s="53"/>
      <c r="T476" s="53"/>
      <c r="U476" s="53"/>
    </row>
    <row r="477" spans="1:21" s="64" customFormat="1">
      <c r="A477" s="53"/>
      <c r="B477" s="53"/>
      <c r="C477" s="79"/>
      <c r="D477" s="79"/>
      <c r="E477" s="79"/>
      <c r="F477" s="53"/>
      <c r="G477" s="53"/>
      <c r="S477" s="53"/>
      <c r="T477" s="53"/>
      <c r="U477" s="53"/>
    </row>
    <row r="478" spans="1:21" s="64" customFormat="1">
      <c r="A478" s="53"/>
      <c r="B478" s="53"/>
      <c r="C478" s="79"/>
      <c r="D478" s="79"/>
      <c r="E478" s="79"/>
      <c r="F478" s="53"/>
      <c r="G478" s="53"/>
    </row>
    <row r="479" spans="1:21" s="64" customFormat="1">
      <c r="A479" s="53"/>
      <c r="B479" s="53"/>
      <c r="C479" s="79"/>
      <c r="D479" s="79"/>
      <c r="E479" s="79"/>
      <c r="F479" s="53"/>
      <c r="G479" s="53"/>
    </row>
    <row r="480" spans="1:21" s="64" customFormat="1">
      <c r="A480" s="103"/>
      <c r="B480" s="103"/>
      <c r="C480" s="104"/>
      <c r="D480" s="104"/>
      <c r="E480" s="104"/>
      <c r="F480" s="53"/>
      <c r="G480" s="53"/>
    </row>
    <row r="481" spans="1:14" s="64" customFormat="1">
      <c r="A481" s="103"/>
      <c r="B481" s="105"/>
      <c r="C481" s="104"/>
      <c r="D481" s="104"/>
      <c r="E481" s="104"/>
      <c r="F481" s="53"/>
      <c r="G481" s="53"/>
    </row>
    <row r="482" spans="1:14" s="64" customFormat="1">
      <c r="A482" s="103"/>
      <c r="B482" s="103"/>
      <c r="C482" s="104"/>
      <c r="D482" s="104"/>
      <c r="E482" s="104"/>
      <c r="F482" s="53"/>
      <c r="G482" s="53"/>
    </row>
    <row r="483" spans="1:14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</row>
    <row r="484" spans="1:14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</row>
    <row r="485" spans="1:14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</row>
    <row r="486" spans="1:14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53"/>
    </row>
    <row r="487" spans="1:14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106"/>
    </row>
    <row r="488" spans="1:14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53"/>
    </row>
    <row r="489" spans="1:14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106"/>
    </row>
    <row r="490" spans="1:14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106"/>
    </row>
    <row r="491" spans="1:14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4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</row>
    <row r="493" spans="1:14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</row>
    <row r="494" spans="1:14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</row>
    <row r="495" spans="1:14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</row>
    <row r="496" spans="1:14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</row>
    <row r="497" spans="1:13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</row>
    <row r="498" spans="1:13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</row>
    <row r="499" spans="1:13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</row>
    <row r="500" spans="1:13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</row>
    <row r="501" spans="1:13" s="64" customFormat="1">
      <c r="A501" s="53"/>
      <c r="B501" s="53"/>
      <c r="C501" s="79"/>
      <c r="D501" s="79"/>
      <c r="E501" s="79"/>
      <c r="F501" s="53"/>
      <c r="G501" s="53"/>
    </row>
    <row r="502" spans="1:13" s="64" customFormat="1">
      <c r="A502" s="53"/>
      <c r="B502" s="53"/>
      <c r="C502" s="79"/>
      <c r="D502" s="79"/>
      <c r="E502" s="104"/>
      <c r="F502" s="53"/>
      <c r="G502" s="53"/>
    </row>
    <row r="503" spans="1:13" s="64" customFormat="1">
      <c r="A503" s="53"/>
      <c r="B503" s="53"/>
      <c r="C503" s="79"/>
      <c r="D503" s="79"/>
      <c r="E503" s="79"/>
      <c r="F503" s="53"/>
      <c r="G503" s="53"/>
    </row>
    <row r="504" spans="1:13" s="64" customFormat="1">
      <c r="A504" s="53"/>
      <c r="B504" s="53"/>
      <c r="C504" s="79"/>
      <c r="D504" s="79"/>
      <c r="E504" s="79"/>
      <c r="F504" s="53"/>
      <c r="G504" s="53"/>
    </row>
    <row r="505" spans="1:13" s="64" customFormat="1">
      <c r="A505" s="53"/>
      <c r="B505" s="112"/>
      <c r="C505" s="79"/>
      <c r="D505" s="79"/>
      <c r="E505" s="79"/>
      <c r="F505" s="53"/>
      <c r="G505" s="53"/>
    </row>
    <row r="506" spans="1:13" s="64" customFormat="1">
      <c r="A506" s="53"/>
      <c r="B506" s="112"/>
      <c r="C506" s="79"/>
      <c r="D506" s="79"/>
      <c r="E506" s="79"/>
      <c r="F506" s="53"/>
      <c r="G506" s="53"/>
    </row>
    <row r="507" spans="1:13" s="64" customFormat="1">
      <c r="A507" s="53"/>
      <c r="B507" s="113"/>
      <c r="C507" s="79"/>
      <c r="D507" s="79"/>
      <c r="E507" s="79"/>
      <c r="F507" s="53"/>
      <c r="G507" s="53"/>
    </row>
    <row r="508" spans="1:13" s="64" customFormat="1">
      <c r="A508" s="53"/>
      <c r="B508" s="113"/>
      <c r="C508" s="79"/>
      <c r="D508" s="79"/>
      <c r="E508" s="79"/>
      <c r="F508" s="53"/>
      <c r="G508" s="53"/>
    </row>
    <row r="509" spans="1:13" s="64" customFormat="1">
      <c r="A509" s="53"/>
      <c r="B509" s="113"/>
      <c r="C509" s="79"/>
      <c r="D509" s="79"/>
      <c r="E509" s="79"/>
      <c r="F509" s="53"/>
      <c r="G509" s="53"/>
    </row>
    <row r="510" spans="1:13" s="64" customFormat="1">
      <c r="A510" s="53"/>
      <c r="B510" s="113"/>
      <c r="C510" s="79"/>
      <c r="D510" s="79"/>
      <c r="E510" s="79"/>
      <c r="F510" s="53"/>
      <c r="G510" s="53"/>
    </row>
    <row r="511" spans="1:13" s="64" customFormat="1">
      <c r="A511" s="53"/>
      <c r="B511" s="112"/>
      <c r="C511" s="79"/>
      <c r="D511" s="79"/>
      <c r="E511" s="79"/>
      <c r="F511" s="53"/>
      <c r="G511" s="53"/>
    </row>
    <row r="512" spans="1:13" s="64" customFormat="1">
      <c r="A512" s="53"/>
      <c r="B512" s="112"/>
      <c r="C512" s="79"/>
      <c r="D512" s="79"/>
      <c r="E512" s="79"/>
      <c r="F512" s="53"/>
      <c r="G512" s="53"/>
    </row>
    <row r="513" spans="1:21" s="64" customFormat="1">
      <c r="A513" s="53"/>
      <c r="B513" s="112"/>
      <c r="C513" s="79"/>
      <c r="D513" s="79"/>
      <c r="E513" s="66"/>
      <c r="F513" s="53"/>
      <c r="G513" s="53"/>
      <c r="P513" s="53"/>
    </row>
    <row r="514" spans="1:21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P514" s="53"/>
    </row>
    <row r="515" spans="1:21" s="64" customFormat="1">
      <c r="A515" s="53"/>
      <c r="B515" s="53"/>
      <c r="C515" s="79"/>
      <c r="D515" s="79"/>
      <c r="E515" s="79"/>
      <c r="F515" s="79"/>
      <c r="G515" s="79"/>
      <c r="P515" s="53"/>
    </row>
    <row r="516" spans="1:21" s="64" customFormat="1">
      <c r="A516" s="53"/>
      <c r="B516" s="53"/>
      <c r="C516" s="79"/>
      <c r="D516" s="79"/>
      <c r="E516" s="79"/>
      <c r="G516" s="540"/>
      <c r="P516" s="53"/>
    </row>
    <row r="517" spans="1:21" s="64" customFormat="1">
      <c r="E517" s="79"/>
    </row>
    <row r="518" spans="1:21" s="64" customFormat="1"/>
    <row r="519" spans="1:21" s="64" customFormat="1"/>
    <row r="520" spans="1:21" s="64" customFormat="1">
      <c r="A520" s="53"/>
      <c r="B520" s="53"/>
      <c r="C520" s="53"/>
      <c r="D520" s="53"/>
      <c r="E520" s="53"/>
      <c r="N520" s="53"/>
      <c r="O520" s="53"/>
      <c r="P520" s="53"/>
      <c r="Q520" s="53"/>
      <c r="R520" s="53"/>
    </row>
    <row r="521" spans="1:21" s="64" customFormat="1">
      <c r="A521" s="53"/>
      <c r="B521" s="53"/>
      <c r="C521" s="53"/>
      <c r="D521" s="53"/>
      <c r="E521" s="53"/>
      <c r="F521" s="53"/>
      <c r="G521" s="53"/>
      <c r="N521" s="53"/>
      <c r="O521" s="53"/>
      <c r="P521" s="53"/>
      <c r="Q521" s="53"/>
      <c r="R521" s="79"/>
    </row>
    <row r="522" spans="1:21" s="64" customFormat="1">
      <c r="A522" s="53"/>
      <c r="B522" s="101"/>
      <c r="C522" s="79"/>
      <c r="D522" s="79"/>
      <c r="E522" s="79"/>
      <c r="F522" s="539"/>
      <c r="G522" s="53"/>
      <c r="N522" s="53"/>
      <c r="O522" s="53"/>
      <c r="P522" s="79"/>
      <c r="Q522" s="79"/>
      <c r="R522" s="79"/>
    </row>
    <row r="523" spans="1:21" s="64" customFormat="1">
      <c r="A523" s="53"/>
      <c r="B523" s="53"/>
      <c r="C523" s="79"/>
      <c r="D523" s="79"/>
      <c r="E523" s="79"/>
      <c r="F523" s="53"/>
      <c r="G523" s="53"/>
      <c r="N523" s="53"/>
      <c r="O523" s="53"/>
      <c r="P523" s="79"/>
      <c r="Q523" s="539"/>
      <c r="R523" s="79"/>
    </row>
    <row r="524" spans="1:21" s="64" customFormat="1">
      <c r="A524" s="53"/>
      <c r="B524" s="53"/>
      <c r="C524" s="79"/>
      <c r="D524" s="79"/>
      <c r="E524" s="79"/>
      <c r="F524" s="53"/>
      <c r="G524" s="53"/>
      <c r="N524" s="53"/>
      <c r="O524" s="53"/>
      <c r="P524" s="79"/>
      <c r="Q524" s="539"/>
      <c r="R524" s="79"/>
    </row>
    <row r="525" spans="1:21" s="64" customFormat="1">
      <c r="A525" s="53"/>
      <c r="B525" s="53"/>
      <c r="C525" s="79"/>
      <c r="D525" s="79"/>
      <c r="E525" s="79"/>
      <c r="F525" s="53"/>
      <c r="G525" s="53"/>
      <c r="N525" s="53"/>
      <c r="O525" s="79"/>
      <c r="P525" s="66"/>
      <c r="Q525" s="53"/>
      <c r="R525" s="53"/>
      <c r="S525" s="53"/>
      <c r="T525" s="53"/>
      <c r="U525" s="53"/>
    </row>
    <row r="526" spans="1:21" s="64" customFormat="1">
      <c r="A526" s="53"/>
      <c r="B526" s="53"/>
      <c r="C526" s="79"/>
      <c r="D526" s="79"/>
      <c r="E526" s="79"/>
      <c r="F526" s="53"/>
      <c r="G526" s="53"/>
      <c r="N526" s="53"/>
      <c r="O526" s="53"/>
      <c r="P526" s="66"/>
      <c r="Q526" s="53"/>
      <c r="R526" s="53"/>
      <c r="S526" s="79"/>
      <c r="T526" s="79"/>
      <c r="U526" s="53"/>
    </row>
    <row r="527" spans="1:21" s="64" customFormat="1">
      <c r="A527" s="53"/>
      <c r="B527" s="53"/>
      <c r="C527" s="79"/>
      <c r="D527" s="79"/>
      <c r="E527" s="79"/>
      <c r="F527" s="53"/>
      <c r="G527" s="53"/>
      <c r="N527" s="53"/>
      <c r="O527" s="53"/>
      <c r="P527" s="66"/>
      <c r="Q527" s="53"/>
      <c r="R527" s="53"/>
      <c r="S527" s="79"/>
      <c r="T527" s="79"/>
      <c r="U527" s="53"/>
    </row>
    <row r="528" spans="1:21" s="64" customFormat="1">
      <c r="A528" s="53"/>
      <c r="B528" s="53"/>
      <c r="C528" s="79"/>
      <c r="D528" s="79"/>
      <c r="E528" s="79"/>
      <c r="F528" s="53"/>
      <c r="G528" s="53"/>
      <c r="N528" s="53"/>
      <c r="O528" s="53"/>
      <c r="P528" s="66"/>
      <c r="Q528" s="53"/>
      <c r="R528" s="53"/>
      <c r="S528" s="79"/>
      <c r="T528" s="79"/>
      <c r="U528" s="53"/>
    </row>
    <row r="529" spans="1:21" s="64" customFormat="1">
      <c r="A529" s="53"/>
      <c r="B529" s="53"/>
      <c r="C529" s="79"/>
      <c r="D529" s="79"/>
      <c r="E529" s="79"/>
      <c r="F529" s="53"/>
      <c r="G529" s="53"/>
      <c r="N529" s="53"/>
      <c r="O529" s="53"/>
      <c r="P529" s="66"/>
      <c r="Q529" s="53"/>
      <c r="R529" s="53"/>
      <c r="S529" s="79"/>
      <c r="T529" s="79"/>
      <c r="U529" s="53"/>
    </row>
    <row r="530" spans="1:21" s="64" customFormat="1">
      <c r="A530" s="53"/>
      <c r="B530" s="53"/>
      <c r="C530" s="79"/>
      <c r="D530" s="79"/>
      <c r="E530" s="79"/>
      <c r="F530" s="53"/>
      <c r="G530" s="53"/>
      <c r="N530" s="53"/>
      <c r="O530" s="53"/>
      <c r="P530" s="66"/>
      <c r="Q530" s="53"/>
      <c r="R530" s="53"/>
      <c r="S530" s="53"/>
      <c r="T530" s="53"/>
      <c r="U530" s="53"/>
    </row>
    <row r="531" spans="1:21" s="64" customFormat="1">
      <c r="A531" s="53"/>
      <c r="B531" s="53"/>
      <c r="C531" s="79"/>
      <c r="D531" s="79"/>
      <c r="E531" s="79"/>
      <c r="F531" s="53"/>
      <c r="G531" s="53"/>
      <c r="N531" s="53"/>
      <c r="O531" s="53"/>
      <c r="P531" s="66"/>
      <c r="Q531" s="53"/>
      <c r="R531" s="53"/>
      <c r="S531" s="53"/>
      <c r="T531" s="53"/>
      <c r="U531" s="53"/>
    </row>
    <row r="532" spans="1:21" s="64" customFormat="1">
      <c r="A532" s="53"/>
      <c r="B532" s="53"/>
      <c r="C532" s="79"/>
      <c r="D532" s="79"/>
      <c r="E532" s="79"/>
      <c r="F532" s="53"/>
      <c r="G532" s="53"/>
      <c r="S532" s="53"/>
      <c r="T532" s="53"/>
      <c r="U532" s="53"/>
    </row>
    <row r="533" spans="1:21" s="64" customFormat="1">
      <c r="A533" s="53"/>
      <c r="B533" s="53"/>
      <c r="C533" s="79"/>
      <c r="D533" s="79"/>
      <c r="E533" s="79"/>
      <c r="F533" s="53"/>
      <c r="G533" s="53"/>
      <c r="S533" s="53"/>
      <c r="T533" s="53"/>
      <c r="U533" s="53"/>
    </row>
    <row r="534" spans="1:21" s="64" customFormat="1">
      <c r="A534" s="53"/>
      <c r="B534" s="53"/>
      <c r="C534" s="79"/>
      <c r="D534" s="79"/>
      <c r="E534" s="79"/>
      <c r="F534" s="539"/>
      <c r="G534" s="53"/>
      <c r="S534" s="53"/>
      <c r="T534" s="53"/>
      <c r="U534" s="53"/>
    </row>
    <row r="535" spans="1:21" s="64" customFormat="1">
      <c r="A535" s="53"/>
      <c r="B535" s="53"/>
      <c r="C535" s="79"/>
      <c r="D535" s="79"/>
      <c r="E535" s="79"/>
      <c r="F535" s="53"/>
      <c r="G535" s="53"/>
      <c r="S535" s="53"/>
      <c r="T535" s="53"/>
      <c r="U535" s="53"/>
    </row>
    <row r="536" spans="1:21" s="64" customFormat="1">
      <c r="A536" s="53"/>
      <c r="B536" s="53"/>
      <c r="C536" s="79"/>
      <c r="D536" s="79"/>
      <c r="E536" s="79"/>
      <c r="F536" s="53"/>
      <c r="G536" s="53"/>
      <c r="S536" s="53"/>
      <c r="T536" s="53"/>
      <c r="U536" s="53"/>
    </row>
    <row r="537" spans="1:21" s="64" customFormat="1">
      <c r="A537" s="53"/>
      <c r="B537" s="53"/>
      <c r="C537" s="79"/>
      <c r="D537" s="79"/>
      <c r="E537" s="79"/>
      <c r="F537" s="53"/>
      <c r="G537" s="53"/>
    </row>
    <row r="538" spans="1:21" s="64" customFormat="1">
      <c r="A538" s="53"/>
      <c r="B538" s="53"/>
      <c r="C538" s="79"/>
      <c r="D538" s="79"/>
      <c r="E538" s="79"/>
      <c r="F538" s="53"/>
      <c r="G538" s="53"/>
    </row>
    <row r="539" spans="1:21" s="64" customFormat="1">
      <c r="A539" s="103"/>
      <c r="B539" s="103"/>
      <c r="C539" s="104"/>
      <c r="D539" s="104"/>
      <c r="E539" s="104"/>
      <c r="F539" s="53"/>
      <c r="G539" s="53"/>
    </row>
    <row r="540" spans="1:21" s="64" customFormat="1">
      <c r="A540" s="103"/>
      <c r="B540" s="105"/>
      <c r="C540" s="104"/>
      <c r="D540" s="104"/>
      <c r="E540" s="104"/>
      <c r="F540" s="53"/>
      <c r="G540" s="53"/>
    </row>
    <row r="541" spans="1:21" s="64" customFormat="1">
      <c r="A541" s="103"/>
      <c r="B541" s="103"/>
      <c r="C541" s="104"/>
      <c r="D541" s="104"/>
      <c r="E541" s="104"/>
      <c r="F541" s="53"/>
      <c r="G541" s="53"/>
    </row>
    <row r="542" spans="1:21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</row>
    <row r="543" spans="1:21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</row>
    <row r="544" spans="1:21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</row>
    <row r="545" spans="1:14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53"/>
    </row>
    <row r="546" spans="1:14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106"/>
    </row>
    <row r="547" spans="1:14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53"/>
    </row>
    <row r="548" spans="1:14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106"/>
    </row>
    <row r="549" spans="1:14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106"/>
    </row>
    <row r="550" spans="1:14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4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</row>
    <row r="552" spans="1:14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</row>
    <row r="553" spans="1:14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</row>
    <row r="554" spans="1:14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</row>
    <row r="555" spans="1:14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</row>
    <row r="556" spans="1:14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</row>
    <row r="557" spans="1:14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</row>
    <row r="558" spans="1:14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</row>
    <row r="559" spans="1:14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</row>
    <row r="560" spans="1:14" s="64" customFormat="1">
      <c r="A560" s="53"/>
      <c r="B560" s="53"/>
      <c r="C560" s="79"/>
      <c r="D560" s="79"/>
      <c r="E560" s="79"/>
      <c r="F560" s="53"/>
      <c r="G560" s="53"/>
    </row>
    <row r="561" spans="1:16" s="64" customFormat="1">
      <c r="A561" s="53"/>
      <c r="B561" s="53"/>
      <c r="C561" s="79"/>
      <c r="D561" s="79"/>
      <c r="E561" s="104"/>
      <c r="F561" s="53"/>
      <c r="G561" s="53"/>
    </row>
    <row r="562" spans="1:16" s="64" customFormat="1">
      <c r="A562" s="53"/>
      <c r="B562" s="53"/>
      <c r="C562" s="79"/>
      <c r="D562" s="79"/>
      <c r="E562" s="79"/>
      <c r="F562" s="53"/>
      <c r="G562" s="53"/>
    </row>
    <row r="563" spans="1:16" s="64" customFormat="1">
      <c r="A563" s="53"/>
      <c r="B563" s="53"/>
      <c r="C563" s="79"/>
      <c r="D563" s="79"/>
      <c r="E563" s="79"/>
      <c r="F563" s="53"/>
      <c r="G563" s="53"/>
    </row>
    <row r="564" spans="1:16" s="64" customFormat="1">
      <c r="A564" s="53"/>
      <c r="B564" s="112"/>
      <c r="C564" s="79"/>
      <c r="D564" s="79"/>
      <c r="E564" s="79"/>
      <c r="F564" s="53"/>
      <c r="G564" s="53"/>
    </row>
    <row r="565" spans="1:16" s="64" customFormat="1">
      <c r="A565" s="53"/>
      <c r="B565" s="112"/>
      <c r="C565" s="79"/>
      <c r="D565" s="79"/>
      <c r="E565" s="79"/>
      <c r="F565" s="53"/>
      <c r="G565" s="53"/>
    </row>
    <row r="566" spans="1:16" s="64" customFormat="1">
      <c r="A566" s="53"/>
      <c r="B566" s="113"/>
      <c r="C566" s="79"/>
      <c r="D566" s="79"/>
      <c r="E566" s="79"/>
      <c r="F566" s="53"/>
      <c r="G566" s="53"/>
    </row>
    <row r="567" spans="1:16" s="64" customFormat="1">
      <c r="A567" s="53"/>
      <c r="B567" s="113"/>
      <c r="C567" s="79"/>
      <c r="D567" s="79"/>
      <c r="E567" s="79"/>
      <c r="F567" s="53"/>
      <c r="G567" s="53"/>
    </row>
    <row r="568" spans="1:16" s="64" customFormat="1">
      <c r="A568" s="53"/>
      <c r="B568" s="113"/>
      <c r="C568" s="79"/>
      <c r="D568" s="79"/>
      <c r="E568" s="79"/>
      <c r="F568" s="53"/>
      <c r="G568" s="53"/>
    </row>
    <row r="569" spans="1:16" s="64" customFormat="1">
      <c r="A569" s="53"/>
      <c r="B569" s="113"/>
      <c r="C569" s="79"/>
      <c r="D569" s="79"/>
      <c r="E569" s="79"/>
      <c r="F569" s="53"/>
      <c r="G569" s="53"/>
    </row>
    <row r="570" spans="1:16" s="64" customFormat="1">
      <c r="A570" s="53"/>
      <c r="B570" s="112"/>
      <c r="C570" s="79"/>
      <c r="D570" s="79"/>
      <c r="E570" s="79"/>
      <c r="F570" s="53"/>
      <c r="G570" s="53"/>
    </row>
    <row r="571" spans="1:16" s="64" customFormat="1">
      <c r="A571" s="53"/>
      <c r="B571" s="112"/>
      <c r="C571" s="79"/>
      <c r="D571" s="79"/>
      <c r="E571" s="79"/>
      <c r="F571" s="53"/>
      <c r="G571" s="53"/>
    </row>
    <row r="572" spans="1:16" s="64" customFormat="1">
      <c r="A572" s="53"/>
      <c r="B572" s="112"/>
      <c r="C572" s="79"/>
      <c r="D572" s="79"/>
      <c r="E572" s="66"/>
      <c r="F572" s="53"/>
      <c r="G572" s="53"/>
      <c r="P572" s="53"/>
    </row>
    <row r="573" spans="1:16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P573" s="53"/>
    </row>
    <row r="574" spans="1:16" s="64" customFormat="1">
      <c r="A574" s="53"/>
      <c r="B574" s="53"/>
      <c r="C574" s="79"/>
      <c r="D574" s="79"/>
      <c r="E574" s="79"/>
      <c r="F574" s="79"/>
      <c r="G574" s="79"/>
      <c r="P574" s="53"/>
    </row>
    <row r="575" spans="1:16" s="64" customFormat="1">
      <c r="A575" s="53"/>
      <c r="B575" s="53"/>
      <c r="C575" s="79"/>
      <c r="D575" s="79"/>
      <c r="E575" s="79"/>
      <c r="G575" s="540"/>
      <c r="P575" s="53"/>
    </row>
    <row r="576" spans="1:16" s="64" customFormat="1">
      <c r="E576" s="79"/>
    </row>
    <row r="577" spans="1:22" s="64" customFormat="1"/>
    <row r="578" spans="1:22" s="64" customFormat="1"/>
    <row r="579" spans="1:22" s="64" customFormat="1"/>
    <row r="580" spans="1:22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</row>
    <row r="581" spans="1:22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</row>
    <row r="582" spans="1:22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</row>
    <row r="583" spans="1:22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</row>
    <row r="584" spans="1:22">
      <c r="S584" s="64"/>
      <c r="T584" s="64"/>
      <c r="U584" s="64"/>
      <c r="V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H47:I47"/>
    <mergeCell ref="G43:G44"/>
  </mergeCells>
  <conditionalFormatting sqref="A80">
    <cfRule type="expression" dxfId="13" priority="4">
      <formula>$D$8="yes"</formula>
    </cfRule>
  </conditionalFormatting>
  <conditionalFormatting sqref="A80:B80">
    <cfRule type="expression" dxfId="12" priority="5">
      <formula>$D$6="yes"</formula>
    </cfRule>
  </conditionalFormatting>
  <conditionalFormatting sqref="D7">
    <cfRule type="cellIs" dxfId="11" priority="10" operator="equal">
      <formula>"Yes"</formula>
    </cfRule>
  </conditionalFormatting>
  <conditionalFormatting sqref="D8">
    <cfRule type="containsText" dxfId="10" priority="23" operator="containsText" text="Yes">
      <formula>NOT(ISERROR(SEARCH("Yes",D8)))</formula>
    </cfRule>
  </conditionalFormatting>
  <conditionalFormatting sqref="E43">
    <cfRule type="cellIs" dxfId="9" priority="9" stopIfTrue="1" operator="equal">
      <formula>"PW"</formula>
    </cfRule>
  </conditionalFormatting>
  <conditionalFormatting sqref="E80">
    <cfRule type="expression" dxfId="8" priority="6">
      <formula>$D$6="yes"</formula>
    </cfRule>
  </conditionalFormatting>
  <conditionalFormatting sqref="F43">
    <cfRule type="containsText" dxfId="7" priority="15" operator="containsText" text="10 hour days">
      <formula>NOT(ISERROR(SEARCH("10 hour days",F43)))</formula>
    </cfRule>
    <cfRule type="containsText" dxfId="6" priority="16" operator="containsText" text="8 hour days">
      <formula>NOT(ISERROR(SEARCH("8 hour days",F43)))</formula>
    </cfRule>
    <cfRule type="containsText" dxfId="5" priority="17" operator="containsText" text="10 hour days">
      <formula>NOT(ISERROR(SEARCH("10 hour days",F43)))</formula>
    </cfRule>
    <cfRule type="containsText" dxfId="4" priority="18" operator="containsText" text="8 hour days">
      <formula>NOT(ISERROR(SEARCH("8 hour days",F43)))</formula>
    </cfRule>
  </conditionalFormatting>
  <conditionalFormatting sqref="G88">
    <cfRule type="containsText" dxfId="3" priority="1" operator="containsText" text="owner">
      <formula>NOT(ISERROR(SEARCH("owner",G88)))</formula>
    </cfRule>
  </conditionalFormatting>
  <conditionalFormatting sqref="H74">
    <cfRule type="cellIs" dxfId="2" priority="2" operator="lessThan">
      <formula>0</formula>
    </cfRule>
    <cfRule type="cellIs" dxfId="1" priority="3" operator="greaterThanOrEqual">
      <formula>0</formula>
    </cfRule>
  </conditionalFormatting>
  <conditionalFormatting sqref="H39:I39">
    <cfRule type="cellIs" dxfId="0" priority="21" operator="notEqual">
      <formula>FALSE</formula>
    </cfRule>
  </conditionalFormatting>
  <dataValidations disablePrompts="1" count="3">
    <dataValidation type="list" allowBlank="1" showInputMessage="1" showErrorMessage="1" sqref="A36" xr:uid="{7C02AC7F-55A5-3F40-8B4D-7042E0DFD19B}">
      <formula1>$N$36:$N$44</formula1>
    </dataValidation>
    <dataValidation type="list" allowBlank="1" showInputMessage="1" showErrorMessage="1" sqref="G11 I11 K11:L11" xr:uid="{A47494CF-6878-3547-99D7-E01E43AFD6E3}">
      <formula1>$O$52:$O$54</formula1>
    </dataValidation>
    <dataValidation type="list" allowBlank="1" showInputMessage="1" showErrorMessage="1" sqref="G10 K10:L10 I10" xr:uid="{A8229D5A-6A1A-7441-9319-00288DA5A293}">
      <formula1>$V$51:$V$62</formula1>
    </dataValidation>
  </dataValidations>
  <hyperlinks>
    <hyperlink ref="A80" r:id="rId1" xr:uid="{47AC99AD-B3D6-C04E-B8A6-B73CF5CA2011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6CDDCAFF-A381-204A-8C1D-BEF18013482C}">
          <x14:formula1>
            <xm:f>validation!$N$3:$N$4</xm:f>
          </x14:formula1>
          <xm:sqref>B13:B15 B7:B8 B5 D7:D8</xm:sqref>
        </x14:dataValidation>
        <x14:dataValidation type="list" allowBlank="1" showInputMessage="1" showErrorMessage="1" xr:uid="{4224F5C3-F91D-294E-99D7-949D567ABBD2}">
          <x14:formula1>
            <xm:f>validation!$N$7:$N$8</xm:f>
          </x14:formula1>
          <xm:sqref>F43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60"/>
  <sheetViews>
    <sheetView workbookViewId="0">
      <selection activeCell="M19" sqref="M19"/>
    </sheetView>
  </sheetViews>
  <sheetFormatPr defaultColWidth="11.19921875" defaultRowHeight="15.6"/>
  <cols>
    <col min="1" max="1" width="3.296875" customWidth="1"/>
    <col min="2" max="2" width="30" bestFit="1" customWidth="1"/>
    <col min="16" max="16" width="11.296875" customWidth="1"/>
  </cols>
  <sheetData>
    <row r="1" spans="1:22">
      <c r="A1" s="543"/>
    </row>
    <row r="2" spans="1:22">
      <c r="B2" t="s">
        <v>167</v>
      </c>
      <c r="C2" s="214" t="s">
        <v>200</v>
      </c>
      <c r="D2" s="199"/>
      <c r="G2" t="s">
        <v>83</v>
      </c>
      <c r="K2" s="24" t="s">
        <v>89</v>
      </c>
      <c r="N2" t="s">
        <v>77</v>
      </c>
      <c r="Q2" s="24" t="s">
        <v>116</v>
      </c>
    </row>
    <row r="3" spans="1:22">
      <c r="B3" s="24" t="s">
        <v>84</v>
      </c>
      <c r="C3" s="24">
        <v>2018</v>
      </c>
      <c r="D3" s="24">
        <v>2017</v>
      </c>
      <c r="E3" s="24"/>
      <c r="G3" s="24"/>
      <c r="K3" t="s">
        <v>88</v>
      </c>
      <c r="N3" t="s">
        <v>78</v>
      </c>
      <c r="Q3" s="382" t="s">
        <v>22</v>
      </c>
      <c r="R3" s="1"/>
      <c r="S3" s="1"/>
      <c r="T3" s="382" t="s">
        <v>39</v>
      </c>
      <c r="U3" s="1"/>
      <c r="V3" s="1"/>
    </row>
    <row r="4" spans="1:22">
      <c r="B4" t="s">
        <v>190</v>
      </c>
      <c r="C4" s="213" t="s">
        <v>160</v>
      </c>
      <c r="K4" t="s">
        <v>90</v>
      </c>
      <c r="N4" t="s">
        <v>71</v>
      </c>
      <c r="Q4" s="23">
        <v>1000</v>
      </c>
      <c r="R4" s="383">
        <f>'Stnd Alts'!M2</f>
        <v>1.5169999999999999</v>
      </c>
      <c r="S4" s="1"/>
      <c r="T4" s="23">
        <v>1000</v>
      </c>
      <c r="U4" s="383">
        <f>'Stnd Alts'!M51</f>
        <v>1.6160000000000001</v>
      </c>
      <c r="V4" s="1"/>
    </row>
    <row r="5" spans="1:22">
      <c r="B5" t="s">
        <v>191</v>
      </c>
      <c r="C5" s="213" t="s">
        <v>161</v>
      </c>
      <c r="Q5">
        <v>1250</v>
      </c>
      <c r="R5" s="384">
        <f>((R4-R6)/2)+R6</f>
        <v>1.4691624999999999</v>
      </c>
      <c r="T5">
        <v>1250</v>
      </c>
      <c r="U5" s="384">
        <f>((U4-U6)/2)+U6</f>
        <v>1.564425</v>
      </c>
    </row>
    <row r="6" spans="1:22">
      <c r="B6" t="s">
        <v>192</v>
      </c>
      <c r="C6" s="213" t="s">
        <v>162</v>
      </c>
      <c r="G6" s="132" t="s">
        <v>155</v>
      </c>
      <c r="H6" s="133" t="s">
        <v>156</v>
      </c>
      <c r="I6" s="133" t="s">
        <v>102</v>
      </c>
      <c r="J6" s="133" t="s">
        <v>41</v>
      </c>
      <c r="K6" s="134" t="s">
        <v>157</v>
      </c>
      <c r="L6" s="133" t="s">
        <v>158</v>
      </c>
      <c r="N6" s="23" t="s">
        <v>584</v>
      </c>
      <c r="Q6">
        <v>1500</v>
      </c>
      <c r="R6" s="385">
        <f>((R4-R8)/2)+R8</f>
        <v>1.4213249999999999</v>
      </c>
      <c r="T6">
        <v>1500</v>
      </c>
      <c r="U6" s="385">
        <f>((U4-U8)/2)+U8</f>
        <v>1.51285</v>
      </c>
    </row>
    <row r="7" spans="1:22">
      <c r="B7" t="s">
        <v>193</v>
      </c>
      <c r="C7" s="213" t="s">
        <v>165</v>
      </c>
      <c r="G7" t="s">
        <v>104</v>
      </c>
      <c r="H7" t="s">
        <v>100</v>
      </c>
      <c r="I7" t="s">
        <v>95</v>
      </c>
      <c r="J7" t="s">
        <v>107</v>
      </c>
      <c r="K7" t="s">
        <v>109</v>
      </c>
      <c r="L7" t="s">
        <v>111</v>
      </c>
      <c r="N7" t="s">
        <v>429</v>
      </c>
      <c r="Q7">
        <v>1750</v>
      </c>
      <c r="R7" s="384">
        <f>((R6-R8)/2)+R8</f>
        <v>1.3734875</v>
      </c>
      <c r="T7">
        <v>1750</v>
      </c>
      <c r="U7" s="384">
        <f>((U6-U8)/2)+U8</f>
        <v>1.4612750000000001</v>
      </c>
    </row>
    <row r="8" spans="1:22">
      <c r="B8" t="s">
        <v>194</v>
      </c>
      <c r="C8" s="213" t="s">
        <v>161</v>
      </c>
      <c r="G8" t="s">
        <v>94</v>
      </c>
      <c r="H8" t="s">
        <v>98</v>
      </c>
      <c r="I8" t="s">
        <v>96</v>
      </c>
      <c r="J8" t="s">
        <v>108</v>
      </c>
      <c r="K8" t="s">
        <v>110</v>
      </c>
      <c r="L8" t="s">
        <v>112</v>
      </c>
      <c r="N8" t="s">
        <v>580</v>
      </c>
      <c r="Q8" s="24">
        <v>2000</v>
      </c>
      <c r="R8" s="385">
        <f>((R4-R12)/2)+R12</f>
        <v>1.32565</v>
      </c>
      <c r="S8" s="51">
        <f>MEDIAN(Q4:Q12)</f>
        <v>2000</v>
      </c>
      <c r="T8" s="24">
        <v>2000</v>
      </c>
      <c r="U8" s="385">
        <f>((U4-U12)/2)+U12</f>
        <v>1.4097</v>
      </c>
      <c r="V8" s="51">
        <f>MEDIAN(T4:T12)</f>
        <v>2000</v>
      </c>
    </row>
    <row r="9" spans="1:22">
      <c r="B9" t="s">
        <v>195</v>
      </c>
      <c r="C9" s="213" t="s">
        <v>162</v>
      </c>
      <c r="F9" s="1"/>
      <c r="G9" t="s">
        <v>105</v>
      </c>
      <c r="I9" t="s">
        <v>97</v>
      </c>
      <c r="Q9" s="1">
        <v>2250</v>
      </c>
      <c r="R9" s="384">
        <f>((R8-R10)/2)+R10</f>
        <v>1.2778125</v>
      </c>
      <c r="T9" s="1">
        <v>2250</v>
      </c>
      <c r="U9" s="384">
        <f>((U8-U10)/2)+U10</f>
        <v>1.358125</v>
      </c>
    </row>
    <row r="10" spans="1:22">
      <c r="B10" t="s">
        <v>92</v>
      </c>
      <c r="C10" s="213" t="s">
        <v>165</v>
      </c>
      <c r="Q10">
        <v>2500</v>
      </c>
      <c r="R10" s="385">
        <f>((R8-R12)/2)+R12</f>
        <v>1.229975</v>
      </c>
      <c r="T10">
        <v>2500</v>
      </c>
      <c r="U10" s="385">
        <f>((U8-U12)/2)+U12</f>
        <v>1.3065500000000001</v>
      </c>
    </row>
    <row r="11" spans="1:22">
      <c r="B11" t="s">
        <v>196</v>
      </c>
      <c r="C11" s="213" t="s">
        <v>163</v>
      </c>
      <c r="O11" s="433" t="s">
        <v>411</v>
      </c>
      <c r="P11" s="391"/>
      <c r="Q11">
        <v>2750</v>
      </c>
      <c r="R11" s="384">
        <f>((R10-R12)/2)+R12</f>
        <v>1.1821375000000001</v>
      </c>
      <c r="T11">
        <v>2750</v>
      </c>
      <c r="U11" s="384">
        <f>((U10-U12)/2)+U12</f>
        <v>1.254975</v>
      </c>
    </row>
    <row r="12" spans="1:22">
      <c r="B12" t="s">
        <v>197</v>
      </c>
      <c r="C12" t="s">
        <v>164</v>
      </c>
      <c r="Q12" s="24">
        <v>3000</v>
      </c>
      <c r="R12" s="385">
        <f>((R4-R20)/2)+R20</f>
        <v>1.1343000000000001</v>
      </c>
      <c r="S12" s="51">
        <f>MEDIAN(Q4:Q20)</f>
        <v>3000</v>
      </c>
      <c r="T12" s="24">
        <v>3000</v>
      </c>
      <c r="U12" s="385">
        <f>((U4-U20)/2)+U20</f>
        <v>1.2034</v>
      </c>
      <c r="V12" s="51">
        <f>MEDIAN(T4:T20)</f>
        <v>3000</v>
      </c>
    </row>
    <row r="13" spans="1:22">
      <c r="B13" t="s">
        <v>172</v>
      </c>
      <c r="C13" t="s">
        <v>164</v>
      </c>
      <c r="F13" s="169"/>
      <c r="G13" s="170"/>
      <c r="H13" s="170"/>
      <c r="I13" s="170"/>
      <c r="J13" s="170"/>
      <c r="K13" s="171"/>
      <c r="Q13">
        <v>3250</v>
      </c>
      <c r="R13" s="384">
        <f>((R12-R14)/2)+R14</f>
        <v>1.0864625000000001</v>
      </c>
      <c r="T13">
        <v>3250</v>
      </c>
      <c r="U13" s="384">
        <f>((U12-U14)/2)+U14</f>
        <v>1.1518250000000001</v>
      </c>
    </row>
    <row r="14" spans="1:22">
      <c r="B14" t="s">
        <v>171</v>
      </c>
      <c r="C14" t="s">
        <v>164</v>
      </c>
      <c r="F14" s="172" t="s">
        <v>142</v>
      </c>
      <c r="K14" s="173"/>
      <c r="Q14" s="1">
        <v>3500</v>
      </c>
      <c r="R14" s="385">
        <f>((R12-R16)/2)+R16</f>
        <v>1.0386250000000001</v>
      </c>
      <c r="T14" s="1">
        <v>3500</v>
      </c>
      <c r="U14" s="385">
        <f>((U12-U16)/2)+U16</f>
        <v>1.10025</v>
      </c>
    </row>
    <row r="15" spans="1:22">
      <c r="B15" t="s">
        <v>166</v>
      </c>
      <c r="F15" s="174" t="s">
        <v>136</v>
      </c>
      <c r="G15" s="175"/>
      <c r="K15" s="173"/>
      <c r="Q15">
        <v>3750</v>
      </c>
      <c r="R15" s="384">
        <f>((R14-R16)/2)+R16</f>
        <v>0.99078750000000015</v>
      </c>
      <c r="T15">
        <v>3750</v>
      </c>
      <c r="U15" s="384">
        <f>((U14-U16)/2)+U16</f>
        <v>1.048675</v>
      </c>
    </row>
    <row r="16" spans="1:22">
      <c r="B16" s="51" t="s">
        <v>115</v>
      </c>
      <c r="F16" s="176"/>
      <c r="G16" s="175"/>
      <c r="K16" s="173"/>
      <c r="Q16" s="24">
        <v>4000</v>
      </c>
      <c r="R16" s="385">
        <f>((R12-R20)/2)+R20</f>
        <v>0.94295000000000007</v>
      </c>
      <c r="S16" s="51">
        <f>MEDIAN(Q12:Q20)</f>
        <v>4000</v>
      </c>
      <c r="T16" s="24">
        <v>4000</v>
      </c>
      <c r="U16" s="385">
        <f>((U12-U20)/2)+U20</f>
        <v>0.99709999999999999</v>
      </c>
      <c r="V16" s="51">
        <f>MEDIAN(T12:T20)</f>
        <v>4000</v>
      </c>
    </row>
    <row r="17" spans="2:22">
      <c r="B17" t="s">
        <v>168</v>
      </c>
      <c r="F17" s="172" t="s">
        <v>137</v>
      </c>
      <c r="G17" s="175">
        <v>1.4E-2</v>
      </c>
      <c r="K17" s="173"/>
      <c r="Q17">
        <v>4250</v>
      </c>
      <c r="R17" s="384">
        <f>((R16-R18)/2)+R18</f>
        <v>0.89511249999999998</v>
      </c>
      <c r="T17">
        <v>4250</v>
      </c>
      <c r="U17" s="384">
        <f>((U16-U18)/2)+U18</f>
        <v>0.94552499999999995</v>
      </c>
    </row>
    <row r="18" spans="2:22">
      <c r="B18" t="s">
        <v>169</v>
      </c>
      <c r="F18" s="172" t="s">
        <v>74</v>
      </c>
      <c r="G18" s="175">
        <v>0.01</v>
      </c>
      <c r="H18" t="s">
        <v>143</v>
      </c>
      <c r="K18" s="173"/>
      <c r="Q18">
        <v>4500</v>
      </c>
      <c r="R18" s="385">
        <f>((R16-R20)/2)+R20</f>
        <v>0.847275</v>
      </c>
      <c r="T18">
        <v>4500</v>
      </c>
      <c r="U18" s="385">
        <f>((U16-U20)/2)+U20</f>
        <v>0.89395000000000002</v>
      </c>
    </row>
    <row r="19" spans="2:22">
      <c r="B19" t="s">
        <v>170</v>
      </c>
      <c r="F19" s="172" t="s">
        <v>138</v>
      </c>
      <c r="G19" s="175">
        <v>0.01</v>
      </c>
      <c r="K19" s="173"/>
      <c r="Q19" s="1">
        <v>4750</v>
      </c>
      <c r="R19" s="384">
        <f>((R18-R20)/2)+R20</f>
        <v>0.79943750000000002</v>
      </c>
      <c r="T19" s="1">
        <v>4750</v>
      </c>
      <c r="U19" s="384">
        <f>((U18-U20)/2)+U20</f>
        <v>0.84237499999999998</v>
      </c>
    </row>
    <row r="20" spans="2:22">
      <c r="B20" t="s">
        <v>197</v>
      </c>
      <c r="C20" t="s">
        <v>164</v>
      </c>
      <c r="F20" s="172" t="s">
        <v>139</v>
      </c>
      <c r="G20" s="175">
        <v>1.0999999999999999E-2</v>
      </c>
      <c r="K20" s="173"/>
      <c r="Q20" s="24">
        <v>5000</v>
      </c>
      <c r="R20" s="385">
        <f>'Stnd Alts'!F2</f>
        <v>0.75160000000000005</v>
      </c>
      <c r="T20" s="24">
        <v>5000</v>
      </c>
      <c r="U20" s="385">
        <f>'Stnd Alts'!F51</f>
        <v>0.79079999999999995</v>
      </c>
    </row>
    <row r="21" spans="2:22">
      <c r="B21" t="s">
        <v>172</v>
      </c>
      <c r="C21" t="s">
        <v>164</v>
      </c>
      <c r="F21" s="172" t="s">
        <v>134</v>
      </c>
      <c r="G21" s="175">
        <v>0.01</v>
      </c>
      <c r="K21" s="173"/>
    </row>
    <row r="22" spans="2:22">
      <c r="B22" t="s">
        <v>171</v>
      </c>
      <c r="C22" t="s">
        <v>164</v>
      </c>
      <c r="F22" s="172" t="s">
        <v>140</v>
      </c>
      <c r="G22" s="177">
        <v>0.01</v>
      </c>
      <c r="K22" s="173"/>
      <c r="Q22" s="24" t="s">
        <v>410</v>
      </c>
      <c r="T22" s="24" t="s">
        <v>410</v>
      </c>
    </row>
    <row r="23" spans="2:22">
      <c r="F23" s="172" t="s">
        <v>141</v>
      </c>
      <c r="G23" s="168">
        <v>5.0000000000000001E-3</v>
      </c>
      <c r="K23" s="173"/>
      <c r="Q23" s="382" t="s">
        <v>120</v>
      </c>
      <c r="R23" s="1"/>
      <c r="S23" s="1"/>
      <c r="T23" s="382" t="s">
        <v>121</v>
      </c>
      <c r="U23" s="1"/>
      <c r="V23" s="1"/>
    </row>
    <row r="24" spans="2:22">
      <c r="F24" s="178" t="s">
        <v>2</v>
      </c>
      <c r="G24" s="179">
        <f>SUM(G17:G23)</f>
        <v>7.0000000000000007E-2</v>
      </c>
      <c r="H24" s="180"/>
      <c r="I24" s="180"/>
      <c r="J24" s="180"/>
      <c r="K24" s="181"/>
      <c r="Q24" s="23">
        <v>100</v>
      </c>
      <c r="R24" s="383">
        <f>'Stnd Alts'!M345</f>
        <v>6.18</v>
      </c>
      <c r="S24" s="1"/>
      <c r="T24" s="23">
        <v>100</v>
      </c>
      <c r="U24" s="383">
        <f>'Stnd Alts'!M394</f>
        <v>7.44</v>
      </c>
      <c r="V24" s="1"/>
    </row>
    <row r="25" spans="2:22">
      <c r="Q25">
        <v>125</v>
      </c>
      <c r="R25" s="384">
        <f>((R24-R26)/2)+R26</f>
        <v>6.1186249999999998</v>
      </c>
      <c r="T25">
        <v>125</v>
      </c>
      <c r="U25" s="384">
        <f>((U24-U26)/2)+U26</f>
        <v>7.3723749999999999</v>
      </c>
    </row>
    <row r="26" spans="2:22">
      <c r="B26" s="214" t="s">
        <v>198</v>
      </c>
      <c r="Q26">
        <v>150</v>
      </c>
      <c r="R26" s="385">
        <f>((R24-R28)/2)+R28</f>
        <v>6.0572499999999998</v>
      </c>
      <c r="T26">
        <v>150</v>
      </c>
      <c r="U26" s="385">
        <f>((U24-U28)/2)+U28</f>
        <v>7.3047500000000003</v>
      </c>
    </row>
    <row r="27" spans="2:22">
      <c r="B27" s="214" t="s">
        <v>199</v>
      </c>
      <c r="J27">
        <v>2400000</v>
      </c>
      <c r="Q27">
        <v>175</v>
      </c>
      <c r="R27" s="384">
        <f>((R26-R28)/2)+R28</f>
        <v>5.9958749999999998</v>
      </c>
      <c r="T27">
        <v>175</v>
      </c>
      <c r="U27" s="384">
        <f>((U26-U28)/2)+U28</f>
        <v>7.2371250000000007</v>
      </c>
    </row>
    <row r="28" spans="2:22">
      <c r="Q28" s="24">
        <v>200</v>
      </c>
      <c r="R28" s="385">
        <f>((R24-R32)/2)+R32</f>
        <v>5.9344999999999999</v>
      </c>
      <c r="S28" s="51">
        <f>MEDIAN(Q24:Q32)</f>
        <v>200</v>
      </c>
      <c r="T28" s="24">
        <v>200</v>
      </c>
      <c r="U28" s="385">
        <f>((U24-U32)/2)+U32</f>
        <v>7.1695000000000002</v>
      </c>
      <c r="V28" s="51">
        <f>MEDIAN(T24:T32)</f>
        <v>200</v>
      </c>
    </row>
    <row r="29" spans="2:22">
      <c r="C29" s="439" t="s">
        <v>423</v>
      </c>
      <c r="D29" s="392"/>
      <c r="E29" s="392"/>
      <c r="F29" s="392"/>
      <c r="G29" s="392"/>
      <c r="Q29" s="1">
        <v>225</v>
      </c>
      <c r="R29" s="384">
        <f>((R28-R30)/2)+R30</f>
        <v>5.8731249999999999</v>
      </c>
      <c r="T29" s="1">
        <v>225</v>
      </c>
      <c r="U29" s="384">
        <f>((U28-U30)/2)+U30</f>
        <v>7.1018749999999997</v>
      </c>
    </row>
    <row r="30" spans="2:22">
      <c r="C30" s="1924" t="s">
        <v>413</v>
      </c>
      <c r="D30" s="1925"/>
      <c r="E30" s="1926"/>
      <c r="G30" s="1924" t="s">
        <v>414</v>
      </c>
      <c r="H30" s="1925"/>
      <c r="I30" s="1926"/>
      <c r="K30" s="1924" t="s">
        <v>415</v>
      </c>
      <c r="L30" s="1925"/>
      <c r="M30" s="1926"/>
      <c r="Q30">
        <v>250</v>
      </c>
      <c r="R30" s="385">
        <f>((R28-R32)/2)+R32</f>
        <v>5.81175</v>
      </c>
      <c r="T30">
        <v>250</v>
      </c>
      <c r="U30" s="385">
        <f>((U28-U32)/2)+U32</f>
        <v>7.0342500000000001</v>
      </c>
    </row>
    <row r="31" spans="2:22" ht="46.8">
      <c r="C31" s="163" t="s">
        <v>27</v>
      </c>
      <c r="D31" s="163" t="s">
        <v>416</v>
      </c>
      <c r="E31" s="435" t="s">
        <v>417</v>
      </c>
      <c r="G31" s="163" t="s">
        <v>27</v>
      </c>
      <c r="H31" s="163" t="s">
        <v>416</v>
      </c>
      <c r="I31" s="435" t="s">
        <v>417</v>
      </c>
      <c r="K31" s="163" t="s">
        <v>27</v>
      </c>
      <c r="L31" s="163" t="s">
        <v>416</v>
      </c>
      <c r="M31" s="435" t="s">
        <v>417</v>
      </c>
      <c r="O31" s="433" t="s">
        <v>411</v>
      </c>
      <c r="P31" s="391"/>
      <c r="Q31">
        <v>275</v>
      </c>
      <c r="R31" s="384">
        <f>((R30-R32)/2)+R32</f>
        <v>5.750375</v>
      </c>
      <c r="T31">
        <v>275</v>
      </c>
      <c r="U31" s="384">
        <f>((U30-U32)/2)+U32</f>
        <v>6.9666250000000005</v>
      </c>
    </row>
    <row r="32" spans="2:22">
      <c r="C32" s="163" t="s">
        <v>418</v>
      </c>
      <c r="D32" s="436">
        <v>0.8</v>
      </c>
      <c r="E32" s="436">
        <v>0.6</v>
      </c>
      <c r="G32" s="163" t="s">
        <v>418</v>
      </c>
      <c r="H32" s="436">
        <v>1.1499999999999999</v>
      </c>
      <c r="I32" s="436">
        <v>0.85</v>
      </c>
      <c r="K32" s="163" t="s">
        <v>418</v>
      </c>
      <c r="L32" s="436">
        <v>2</v>
      </c>
      <c r="M32" s="436">
        <v>1.5</v>
      </c>
      <c r="Q32" s="24">
        <v>300</v>
      </c>
      <c r="R32" s="385">
        <f>((R24-R40)/2)+R40</f>
        <v>5.6890000000000001</v>
      </c>
      <c r="S32" s="51">
        <f>MEDIAN(Q24:Q40)</f>
        <v>300</v>
      </c>
      <c r="T32" s="24">
        <v>300</v>
      </c>
      <c r="U32" s="385">
        <f>((U24-U40)/2)+U40</f>
        <v>6.899</v>
      </c>
      <c r="V32" s="51">
        <f>MEDIAN(T24:T40)</f>
        <v>300</v>
      </c>
    </row>
    <row r="33" spans="3:22">
      <c r="C33" s="163" t="s">
        <v>419</v>
      </c>
      <c r="D33" s="436">
        <v>0.25</v>
      </c>
      <c r="E33" s="436">
        <v>0.2</v>
      </c>
      <c r="G33" s="163" t="s">
        <v>419</v>
      </c>
      <c r="H33" s="436">
        <v>0.5</v>
      </c>
      <c r="I33" s="436">
        <v>0.4</v>
      </c>
      <c r="K33" s="163" t="s">
        <v>419</v>
      </c>
      <c r="L33" s="436">
        <v>0.9</v>
      </c>
      <c r="M33" s="436">
        <v>0.65</v>
      </c>
      <c r="Q33">
        <v>325</v>
      </c>
      <c r="R33" s="384">
        <f>((R32-R34)/2)+R34</f>
        <v>5.6276250000000001</v>
      </c>
      <c r="T33">
        <v>325</v>
      </c>
      <c r="U33" s="384">
        <f>((U32-U34)/2)+U34</f>
        <v>6.8313749999999995</v>
      </c>
    </row>
    <row r="34" spans="3:22">
      <c r="C34" s="163" t="s">
        <v>420</v>
      </c>
      <c r="D34" s="436">
        <v>0.25</v>
      </c>
      <c r="E34" s="436">
        <v>0.2</v>
      </c>
      <c r="G34" s="163" t="s">
        <v>420</v>
      </c>
      <c r="H34" s="436">
        <v>0.45</v>
      </c>
      <c r="I34" s="437">
        <v>0.45</v>
      </c>
      <c r="K34" s="163" t="s">
        <v>420</v>
      </c>
      <c r="L34" s="436">
        <v>0.75</v>
      </c>
      <c r="M34" s="437">
        <v>0.75</v>
      </c>
      <c r="Q34" s="1">
        <v>350</v>
      </c>
      <c r="R34" s="385">
        <f>((R32-R36)/2)+R36</f>
        <v>5.5662500000000001</v>
      </c>
      <c r="T34" s="1">
        <v>350</v>
      </c>
      <c r="U34" s="385">
        <f>((U32-U36)/2)+U36</f>
        <v>6.7637499999999999</v>
      </c>
    </row>
    <row r="35" spans="3:22">
      <c r="Q35">
        <v>375</v>
      </c>
      <c r="R35" s="384">
        <f>((R34-R36)/2)+R36</f>
        <v>5.5048750000000002</v>
      </c>
      <c r="T35">
        <v>375</v>
      </c>
      <c r="U35" s="384">
        <f>((U34-U36)/2)+U36</f>
        <v>6.6961250000000003</v>
      </c>
    </row>
    <row r="36" spans="3:22">
      <c r="Q36" s="24">
        <v>400</v>
      </c>
      <c r="R36" s="385">
        <f>((R32-R40)/2)+R40</f>
        <v>5.4435000000000002</v>
      </c>
      <c r="S36" s="51">
        <f>MEDIAN(Q32:Q40)</f>
        <v>400</v>
      </c>
      <c r="T36" s="24">
        <v>400</v>
      </c>
      <c r="U36" s="385">
        <f>((U32-U40)/2)+U40</f>
        <v>6.6284999999999998</v>
      </c>
      <c r="V36" s="51">
        <f>MEDIAN(T32:T40)</f>
        <v>400</v>
      </c>
    </row>
    <row r="37" spans="3:22">
      <c r="Q37">
        <v>425</v>
      </c>
      <c r="R37" s="384">
        <f>((R36-R38)/2)+R38</f>
        <v>5.3821250000000003</v>
      </c>
      <c r="T37">
        <v>425</v>
      </c>
      <c r="U37" s="384">
        <f>((U36-U38)/2)+U38</f>
        <v>6.5608749999999993</v>
      </c>
    </row>
    <row r="38" spans="3:22">
      <c r="Q38">
        <v>450</v>
      </c>
      <c r="R38" s="385">
        <f>((R36-R40)/2)+R40</f>
        <v>5.3207500000000003</v>
      </c>
      <c r="T38">
        <v>450</v>
      </c>
      <c r="U38" s="385">
        <f>((U36-U40)/2)+U40</f>
        <v>6.4932499999999997</v>
      </c>
    </row>
    <row r="39" spans="3:22">
      <c r="Q39" s="1">
        <v>475</v>
      </c>
      <c r="R39" s="384">
        <f>((R38-R40)/2)+R40</f>
        <v>5.2593750000000004</v>
      </c>
      <c r="T39" s="1">
        <v>475</v>
      </c>
      <c r="U39" s="384">
        <f>((U38-U40)/2)+U40</f>
        <v>6.4256250000000001</v>
      </c>
    </row>
    <row r="40" spans="3:22">
      <c r="Q40" s="24">
        <v>500</v>
      </c>
      <c r="R40" s="385">
        <f>'Stnd Alts'!F345</f>
        <v>5.1980000000000004</v>
      </c>
      <c r="T40" s="24">
        <v>500</v>
      </c>
      <c r="U40" s="385">
        <f>'Stnd Alts'!F394</f>
        <v>6.3579999999999997</v>
      </c>
    </row>
    <row r="43" spans="3:22">
      <c r="Q43" s="382" t="s">
        <v>122</v>
      </c>
      <c r="R43" s="1"/>
      <c r="S43" s="1"/>
      <c r="T43" s="382" t="s">
        <v>123</v>
      </c>
      <c r="U43" s="1"/>
      <c r="V43" s="1"/>
    </row>
    <row r="44" spans="3:22">
      <c r="Q44" s="23">
        <v>100</v>
      </c>
      <c r="R44" s="383">
        <f>'Stnd Alts'!M443</f>
        <v>17.71</v>
      </c>
      <c r="S44" s="1"/>
      <c r="T44" s="23">
        <v>100</v>
      </c>
      <c r="U44" s="383">
        <f>'Stnd Alts'!M492</f>
        <v>18.48</v>
      </c>
      <c r="V44" s="1"/>
    </row>
    <row r="45" spans="3:22">
      <c r="Q45">
        <v>125</v>
      </c>
      <c r="R45" s="384">
        <f>((R44-R46)/2)+R46</f>
        <v>17.173750000000002</v>
      </c>
      <c r="T45">
        <v>125</v>
      </c>
      <c r="U45" s="384">
        <f>((U44-U46)/2)+U46</f>
        <v>17.963374999999999</v>
      </c>
    </row>
    <row r="46" spans="3:22">
      <c r="Q46">
        <v>150</v>
      </c>
      <c r="R46" s="385">
        <f>((R44-R48)/2)+R48</f>
        <v>16.637500000000003</v>
      </c>
      <c r="T46">
        <v>150</v>
      </c>
      <c r="U46" s="385">
        <f>((U44-U48)/2)+U48</f>
        <v>17.446750000000002</v>
      </c>
    </row>
    <row r="47" spans="3:22">
      <c r="Q47">
        <v>175</v>
      </c>
      <c r="R47" s="384">
        <f>((R46-R48)/2)+R48</f>
        <v>16.10125</v>
      </c>
      <c r="T47">
        <v>175</v>
      </c>
      <c r="U47" s="384">
        <f>((U46-U48)/2)+U48</f>
        <v>16.930125</v>
      </c>
    </row>
    <row r="48" spans="3:22">
      <c r="Q48" s="24">
        <v>200</v>
      </c>
      <c r="R48" s="385">
        <f>((R44-R52)/2)+R52</f>
        <v>15.565000000000001</v>
      </c>
      <c r="S48" s="51">
        <f>MEDIAN(Q44:Q52)</f>
        <v>200</v>
      </c>
      <c r="T48" s="24">
        <v>200</v>
      </c>
      <c r="U48" s="385">
        <f>((U44-U52)/2)+U52</f>
        <v>16.413499999999999</v>
      </c>
      <c r="V48" s="51">
        <f>MEDIAN(T44:T52)</f>
        <v>200</v>
      </c>
    </row>
    <row r="49" spans="15:22">
      <c r="Q49" s="1">
        <v>225</v>
      </c>
      <c r="R49" s="384">
        <f>((R48-R50)/2)+R50</f>
        <v>15.028750000000002</v>
      </c>
      <c r="T49" s="1">
        <v>225</v>
      </c>
      <c r="U49" s="384">
        <f>((U48-U50)/2)+U50</f>
        <v>15.896875</v>
      </c>
    </row>
    <row r="50" spans="15:22">
      <c r="Q50">
        <v>250</v>
      </c>
      <c r="R50" s="385">
        <f>((R48-R52)/2)+R52</f>
        <v>14.492500000000001</v>
      </c>
      <c r="T50">
        <v>250</v>
      </c>
      <c r="U50" s="385">
        <f>((U48-U52)/2)+U52</f>
        <v>15.38025</v>
      </c>
    </row>
    <row r="51" spans="15:22">
      <c r="O51" s="433" t="s">
        <v>411</v>
      </c>
      <c r="P51" s="391"/>
      <c r="Q51">
        <v>275</v>
      </c>
      <c r="R51" s="384">
        <f>((R50-R52)/2)+R52</f>
        <v>13.956250000000001</v>
      </c>
      <c r="T51">
        <v>275</v>
      </c>
      <c r="U51" s="384">
        <f>((U50-U52)/2)+U52</f>
        <v>14.863625000000001</v>
      </c>
    </row>
    <row r="52" spans="15:22">
      <c r="Q52" s="24">
        <v>300</v>
      </c>
      <c r="R52" s="385">
        <f>((R44-R60)/2)+R60</f>
        <v>13.420000000000002</v>
      </c>
      <c r="S52" s="51">
        <f>MEDIAN(Q44:Q60)</f>
        <v>300</v>
      </c>
      <c r="T52" s="24">
        <v>300</v>
      </c>
      <c r="U52" s="385">
        <f>((U44-U60)/2)+U60</f>
        <v>14.347000000000001</v>
      </c>
      <c r="V52" s="51">
        <f>MEDIAN(T44:T60)</f>
        <v>300</v>
      </c>
    </row>
    <row r="53" spans="15:22">
      <c r="Q53">
        <v>325</v>
      </c>
      <c r="R53" s="384">
        <f>((R52-R54)/2)+R54</f>
        <v>12.883750000000003</v>
      </c>
      <c r="T53">
        <v>325</v>
      </c>
      <c r="U53" s="384">
        <f>((U52-U54)/2)+U54</f>
        <v>13.830375</v>
      </c>
    </row>
    <row r="54" spans="15:22">
      <c r="Q54" s="1">
        <v>350</v>
      </c>
      <c r="R54" s="385">
        <f>((R52-R56)/2)+R56</f>
        <v>12.347500000000002</v>
      </c>
      <c r="T54" s="1">
        <v>350</v>
      </c>
      <c r="U54" s="385">
        <f>((U52-U56)/2)+U56</f>
        <v>13.313750000000001</v>
      </c>
    </row>
    <row r="55" spans="15:22">
      <c r="Q55">
        <v>375</v>
      </c>
      <c r="R55" s="384">
        <f>((R54-R56)/2)+R56</f>
        <v>11.811250000000001</v>
      </c>
      <c r="T55">
        <v>375</v>
      </c>
      <c r="U55" s="384">
        <f>((U54-U56)/2)+U56</f>
        <v>12.797125000000001</v>
      </c>
    </row>
    <row r="56" spans="15:22">
      <c r="Q56" s="24">
        <v>400</v>
      </c>
      <c r="R56" s="385">
        <f>((R52-R60)/2)+R60</f>
        <v>11.275000000000002</v>
      </c>
      <c r="S56" s="51">
        <f>MEDIAN(Q52:Q60)</f>
        <v>400</v>
      </c>
      <c r="T56" s="24">
        <v>400</v>
      </c>
      <c r="U56" s="385">
        <f>((U52-U60)/2)+U60</f>
        <v>12.2805</v>
      </c>
      <c r="V56" s="51">
        <f>MEDIAN(T52:T60)</f>
        <v>400</v>
      </c>
    </row>
    <row r="57" spans="15:22">
      <c r="Q57">
        <v>425</v>
      </c>
      <c r="R57" s="384">
        <f>((R56-R58)/2)+R58</f>
        <v>10.738750000000001</v>
      </c>
      <c r="T57">
        <v>425</v>
      </c>
      <c r="U57" s="384">
        <f>((U56-U58)/2)+U58</f>
        <v>11.763875000000001</v>
      </c>
    </row>
    <row r="58" spans="15:22">
      <c r="Q58">
        <v>450</v>
      </c>
      <c r="R58" s="385">
        <f>((R56-R60)/2)+R60</f>
        <v>10.202500000000001</v>
      </c>
      <c r="T58">
        <v>450</v>
      </c>
      <c r="U58" s="385">
        <f>((U56-U60)/2)+U60</f>
        <v>11.247250000000001</v>
      </c>
    </row>
    <row r="59" spans="15:22">
      <c r="Q59" s="1">
        <v>475</v>
      </c>
      <c r="R59" s="384">
        <f>((R58-R60)/2)+R60</f>
        <v>9.6662500000000016</v>
      </c>
      <c r="T59" s="1">
        <v>475</v>
      </c>
      <c r="U59" s="384">
        <f>((U58-U60)/2)+U60</f>
        <v>10.730625</v>
      </c>
    </row>
    <row r="60" spans="15:22">
      <c r="Q60" s="24">
        <v>500</v>
      </c>
      <c r="R60" s="385">
        <f>'Stnd Alts'!F443</f>
        <v>9.1300000000000008</v>
      </c>
      <c r="T60" s="24">
        <v>500</v>
      </c>
      <c r="U60" s="385">
        <f>'Stnd Alts'!F492</f>
        <v>10.214</v>
      </c>
    </row>
  </sheetData>
  <sortState xmlns:xlrd2="http://schemas.microsoft.com/office/spreadsheetml/2017/richdata2" ref="B4:B11">
    <sortCondition ref="B4"/>
  </sortState>
  <mergeCells count="3">
    <mergeCell ref="C30:E30"/>
    <mergeCell ref="G30:I30"/>
    <mergeCell ref="K30:M30"/>
  </mergeCells>
  <dataValidations disablePrompts="1" count="1">
    <dataValidation type="list" allowBlank="1" showInputMessage="1" showErrorMessage="1" sqref="N3:N4" xr:uid="{00000000-0002-0000-0500-000000000000}">
      <formula1>$P$2:$P$3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8764B-D716-3F4C-8DC0-BC018932958B}">
  <dimension ref="B2:AI87"/>
  <sheetViews>
    <sheetView workbookViewId="0"/>
  </sheetViews>
  <sheetFormatPr defaultColWidth="11.19921875" defaultRowHeight="15.6"/>
  <cols>
    <col min="1" max="1" width="6.796875" customWidth="1"/>
    <col min="12" max="12" width="3.296875" style="1190" customWidth="1"/>
    <col min="13" max="13" width="6.796875" customWidth="1"/>
    <col min="24" max="24" width="3.296875" style="1190" customWidth="1"/>
    <col min="25" max="25" width="6.796875" customWidth="1"/>
  </cols>
  <sheetData>
    <row r="2" spans="2:35" ht="21">
      <c r="B2" s="1177">
        <f>SUM(B4,N4,Z4)</f>
        <v>0</v>
      </c>
      <c r="C2" s="1178" t="s">
        <v>6</v>
      </c>
      <c r="E2" s="1179" t="s">
        <v>822</v>
      </c>
      <c r="F2" s="458"/>
      <c r="I2" s="1180">
        <f>SUM(H4:J4)</f>
        <v>0</v>
      </c>
      <c r="U2" s="1180">
        <f>SUM(T4:V4)</f>
        <v>0</v>
      </c>
      <c r="AG2" s="1180">
        <f>SUM(AF4:AH4)</f>
        <v>0</v>
      </c>
    </row>
    <row r="3" spans="2:35">
      <c r="C3" s="43"/>
    </row>
    <row r="4" spans="2:35">
      <c r="B4" s="1181">
        <f>SUM(D4:F4)</f>
        <v>0</v>
      </c>
      <c r="C4" s="1182" t="s">
        <v>731</v>
      </c>
      <c r="D4" s="1183">
        <f>SUM(D6:D87)</f>
        <v>0</v>
      </c>
      <c r="E4" s="1183">
        <f>SUM(E6:E87)</f>
        <v>0</v>
      </c>
      <c r="F4" s="1183">
        <f>SUM(F6:F87)</f>
        <v>0</v>
      </c>
      <c r="H4" s="1180">
        <f>SUM(H6:H87)</f>
        <v>0</v>
      </c>
      <c r="I4" s="1180">
        <f>SUM(I6:I87)</f>
        <v>0</v>
      </c>
      <c r="J4" s="1180">
        <f>SUM(J6:J87)</f>
        <v>0</v>
      </c>
      <c r="K4" s="1180">
        <f>SUM(K7,K21,K55)</f>
        <v>0</v>
      </c>
      <c r="N4" s="1181">
        <f>SUM(P4:R4)</f>
        <v>0</v>
      </c>
      <c r="O4" s="1182" t="s">
        <v>732</v>
      </c>
      <c r="P4" s="1183">
        <f>SUM(P6:P87)</f>
        <v>0</v>
      </c>
      <c r="Q4" s="1183">
        <f>SUM(Q6:Q87)</f>
        <v>0</v>
      </c>
      <c r="R4" s="1183">
        <f>SUM(R6:R87)</f>
        <v>0</v>
      </c>
      <c r="T4" s="1180">
        <f>SUM(T6:T87)</f>
        <v>0</v>
      </c>
      <c r="U4" s="1180">
        <f>SUM(U6:U87)</f>
        <v>0</v>
      </c>
      <c r="V4" s="1180">
        <f>SUM(V6:V87)</f>
        <v>0</v>
      </c>
      <c r="W4" s="1180">
        <f>SUM(W7,W21,W55)</f>
        <v>0</v>
      </c>
      <c r="Z4" s="1181">
        <f>SUM(AB4:AD4)</f>
        <v>0</v>
      </c>
      <c r="AA4" s="1182" t="s">
        <v>823</v>
      </c>
      <c r="AB4" s="1183">
        <f>SUM(AB6:AB87)</f>
        <v>0</v>
      </c>
      <c r="AC4" s="1183">
        <f>SUM(AC6:AC87)</f>
        <v>0</v>
      </c>
      <c r="AD4" s="1183">
        <f>SUM(AD6:AD87)</f>
        <v>0</v>
      </c>
      <c r="AF4" s="1180">
        <f>SUM(AF6:AF87)</f>
        <v>0</v>
      </c>
      <c r="AG4" s="1180">
        <f>SUM(AG6:AG87)</f>
        <v>0</v>
      </c>
      <c r="AH4" s="1180">
        <f>SUM(AH6:AH87)</f>
        <v>0</v>
      </c>
      <c r="AI4" s="1180">
        <f>SUM(AI7,AI21,AI55)</f>
        <v>0</v>
      </c>
    </row>
    <row r="5" spans="2:35">
      <c r="C5" s="180" t="s">
        <v>735</v>
      </c>
      <c r="D5" s="1286" t="s">
        <v>821</v>
      </c>
      <c r="E5" s="1287" t="s">
        <v>734</v>
      </c>
      <c r="F5" s="1288" t="s">
        <v>733</v>
      </c>
      <c r="G5" s="180" t="s">
        <v>735</v>
      </c>
      <c r="H5" s="1286" t="s">
        <v>821</v>
      </c>
      <c r="I5" s="1287" t="s">
        <v>734</v>
      </c>
      <c r="J5" s="1285" t="s">
        <v>733</v>
      </c>
      <c r="K5" s="1185" t="str">
        <f>C4</f>
        <v>1 Building</v>
      </c>
      <c r="O5" s="180" t="s">
        <v>735</v>
      </c>
      <c r="P5" s="1286" t="s">
        <v>821</v>
      </c>
      <c r="Q5" s="1287" t="s">
        <v>734</v>
      </c>
      <c r="R5" s="1288" t="s">
        <v>733</v>
      </c>
      <c r="S5" s="180" t="s">
        <v>735</v>
      </c>
      <c r="T5" s="1286" t="s">
        <v>821</v>
      </c>
      <c r="U5" s="1287" t="s">
        <v>734</v>
      </c>
      <c r="V5" s="1288" t="s">
        <v>733</v>
      </c>
      <c r="W5" s="1185" t="str">
        <f>O4</f>
        <v>2 Building</v>
      </c>
      <c r="AA5" s="180" t="s">
        <v>735</v>
      </c>
      <c r="AB5" s="1286" t="s">
        <v>821</v>
      </c>
      <c r="AC5" s="1287" t="s">
        <v>734</v>
      </c>
      <c r="AD5" s="1288" t="s">
        <v>733</v>
      </c>
      <c r="AE5" s="180" t="s">
        <v>735</v>
      </c>
      <c r="AF5" s="1286" t="s">
        <v>821</v>
      </c>
      <c r="AG5" s="1287" t="s">
        <v>734</v>
      </c>
      <c r="AH5" s="1288" t="s">
        <v>733</v>
      </c>
      <c r="AI5" s="1185" t="str">
        <f>AA4</f>
        <v>3 Building</v>
      </c>
    </row>
    <row r="6" spans="2:35">
      <c r="B6" s="43"/>
      <c r="C6" s="43"/>
      <c r="D6" s="1184"/>
      <c r="E6" s="392"/>
      <c r="F6" s="1186"/>
      <c r="H6" s="1188">
        <f>SUM(D6:D19)</f>
        <v>0</v>
      </c>
      <c r="I6" s="1189">
        <f>SUM(E6:E19)</f>
        <v>0</v>
      </c>
      <c r="J6" s="1187">
        <f>SUM(F6:F19)</f>
        <v>0</v>
      </c>
      <c r="K6" s="1185" t="s">
        <v>736</v>
      </c>
      <c r="N6" s="43"/>
      <c r="O6" s="43"/>
      <c r="P6" s="1184"/>
      <c r="Q6" s="392"/>
      <c r="R6" s="1186"/>
      <c r="T6" s="1188">
        <f>SUM(P6:P19)</f>
        <v>0</v>
      </c>
      <c r="U6" s="1189">
        <f>SUM(Q6:Q19)</f>
        <v>0</v>
      </c>
      <c r="V6" s="1187">
        <f>SUM(R6:R19)</f>
        <v>0</v>
      </c>
      <c r="W6" s="1185" t="s">
        <v>736</v>
      </c>
      <c r="Z6" s="43"/>
      <c r="AA6" s="43"/>
      <c r="AB6" s="1184"/>
      <c r="AC6" s="392"/>
      <c r="AD6" s="1186"/>
      <c r="AF6" s="1188">
        <f>SUM(AB6:AB19)</f>
        <v>0</v>
      </c>
      <c r="AG6" s="1189">
        <f>SUM(AC6:AC19)</f>
        <v>0</v>
      </c>
      <c r="AH6" s="1187">
        <f>SUM(AD6:AD19)</f>
        <v>0</v>
      </c>
      <c r="AI6" s="1185" t="s">
        <v>736</v>
      </c>
    </row>
    <row r="7" spans="2:35">
      <c r="B7" s="43"/>
      <c r="C7" s="43"/>
      <c r="D7" s="1184"/>
      <c r="E7" s="392"/>
      <c r="F7" s="1186"/>
      <c r="K7" s="1181">
        <f>SUM(H6:J6)</f>
        <v>0</v>
      </c>
      <c r="N7" s="43"/>
      <c r="O7" s="43"/>
      <c r="P7" s="1184"/>
      <c r="Q7" s="392"/>
      <c r="R7" s="1186"/>
      <c r="W7" s="1181">
        <f>SUM(T6:V6)</f>
        <v>0</v>
      </c>
      <c r="Z7" s="43"/>
      <c r="AA7" s="43"/>
      <c r="AB7" s="1184"/>
      <c r="AC7" s="392"/>
      <c r="AD7" s="1186"/>
      <c r="AI7" s="1181">
        <f>SUM(AF6:AH6)</f>
        <v>0</v>
      </c>
    </row>
    <row r="8" spans="2:35">
      <c r="D8" s="1184"/>
      <c r="E8" s="392"/>
      <c r="F8" s="388"/>
      <c r="P8" s="1184"/>
      <c r="Q8" s="392"/>
      <c r="R8" s="388"/>
      <c r="AB8" s="1184"/>
      <c r="AC8" s="392"/>
      <c r="AD8" s="388"/>
    </row>
    <row r="9" spans="2:35">
      <c r="D9" s="1184"/>
      <c r="E9" s="392"/>
      <c r="F9" s="388"/>
      <c r="P9" s="1184"/>
      <c r="Q9" s="392"/>
      <c r="R9" s="388"/>
      <c r="AB9" s="1184"/>
      <c r="AC9" s="392"/>
      <c r="AD9" s="388"/>
    </row>
    <row r="10" spans="2:35">
      <c r="D10" s="1184"/>
      <c r="E10" s="392"/>
      <c r="F10" s="388"/>
      <c r="P10" s="1184"/>
      <c r="Q10" s="392"/>
      <c r="R10" s="388"/>
      <c r="AB10" s="1184"/>
      <c r="AC10" s="392"/>
      <c r="AD10" s="388"/>
    </row>
    <row r="11" spans="2:35">
      <c r="D11" s="1184"/>
      <c r="E11" s="392"/>
      <c r="F11" s="388"/>
      <c r="P11" s="1184"/>
      <c r="Q11" s="392"/>
      <c r="R11" s="388"/>
      <c r="AB11" s="1184"/>
      <c r="AC11" s="392"/>
      <c r="AD11" s="388"/>
    </row>
    <row r="12" spans="2:35">
      <c r="D12" s="1184"/>
      <c r="E12" s="392"/>
      <c r="F12" s="388"/>
      <c r="P12" s="1184"/>
      <c r="Q12" s="392"/>
      <c r="R12" s="388"/>
      <c r="AB12" s="1184"/>
      <c r="AC12" s="392"/>
      <c r="AD12" s="388"/>
    </row>
    <row r="13" spans="2:35">
      <c r="D13" s="1184"/>
      <c r="E13" s="392"/>
      <c r="F13" s="388"/>
      <c r="P13" s="1184"/>
      <c r="Q13" s="392"/>
      <c r="R13" s="388"/>
      <c r="AB13" s="1184"/>
      <c r="AC13" s="392"/>
      <c r="AD13" s="388"/>
    </row>
    <row r="14" spans="2:35">
      <c r="D14" s="1184"/>
      <c r="E14" s="392"/>
      <c r="F14" s="388"/>
      <c r="P14" s="1184"/>
      <c r="Q14" s="392"/>
      <c r="R14" s="388"/>
      <c r="AB14" s="1184"/>
      <c r="AC14" s="392"/>
      <c r="AD14" s="388"/>
    </row>
    <row r="15" spans="2:35">
      <c r="D15" s="1184"/>
      <c r="E15" s="392"/>
      <c r="F15" s="388"/>
      <c r="P15" s="1184"/>
      <c r="Q15" s="392"/>
      <c r="R15" s="388"/>
      <c r="AB15" s="1184"/>
      <c r="AC15" s="392"/>
      <c r="AD15" s="388"/>
    </row>
    <row r="16" spans="2:35">
      <c r="D16" s="1184"/>
      <c r="E16" s="392"/>
      <c r="F16" s="388"/>
      <c r="P16" s="1184"/>
      <c r="Q16" s="392"/>
      <c r="R16" s="388"/>
      <c r="AB16" s="1184"/>
      <c r="AC16" s="392"/>
      <c r="AD16" s="388"/>
    </row>
    <row r="17" spans="4:30">
      <c r="D17" s="1184"/>
      <c r="E17" s="392"/>
      <c r="F17" s="388"/>
      <c r="P17" s="1184"/>
      <c r="Q17" s="392"/>
      <c r="R17" s="388"/>
      <c r="AB17" s="1184"/>
      <c r="AC17" s="392"/>
      <c r="AD17" s="388"/>
    </row>
    <row r="18" spans="4:30">
      <c r="D18" s="1184"/>
      <c r="E18" s="392"/>
      <c r="F18" s="388"/>
      <c r="P18" s="1184"/>
      <c r="Q18" s="392"/>
      <c r="R18" s="388"/>
      <c r="AB18" s="1184"/>
      <c r="AC18" s="392"/>
      <c r="AD18" s="388"/>
    </row>
    <row r="19" spans="4:30">
      <c r="D19" s="1184"/>
      <c r="E19" s="392"/>
      <c r="F19" s="388"/>
      <c r="P19" s="1184"/>
      <c r="Q19" s="392"/>
      <c r="R19" s="388"/>
      <c r="AB19" s="1184"/>
      <c r="AC19" s="392"/>
      <c r="AD19" s="388"/>
    </row>
    <row r="20" spans="4:30">
      <c r="D20" s="1184"/>
      <c r="E20" s="392"/>
      <c r="F20" s="388"/>
      <c r="P20" s="1184"/>
      <c r="Q20" s="392"/>
      <c r="R20" s="388"/>
      <c r="AB20" s="1184"/>
      <c r="AC20" s="392"/>
      <c r="AD20" s="388"/>
    </row>
    <row r="21" spans="4:30">
      <c r="D21" s="1184"/>
      <c r="E21" s="392"/>
      <c r="F21" s="388"/>
      <c r="P21" s="1184"/>
      <c r="Q21" s="392"/>
      <c r="R21" s="388"/>
      <c r="AB21" s="1184"/>
      <c r="AC21" s="392"/>
      <c r="AD21" s="388"/>
    </row>
    <row r="22" spans="4:30">
      <c r="D22" s="1184"/>
      <c r="E22" s="392"/>
      <c r="F22" s="388"/>
      <c r="P22" s="1184"/>
      <c r="Q22" s="392"/>
      <c r="R22" s="388"/>
      <c r="AB22" s="1184"/>
      <c r="AC22" s="392"/>
      <c r="AD22" s="388"/>
    </row>
    <row r="23" spans="4:30">
      <c r="D23" s="1184"/>
      <c r="E23" s="392"/>
      <c r="F23" s="388"/>
      <c r="P23" s="1184"/>
      <c r="Q23" s="392"/>
      <c r="R23" s="388"/>
      <c r="AB23" s="1184"/>
      <c r="AC23" s="392"/>
      <c r="AD23" s="388"/>
    </row>
    <row r="24" spans="4:30">
      <c r="D24" s="1184"/>
      <c r="E24" s="392"/>
      <c r="F24" s="388"/>
      <c r="P24" s="1184"/>
      <c r="Q24" s="392"/>
      <c r="R24" s="388"/>
      <c r="AB24" s="1184"/>
      <c r="AC24" s="392"/>
      <c r="AD24" s="388"/>
    </row>
    <row r="25" spans="4:30">
      <c r="D25" s="1184"/>
      <c r="E25" s="392"/>
      <c r="F25" s="388"/>
      <c r="P25" s="1184"/>
      <c r="Q25" s="392"/>
      <c r="R25" s="388"/>
      <c r="AB25" s="1184"/>
      <c r="AC25" s="392"/>
      <c r="AD25" s="388"/>
    </row>
    <row r="26" spans="4:30">
      <c r="D26" s="1184"/>
      <c r="E26" s="392"/>
      <c r="F26" s="388"/>
      <c r="P26" s="1184"/>
      <c r="Q26" s="392"/>
      <c r="R26" s="388"/>
      <c r="AB26" s="1184"/>
      <c r="AC26" s="392"/>
      <c r="AD26" s="388"/>
    </row>
    <row r="27" spans="4:30">
      <c r="D27" s="1184"/>
      <c r="E27" s="392"/>
      <c r="F27" s="388"/>
      <c r="P27" s="1184"/>
      <c r="Q27" s="392"/>
      <c r="R27" s="388"/>
      <c r="AB27" s="1184"/>
      <c r="AC27" s="392"/>
      <c r="AD27" s="388"/>
    </row>
    <row r="28" spans="4:30">
      <c r="D28" s="1184"/>
      <c r="E28" s="392"/>
      <c r="F28" s="388"/>
      <c r="P28" s="1184"/>
      <c r="Q28" s="392"/>
      <c r="R28" s="388"/>
      <c r="AB28" s="1184"/>
      <c r="AC28" s="392"/>
      <c r="AD28" s="388"/>
    </row>
    <row r="29" spans="4:30">
      <c r="D29" s="1184"/>
      <c r="E29" s="392"/>
      <c r="F29" s="388"/>
      <c r="P29" s="1184"/>
      <c r="Q29" s="392"/>
      <c r="R29" s="388"/>
      <c r="AB29" s="1184"/>
      <c r="AC29" s="392"/>
      <c r="AD29" s="388"/>
    </row>
    <row r="30" spans="4:30">
      <c r="D30" s="1184"/>
      <c r="E30" s="392"/>
      <c r="F30" s="388"/>
      <c r="P30" s="1184"/>
      <c r="Q30" s="392"/>
      <c r="R30" s="388"/>
      <c r="AB30" s="1184"/>
      <c r="AC30" s="392"/>
      <c r="AD30" s="388"/>
    </row>
    <row r="31" spans="4:30">
      <c r="D31" s="1184"/>
      <c r="E31" s="392"/>
      <c r="F31" s="388"/>
      <c r="P31" s="1184"/>
      <c r="Q31" s="392"/>
      <c r="R31" s="388"/>
      <c r="AB31" s="1184"/>
      <c r="AC31" s="392"/>
      <c r="AD31" s="388"/>
    </row>
    <row r="32" spans="4:30">
      <c r="D32" s="1184"/>
      <c r="E32" s="392"/>
      <c r="F32" s="388"/>
      <c r="P32" s="1184"/>
      <c r="Q32" s="392"/>
      <c r="R32" s="388"/>
      <c r="AB32" s="1184"/>
      <c r="AC32" s="392"/>
      <c r="AD32" s="388"/>
    </row>
    <row r="33" spans="4:30">
      <c r="D33" s="1184"/>
      <c r="E33" s="392"/>
      <c r="F33" s="388"/>
      <c r="P33" s="1184"/>
      <c r="Q33" s="392"/>
      <c r="R33" s="388"/>
      <c r="AB33" s="1184"/>
      <c r="AC33" s="392"/>
      <c r="AD33" s="388"/>
    </row>
    <row r="34" spans="4:30">
      <c r="D34" s="1184"/>
      <c r="E34" s="392"/>
      <c r="F34" s="388"/>
      <c r="P34" s="1184"/>
      <c r="Q34" s="392"/>
      <c r="R34" s="388"/>
      <c r="AB34" s="1184"/>
      <c r="AC34" s="392"/>
      <c r="AD34" s="388"/>
    </row>
    <row r="35" spans="4:30">
      <c r="D35" s="1184"/>
      <c r="E35" s="392"/>
      <c r="F35" s="388"/>
      <c r="P35" s="1184"/>
      <c r="Q35" s="392"/>
      <c r="R35" s="388"/>
      <c r="AB35" s="1184"/>
      <c r="AC35" s="392"/>
      <c r="AD35" s="388"/>
    </row>
    <row r="36" spans="4:30">
      <c r="D36" s="1184"/>
      <c r="E36" s="392"/>
      <c r="F36" s="388"/>
      <c r="P36" s="1184"/>
      <c r="Q36" s="392"/>
      <c r="R36" s="388"/>
      <c r="AB36" s="1184"/>
      <c r="AC36" s="392"/>
      <c r="AD36" s="388"/>
    </row>
    <row r="37" spans="4:30">
      <c r="D37" s="1184"/>
      <c r="E37" s="392"/>
      <c r="F37" s="388"/>
      <c r="P37" s="1184"/>
      <c r="Q37" s="392"/>
      <c r="R37" s="388"/>
      <c r="AB37" s="1184"/>
      <c r="AC37" s="392"/>
      <c r="AD37" s="388"/>
    </row>
    <row r="38" spans="4:30">
      <c r="D38" s="1184"/>
      <c r="E38" s="392"/>
      <c r="F38" s="388"/>
      <c r="P38" s="1184"/>
      <c r="Q38" s="392"/>
      <c r="R38" s="388"/>
      <c r="AB38" s="1184"/>
      <c r="AC38" s="392"/>
      <c r="AD38" s="388"/>
    </row>
    <row r="39" spans="4:30">
      <c r="D39" s="1184"/>
      <c r="E39" s="392"/>
      <c r="F39" s="388"/>
      <c r="P39" s="1184"/>
      <c r="Q39" s="392"/>
      <c r="R39" s="388"/>
      <c r="AB39" s="1184"/>
      <c r="AC39" s="392"/>
      <c r="AD39" s="388"/>
    </row>
    <row r="40" spans="4:30">
      <c r="D40" s="1184"/>
      <c r="E40" s="392"/>
      <c r="F40" s="388"/>
      <c r="P40" s="1184"/>
      <c r="Q40" s="392"/>
      <c r="R40" s="388"/>
      <c r="AB40" s="1184"/>
      <c r="AC40" s="392"/>
      <c r="AD40" s="388"/>
    </row>
    <row r="41" spans="4:30">
      <c r="D41" s="1184"/>
      <c r="E41" s="392"/>
      <c r="F41" s="388"/>
      <c r="P41" s="1184"/>
      <c r="Q41" s="392"/>
      <c r="R41" s="388"/>
      <c r="AB41" s="1184"/>
      <c r="AC41" s="392"/>
      <c r="AD41" s="388"/>
    </row>
    <row r="42" spans="4:30">
      <c r="D42" s="1184"/>
      <c r="E42" s="392"/>
      <c r="F42" s="388"/>
      <c r="P42" s="1184"/>
      <c r="Q42" s="392"/>
      <c r="R42" s="388"/>
      <c r="AB42" s="1184"/>
      <c r="AC42" s="392"/>
      <c r="AD42" s="388"/>
    </row>
    <row r="43" spans="4:30">
      <c r="D43" s="1184"/>
      <c r="E43" s="392"/>
      <c r="F43" s="388"/>
      <c r="P43" s="1184"/>
      <c r="Q43" s="392"/>
      <c r="R43" s="388"/>
      <c r="AB43" s="1184"/>
      <c r="AC43" s="392"/>
      <c r="AD43" s="388"/>
    </row>
    <row r="44" spans="4:30">
      <c r="D44" s="1184"/>
      <c r="E44" s="392"/>
      <c r="F44" s="388"/>
      <c r="P44" s="1184"/>
      <c r="Q44" s="392"/>
      <c r="R44" s="388"/>
      <c r="AB44" s="1184"/>
      <c r="AC44" s="392"/>
      <c r="AD44" s="388"/>
    </row>
    <row r="45" spans="4:30">
      <c r="D45" s="1184"/>
      <c r="E45" s="392"/>
      <c r="F45" s="388"/>
      <c r="P45" s="1184"/>
      <c r="Q45" s="392"/>
      <c r="R45" s="388"/>
      <c r="AB45" s="1184"/>
      <c r="AC45" s="392"/>
      <c r="AD45" s="388"/>
    </row>
    <row r="46" spans="4:30">
      <c r="D46" s="1184"/>
      <c r="E46" s="392"/>
      <c r="F46" s="388"/>
      <c r="P46" s="1184"/>
      <c r="Q46" s="392"/>
      <c r="R46" s="388"/>
      <c r="AB46" s="1184"/>
      <c r="AC46" s="392"/>
      <c r="AD46" s="388"/>
    </row>
    <row r="47" spans="4:30">
      <c r="D47" s="1184"/>
      <c r="E47" s="392"/>
      <c r="F47" s="388"/>
      <c r="P47" s="1184"/>
      <c r="Q47" s="392"/>
      <c r="R47" s="388"/>
      <c r="AB47" s="1184"/>
      <c r="AC47" s="392"/>
      <c r="AD47" s="388"/>
    </row>
    <row r="48" spans="4:30">
      <c r="D48" s="1184"/>
      <c r="E48" s="392"/>
      <c r="F48" s="388"/>
      <c r="P48" s="1184"/>
      <c r="Q48" s="392"/>
      <c r="R48" s="388"/>
      <c r="AB48" s="1184"/>
      <c r="AC48" s="392"/>
      <c r="AD48" s="388"/>
    </row>
    <row r="49" spans="4:30">
      <c r="D49" s="1184"/>
      <c r="E49" s="392"/>
      <c r="F49" s="388"/>
      <c r="P49" s="1184"/>
      <c r="Q49" s="392"/>
      <c r="R49" s="388"/>
      <c r="AB49" s="1184"/>
      <c r="AC49" s="392"/>
      <c r="AD49" s="388"/>
    </row>
    <row r="50" spans="4:30">
      <c r="D50" s="1184"/>
      <c r="E50" s="392"/>
      <c r="F50" s="388"/>
      <c r="P50" s="1184"/>
      <c r="Q50" s="392"/>
      <c r="R50" s="388"/>
      <c r="AB50" s="1184"/>
      <c r="AC50" s="392"/>
      <c r="AD50" s="388"/>
    </row>
    <row r="51" spans="4:30">
      <c r="D51" s="1184"/>
      <c r="E51" s="392"/>
      <c r="F51" s="388"/>
      <c r="P51" s="1184"/>
      <c r="Q51" s="392"/>
      <c r="R51" s="388"/>
      <c r="AB51" s="1184"/>
      <c r="AC51" s="392"/>
      <c r="AD51" s="388"/>
    </row>
    <row r="52" spans="4:30">
      <c r="D52" s="1184"/>
      <c r="E52" s="392"/>
      <c r="F52" s="388"/>
      <c r="P52" s="1184"/>
      <c r="Q52" s="392"/>
      <c r="R52" s="388"/>
      <c r="AB52" s="1184"/>
      <c r="AC52" s="392"/>
      <c r="AD52" s="388"/>
    </row>
    <row r="53" spans="4:30">
      <c r="D53" s="1184"/>
      <c r="E53" s="392"/>
      <c r="F53" s="388"/>
      <c r="P53" s="1184"/>
      <c r="Q53" s="392"/>
      <c r="R53" s="388"/>
      <c r="AB53" s="1184"/>
      <c r="AC53" s="392"/>
      <c r="AD53" s="388"/>
    </row>
    <row r="54" spans="4:30">
      <c r="D54" s="1184"/>
      <c r="E54" s="392"/>
      <c r="F54" s="388"/>
      <c r="P54" s="1184"/>
      <c r="Q54" s="392"/>
      <c r="R54" s="388"/>
      <c r="AB54" s="1184"/>
      <c r="AC54" s="392"/>
      <c r="AD54" s="388"/>
    </row>
    <row r="55" spans="4:30">
      <c r="D55" s="1184"/>
      <c r="E55" s="392"/>
      <c r="F55" s="388"/>
      <c r="P55" s="1184"/>
      <c r="Q55" s="392"/>
      <c r="R55" s="388"/>
      <c r="AB55" s="1184"/>
      <c r="AC55" s="392"/>
      <c r="AD55" s="388"/>
    </row>
    <row r="56" spans="4:30">
      <c r="D56" s="1184"/>
      <c r="E56" s="392"/>
      <c r="F56" s="388"/>
      <c r="P56" s="1184"/>
      <c r="Q56" s="392"/>
      <c r="R56" s="388"/>
      <c r="AB56" s="1184"/>
      <c r="AC56" s="392"/>
      <c r="AD56" s="388"/>
    </row>
    <row r="57" spans="4:30">
      <c r="D57" s="1184"/>
      <c r="E57" s="392"/>
      <c r="F57" s="388"/>
      <c r="P57" s="1184"/>
      <c r="Q57" s="392"/>
      <c r="R57" s="388"/>
      <c r="AB57" s="1184"/>
      <c r="AC57" s="392"/>
      <c r="AD57" s="388"/>
    </row>
    <row r="58" spans="4:30">
      <c r="D58" s="1184"/>
      <c r="E58" s="392"/>
      <c r="F58" s="388"/>
      <c r="P58" s="1184"/>
      <c r="Q58" s="392"/>
      <c r="R58" s="388"/>
      <c r="AB58" s="1184"/>
      <c r="AC58" s="392"/>
      <c r="AD58" s="388"/>
    </row>
    <row r="59" spans="4:30">
      <c r="D59" s="1184"/>
      <c r="E59" s="392"/>
      <c r="F59" s="388"/>
      <c r="P59" s="1184"/>
      <c r="Q59" s="392"/>
      <c r="R59" s="388"/>
      <c r="AB59" s="1184"/>
      <c r="AC59" s="392"/>
      <c r="AD59" s="388"/>
    </row>
    <row r="60" spans="4:30">
      <c r="D60" s="1184"/>
      <c r="E60" s="392"/>
      <c r="F60" s="388"/>
      <c r="P60" s="1184"/>
      <c r="Q60" s="392"/>
      <c r="R60" s="388"/>
      <c r="AB60" s="1184"/>
      <c r="AC60" s="392"/>
      <c r="AD60" s="388"/>
    </row>
    <row r="61" spans="4:30">
      <c r="D61" s="1184"/>
      <c r="E61" s="392"/>
      <c r="F61" s="388"/>
      <c r="P61" s="1184"/>
      <c r="Q61" s="392"/>
      <c r="R61" s="388"/>
      <c r="AB61" s="1184"/>
      <c r="AC61" s="392"/>
      <c r="AD61" s="388"/>
    </row>
    <row r="62" spans="4:30">
      <c r="D62" s="1184"/>
      <c r="E62" s="392"/>
      <c r="F62" s="388"/>
      <c r="P62" s="1184"/>
      <c r="Q62" s="392"/>
      <c r="R62" s="388"/>
      <c r="AB62" s="1184"/>
      <c r="AC62" s="392"/>
      <c r="AD62" s="388"/>
    </row>
    <row r="63" spans="4:30">
      <c r="D63" s="1184"/>
      <c r="E63" s="392"/>
      <c r="F63" s="388"/>
      <c r="P63" s="1184"/>
      <c r="Q63" s="392"/>
      <c r="R63" s="388"/>
      <c r="AB63" s="1184"/>
      <c r="AC63" s="392"/>
      <c r="AD63" s="388"/>
    </row>
    <row r="64" spans="4:30">
      <c r="D64" s="1184"/>
      <c r="E64" s="392"/>
      <c r="F64" s="388"/>
      <c r="P64" s="1184"/>
      <c r="Q64" s="392"/>
      <c r="R64" s="388"/>
      <c r="AB64" s="1184"/>
      <c r="AC64" s="392"/>
      <c r="AD64" s="388"/>
    </row>
    <row r="65" spans="4:30">
      <c r="D65" s="1184"/>
      <c r="E65" s="392"/>
      <c r="F65" s="388"/>
      <c r="P65" s="1184"/>
      <c r="Q65" s="392"/>
      <c r="R65" s="388"/>
      <c r="AB65" s="1184"/>
      <c r="AC65" s="392"/>
      <c r="AD65" s="388"/>
    </row>
    <row r="66" spans="4:30">
      <c r="D66" s="1184"/>
      <c r="E66" s="392"/>
      <c r="F66" s="388"/>
      <c r="P66" s="1184"/>
      <c r="Q66" s="392"/>
      <c r="R66" s="388"/>
      <c r="AB66" s="1184"/>
      <c r="AC66" s="392"/>
      <c r="AD66" s="388"/>
    </row>
    <row r="67" spans="4:30">
      <c r="D67" s="1184"/>
      <c r="E67" s="392"/>
      <c r="F67" s="388"/>
      <c r="P67" s="1184"/>
      <c r="Q67" s="392"/>
      <c r="R67" s="388"/>
      <c r="AB67" s="1184"/>
      <c r="AC67" s="392"/>
      <c r="AD67" s="388"/>
    </row>
    <row r="68" spans="4:30">
      <c r="D68" s="1184"/>
      <c r="E68" s="392"/>
      <c r="F68" s="388"/>
      <c r="P68" s="1184"/>
      <c r="Q68" s="392"/>
      <c r="R68" s="388"/>
      <c r="AB68" s="1184"/>
      <c r="AC68" s="392"/>
      <c r="AD68" s="388"/>
    </row>
    <row r="69" spans="4:30">
      <c r="D69" s="1184"/>
      <c r="E69" s="392"/>
      <c r="F69" s="388"/>
      <c r="P69" s="1184"/>
      <c r="Q69" s="392"/>
      <c r="R69" s="388"/>
      <c r="AB69" s="1184"/>
      <c r="AC69" s="392"/>
      <c r="AD69" s="388"/>
    </row>
    <row r="70" spans="4:30">
      <c r="D70" s="1184"/>
      <c r="E70" s="392"/>
      <c r="F70" s="388"/>
      <c r="P70" s="1184"/>
      <c r="Q70" s="392"/>
      <c r="R70" s="388"/>
      <c r="AB70" s="1184"/>
      <c r="AC70" s="392"/>
      <c r="AD70" s="388"/>
    </row>
    <row r="71" spans="4:30">
      <c r="D71" s="1184"/>
      <c r="E71" s="392"/>
      <c r="F71" s="388"/>
      <c r="P71" s="1184"/>
      <c r="Q71" s="392"/>
      <c r="R71" s="388"/>
      <c r="AB71" s="1184"/>
      <c r="AC71" s="392"/>
      <c r="AD71" s="388"/>
    </row>
    <row r="72" spans="4:30">
      <c r="D72" s="1184"/>
      <c r="E72" s="392"/>
      <c r="F72" s="388"/>
      <c r="P72" s="1184"/>
      <c r="Q72" s="392"/>
      <c r="R72" s="388"/>
      <c r="AB72" s="1184"/>
      <c r="AC72" s="392"/>
      <c r="AD72" s="388"/>
    </row>
    <row r="73" spans="4:30">
      <c r="D73" s="1184"/>
      <c r="E73" s="392"/>
      <c r="F73" s="388"/>
      <c r="P73" s="1184"/>
      <c r="Q73" s="392"/>
      <c r="R73" s="388"/>
      <c r="AB73" s="1184"/>
      <c r="AC73" s="392"/>
      <c r="AD73" s="388"/>
    </row>
    <row r="74" spans="4:30">
      <c r="D74" s="1184"/>
      <c r="E74" s="392"/>
      <c r="F74" s="388"/>
      <c r="P74" s="1184"/>
      <c r="Q74" s="392"/>
      <c r="R74" s="388"/>
      <c r="AB74" s="1184"/>
      <c r="AC74" s="392"/>
      <c r="AD74" s="388"/>
    </row>
    <row r="75" spans="4:30">
      <c r="D75" s="1184"/>
      <c r="E75" s="392"/>
      <c r="F75" s="388"/>
      <c r="P75" s="1184"/>
      <c r="Q75" s="392"/>
      <c r="R75" s="388"/>
      <c r="AB75" s="1184"/>
      <c r="AC75" s="392"/>
      <c r="AD75" s="388"/>
    </row>
    <row r="76" spans="4:30">
      <c r="D76" s="1184"/>
      <c r="E76" s="392"/>
      <c r="F76" s="388"/>
      <c r="P76" s="1184"/>
      <c r="Q76" s="392"/>
      <c r="R76" s="388"/>
      <c r="AB76" s="1184"/>
      <c r="AC76" s="392"/>
      <c r="AD76" s="388"/>
    </row>
    <row r="77" spans="4:30">
      <c r="D77" s="1184"/>
      <c r="E77" s="392"/>
      <c r="F77" s="388"/>
      <c r="P77" s="1184"/>
      <c r="Q77" s="392"/>
      <c r="R77" s="388"/>
      <c r="AB77" s="1184"/>
      <c r="AC77" s="392"/>
      <c r="AD77" s="388"/>
    </row>
    <row r="78" spans="4:30">
      <c r="D78" s="1184"/>
      <c r="E78" s="392"/>
      <c r="F78" s="388"/>
      <c r="P78" s="1184"/>
      <c r="Q78" s="392"/>
      <c r="R78" s="388"/>
      <c r="AB78" s="1184"/>
      <c r="AC78" s="392"/>
      <c r="AD78" s="388"/>
    </row>
    <row r="79" spans="4:30">
      <c r="D79" s="1184"/>
      <c r="E79" s="392"/>
      <c r="F79" s="388"/>
      <c r="P79" s="1184"/>
      <c r="Q79" s="392"/>
      <c r="R79" s="388"/>
      <c r="AB79" s="1184"/>
      <c r="AC79" s="392"/>
      <c r="AD79" s="388"/>
    </row>
    <row r="80" spans="4:30">
      <c r="D80" s="1184"/>
      <c r="E80" s="392"/>
      <c r="F80" s="388"/>
      <c r="P80" s="1184"/>
      <c r="Q80" s="392"/>
      <c r="R80" s="388"/>
      <c r="AB80" s="1184"/>
      <c r="AC80" s="392"/>
      <c r="AD80" s="388"/>
    </row>
    <row r="81" spans="4:30">
      <c r="D81" s="1184"/>
      <c r="E81" s="392"/>
      <c r="F81" s="388"/>
      <c r="P81" s="1184"/>
      <c r="Q81" s="392"/>
      <c r="R81" s="388"/>
      <c r="AB81" s="1184"/>
      <c r="AC81" s="392"/>
      <c r="AD81" s="388"/>
    </row>
    <row r="82" spans="4:30">
      <c r="D82" s="1184"/>
      <c r="E82" s="392"/>
      <c r="F82" s="388"/>
      <c r="P82" s="1184"/>
      <c r="Q82" s="392"/>
      <c r="R82" s="388"/>
      <c r="AB82" s="1184"/>
      <c r="AC82" s="392"/>
      <c r="AD82" s="388"/>
    </row>
    <row r="83" spans="4:30">
      <c r="D83" s="1184"/>
      <c r="E83" s="392"/>
      <c r="F83" s="388"/>
      <c r="P83" s="1184"/>
      <c r="Q83" s="392"/>
      <c r="R83" s="388"/>
      <c r="AB83" s="1184"/>
      <c r="AC83" s="392"/>
      <c r="AD83" s="388"/>
    </row>
    <row r="84" spans="4:30">
      <c r="D84" s="1184"/>
      <c r="E84" s="392"/>
      <c r="F84" s="388"/>
      <c r="P84" s="1184"/>
      <c r="Q84" s="392"/>
      <c r="R84" s="388"/>
      <c r="AB84" s="1184"/>
      <c r="AC84" s="392"/>
      <c r="AD84" s="388"/>
    </row>
    <row r="85" spans="4:30">
      <c r="D85" s="1184"/>
      <c r="E85" s="392"/>
      <c r="F85" s="388"/>
      <c r="P85" s="1184"/>
      <c r="Q85" s="392"/>
      <c r="R85" s="388"/>
      <c r="AB85" s="1184"/>
      <c r="AC85" s="392"/>
      <c r="AD85" s="388"/>
    </row>
    <row r="86" spans="4:30">
      <c r="D86" s="1184"/>
      <c r="E86" s="392"/>
      <c r="F86" s="388"/>
      <c r="P86" s="1184"/>
      <c r="Q86" s="392"/>
      <c r="R86" s="388"/>
      <c r="AB86" s="1184"/>
      <c r="AC86" s="392"/>
      <c r="AD86" s="388"/>
    </row>
    <row r="87" spans="4:30">
      <c r="D87" s="1184"/>
      <c r="E87" s="392"/>
      <c r="F87" s="388"/>
      <c r="P87" s="1184"/>
      <c r="Q87" s="392"/>
      <c r="R87" s="388"/>
      <c r="AB87" s="1184"/>
      <c r="AC87" s="392"/>
      <c r="AD87" s="388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45</vt:i4>
      </vt:variant>
    </vt:vector>
  </HeadingPairs>
  <TitlesOfParts>
    <vt:vector size="61" baseType="lpstr">
      <vt:lpstr>Epoxy</vt:lpstr>
      <vt:lpstr>Polish</vt:lpstr>
      <vt:lpstr>Gyp (USG 1-8")</vt:lpstr>
      <vt:lpstr>Takeoff</vt:lpstr>
      <vt:lpstr>Seal</vt:lpstr>
      <vt:lpstr>Seal (+Jnts)</vt:lpstr>
      <vt:lpstr>Epoxy blank</vt:lpstr>
      <vt:lpstr>Stnd Alts</vt:lpstr>
      <vt:lpstr>Leveling</vt:lpstr>
      <vt:lpstr>Gyp (USG N12ULTRA)</vt:lpstr>
      <vt:lpstr>Gyp (USG N25 1-4")</vt:lpstr>
      <vt:lpstr>Gyp (GWorx SC190)</vt:lpstr>
      <vt:lpstr>Specs+Dwgs+Addn</vt:lpstr>
      <vt:lpstr>Gyp (FR)</vt:lpstr>
      <vt:lpstr>validation</vt:lpstr>
      <vt:lpstr>Unit Layouts</vt:lpstr>
      <vt:lpstr>Accelera_Clear_SATIN_additional_topcoat</vt:lpstr>
      <vt:lpstr>Accelera_ClearEXT</vt:lpstr>
      <vt:lpstr>Accelera_PgmntEXT</vt:lpstr>
      <vt:lpstr>AT_Clear_Satin_w_Grit</vt:lpstr>
      <vt:lpstr>AT_ClearGloss_wGrit</vt:lpstr>
      <vt:lpstr>AT_ClearSatin_wGrit</vt:lpstr>
      <vt:lpstr>AT_Pgmt_Gloss_w_Grit</vt:lpstr>
      <vt:lpstr>AT_Pgmt_Satin_w_Grit</vt:lpstr>
      <vt:lpstr>ColorFast</vt:lpstr>
      <vt:lpstr>CoveRez</vt:lpstr>
      <vt:lpstr>Elast_O_Coat_Clear</vt:lpstr>
      <vt:lpstr>Fiberglass_Mat</vt:lpstr>
      <vt:lpstr>Gard_No_Sag</vt:lpstr>
      <vt:lpstr>GardReg</vt:lpstr>
      <vt:lpstr>Glaze4</vt:lpstr>
      <vt:lpstr>HP_Block_Filler_Primer</vt:lpstr>
      <vt:lpstr>HP_Eggshell_Topcoat</vt:lpstr>
      <vt:lpstr>HP_Gripper_Primer</vt:lpstr>
      <vt:lpstr>HP_Satin_Topcoat</vt:lpstr>
      <vt:lpstr>MACROFlake</vt:lpstr>
      <vt:lpstr>MD</vt:lpstr>
      <vt:lpstr>microFlake</vt:lpstr>
      <vt:lpstr>MVP</vt:lpstr>
      <vt:lpstr>NovolacGard</vt:lpstr>
      <vt:lpstr>OPF</vt:lpstr>
      <vt:lpstr>Epoxy!Print_Area</vt:lpstr>
      <vt:lpstr>'Epoxy blank'!Print_Area</vt:lpstr>
      <vt:lpstr>'Gyp (FR)'!Print_Area</vt:lpstr>
      <vt:lpstr>'Gyp (GWorx SC190)'!Print_Area</vt:lpstr>
      <vt:lpstr>'Gyp (USG 1-8")'!Print_Area</vt:lpstr>
      <vt:lpstr>'Gyp (USG N12ULTRA)'!Print_Area</vt:lpstr>
      <vt:lpstr>'Gyp (USG N25 1-4")'!Print_Area</vt:lpstr>
      <vt:lpstr>Leveling!Print_Area</vt:lpstr>
      <vt:lpstr>Polish!Print_Area</vt:lpstr>
      <vt:lpstr>Seal!Print_Area</vt:lpstr>
      <vt:lpstr>'Seal (+Jnts)'!Print_Area</vt:lpstr>
      <vt:lpstr>Q11_25a</vt:lpstr>
      <vt:lpstr>Q28_40s</vt:lpstr>
      <vt:lpstr>ShopFloor</vt:lpstr>
      <vt:lpstr>Silica</vt:lpstr>
      <vt:lpstr>SL</vt:lpstr>
      <vt:lpstr>TF_Reg</vt:lpstr>
      <vt:lpstr>WB</vt:lpstr>
      <vt:lpstr>WR</vt:lpstr>
      <vt:lpstr>ZincCoveCap</vt:lpstr>
    </vt:vector>
  </TitlesOfParts>
  <Company>Centric Projects CP SN# 00371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Centric Projects</dc:creator>
  <cp:lastModifiedBy>Hanz Uriel de la Cruz</cp:lastModifiedBy>
  <cp:lastPrinted>2019-03-25T16:39:46Z</cp:lastPrinted>
  <dcterms:created xsi:type="dcterms:W3CDTF">2012-10-11T19:52:41Z</dcterms:created>
  <dcterms:modified xsi:type="dcterms:W3CDTF">2026-05-22T18:06:03Z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ba57d591-cc02-458b-be32-e8b3b4e37a17</vt:lpwstr>
  </property>
</Properties>
</file>